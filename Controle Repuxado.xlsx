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" sheetId="1" r:id="rId5"/>
    <sheet state="visible" name="DADOS" sheetId="2" r:id="rId6"/>
  </sheets>
  <definedNames>
    <definedName name="PLANILHA">CONTROLE!$A$2:$J$200</definedName>
    <definedName hidden="1" localSheetId="0" name="_xlnm._FilterDatabase">CONTROLE!$A$2:$N$2524</definedName>
  </definedNames>
  <calcPr/>
</workbook>
</file>

<file path=xl/sharedStrings.xml><?xml version="1.0" encoding="utf-8"?>
<sst xmlns="http://schemas.openxmlformats.org/spreadsheetml/2006/main" count="5742" uniqueCount="262">
  <si>
    <t xml:space="preserve"> </t>
  </si>
  <si>
    <t>TOTAL PEÇAS</t>
  </si>
  <si>
    <t>KG</t>
  </si>
  <si>
    <t>TOTAL PERCA</t>
  </si>
  <si>
    <t>% QUEBRA</t>
  </si>
  <si>
    <t>DATA</t>
  </si>
  <si>
    <t/>
  </si>
  <si>
    <t>REPUXADOR</t>
  </si>
  <si>
    <t>HORA INÍCIO</t>
  </si>
  <si>
    <t>HORA FINAL</t>
  </si>
  <si>
    <t>HORA TOTAL</t>
  </si>
  <si>
    <t>QTD IDEAL P/H</t>
  </si>
  <si>
    <r>
      <rPr>
        <rFont val="Arial"/>
        <b/>
        <color theme="1"/>
      </rPr>
      <t xml:space="preserve">QTD </t>
    </r>
    <r>
      <rPr>
        <rFont val="Arial"/>
        <b/>
        <color theme="1"/>
        <sz val="7.0"/>
      </rPr>
      <t>PRODUZIDA</t>
    </r>
  </si>
  <si>
    <t>PERCAS</t>
  </si>
  <si>
    <t>SETOR RESP.</t>
  </si>
  <si>
    <t>CAUSA</t>
  </si>
  <si>
    <t>CANOPLA PADRAO</t>
  </si>
  <si>
    <t>BAHIA</t>
  </si>
  <si>
    <t>ATENAS P</t>
  </si>
  <si>
    <t>GUSTAVO</t>
  </si>
  <si>
    <t>AUSTIN/MUNIQUE</t>
  </si>
  <si>
    <t>BERLIM LUXO</t>
  </si>
  <si>
    <t>ATENAS M</t>
  </si>
  <si>
    <t>JOÃO</t>
  </si>
  <si>
    <t>BERLIN</t>
  </si>
  <si>
    <t>1ª OP ROMA M</t>
  </si>
  <si>
    <t>2ª OP ROMA M</t>
  </si>
  <si>
    <t>SOQUETE FINO</t>
  </si>
  <si>
    <t>DALLAS/DETROIT</t>
  </si>
  <si>
    <t>CASABLANCA/VERONA</t>
  </si>
  <si>
    <t>ATLANTA/BANGKOK</t>
  </si>
  <si>
    <t>VIENA PREMIUM</t>
  </si>
  <si>
    <t>ATENAS M LUXO</t>
  </si>
  <si>
    <t>2ª OP ATENAS G</t>
  </si>
  <si>
    <t>LIANO M</t>
  </si>
  <si>
    <t>RETRO P</t>
  </si>
  <si>
    <t>TAMPA ITALIA</t>
  </si>
  <si>
    <t>CANOPLA 11 X 2 GROSSA</t>
  </si>
  <si>
    <t>ADORNO PEQUIM</t>
  </si>
  <si>
    <t>REPUXO</t>
  </si>
  <si>
    <t>PERCA AO PROGRAMAR (MELHORIA)</t>
  </si>
  <si>
    <t>RETRO G</t>
  </si>
  <si>
    <t>ADORNO ISTAMBUL PREMIUM</t>
  </si>
  <si>
    <t>MILAN</t>
  </si>
  <si>
    <t>BARILOCHE LUXO</t>
  </si>
  <si>
    <t>BARILOCHE</t>
  </si>
  <si>
    <t>DISCO RACHOU</t>
  </si>
  <si>
    <t>ADORNO MONACO G</t>
  </si>
  <si>
    <t>MONTREAL LUXO</t>
  </si>
  <si>
    <t>ADORNO MONACO M</t>
  </si>
  <si>
    <t>MONACO G LUXO</t>
  </si>
  <si>
    <t>FUJI P</t>
  </si>
  <si>
    <t>LUCAS</t>
  </si>
  <si>
    <t>TAMPA TUBO GROSSO</t>
  </si>
  <si>
    <t>1ª OP ATENAS G</t>
  </si>
  <si>
    <t>ADORNO TAJ MAHAL P</t>
  </si>
  <si>
    <t>ARRUELA DO ZADAR</t>
  </si>
  <si>
    <t>CANOPLA 7,5CM</t>
  </si>
  <si>
    <t>EGITO</t>
  </si>
  <si>
    <t>SOQUETE GROSSO</t>
  </si>
  <si>
    <t>ATENAS P LUXO</t>
  </si>
  <si>
    <t>ADORNO MONTREAL</t>
  </si>
  <si>
    <t>BRUXELAS</t>
  </si>
  <si>
    <t>BALI (CRAVADO)</t>
  </si>
  <si>
    <t>INFERIOR BALI</t>
  </si>
  <si>
    <t>JEDAIAS</t>
  </si>
  <si>
    <t>XANGAI</t>
  </si>
  <si>
    <t>TAMPA PEND MOLA</t>
  </si>
  <si>
    <t>TAMPA MOLA</t>
  </si>
  <si>
    <t>1ª OP DUBAI</t>
  </si>
  <si>
    <t>2ª OP DUBAI</t>
  </si>
  <si>
    <t>ATENAS G</t>
  </si>
  <si>
    <t>ADORNO TAJ MAHAL M</t>
  </si>
  <si>
    <t>ADORNO DETROIT/MUMBAI</t>
  </si>
  <si>
    <t>ADORNO XANGAI</t>
  </si>
  <si>
    <t>FUJI M</t>
  </si>
  <si>
    <t>TAMPA TUBO FINO</t>
  </si>
  <si>
    <t>ADORNO MUNIQUE</t>
  </si>
  <si>
    <t>DUBAI LITE</t>
  </si>
  <si>
    <t>SOQUETE 4CM</t>
  </si>
  <si>
    <t>TAMBOR</t>
  </si>
  <si>
    <t xml:space="preserve">TESTE COM DISCO MAIS FINO </t>
  </si>
  <si>
    <t>**REFILE**</t>
  </si>
  <si>
    <t>PINTURA</t>
  </si>
  <si>
    <t>BICO ESTOURADO</t>
  </si>
  <si>
    <t>CAIU E AMASSOU</t>
  </si>
  <si>
    <t>FINO DE MAIS POR REPASSE</t>
  </si>
  <si>
    <t>FUROU ERRADO (TORTO)</t>
  </si>
  <si>
    <t>REAÇÃO DA TINTA (SEM RECUPERAÇÃO)</t>
  </si>
  <si>
    <t>VIROLA TORTA</t>
  </si>
  <si>
    <t>ESCRESPADO AJUSTE MAQUINA</t>
  </si>
  <si>
    <t>PROB. CONTRA FUNDO/MELHORA LIXA</t>
  </si>
  <si>
    <t>CANOPLA 11CM</t>
  </si>
  <si>
    <t>LIANO P</t>
  </si>
  <si>
    <t>ADORNO TEXAS/DALLAS</t>
  </si>
  <si>
    <t>CANOPLA 19CM</t>
  </si>
  <si>
    <t>AUSTIN</t>
  </si>
  <si>
    <t>RAFAEL</t>
  </si>
  <si>
    <t>ADORNO SINTRA/MAFRA</t>
  </si>
  <si>
    <t>MUNIQUE</t>
  </si>
  <si>
    <t>SIENA</t>
  </si>
  <si>
    <t>LONDRES PREMIUM</t>
  </si>
  <si>
    <t>BORDA MUITO TORTA E FINA</t>
  </si>
  <si>
    <t>DIVERSOS</t>
  </si>
  <si>
    <t>DEVOLUÇÃO REPRE. AMASSADO</t>
  </si>
  <si>
    <t>ISTAMBUL</t>
  </si>
  <si>
    <t>MODELO ANTIGO (COM BORDA) TORTO, FINO.</t>
  </si>
  <si>
    <t>YORK P</t>
  </si>
  <si>
    <t>SUPERIOR MIAMI G</t>
  </si>
  <si>
    <t>LIANO M C/FURO DE 32</t>
  </si>
  <si>
    <t>LIXA</t>
  </si>
  <si>
    <t>SOLTOU BORDA</t>
  </si>
  <si>
    <t>TEXAS/MUMBAI</t>
  </si>
  <si>
    <t>MONACO G</t>
  </si>
  <si>
    <t>VENEZA G</t>
  </si>
  <si>
    <t>FLORENCA PREMIUM</t>
  </si>
  <si>
    <t>FLORENCA</t>
  </si>
  <si>
    <t>DUBLIN</t>
  </si>
  <si>
    <t>MONTAGEM</t>
  </si>
  <si>
    <t>LONDRES</t>
  </si>
  <si>
    <t>MATERIAL RUIM (RASGOU)</t>
  </si>
  <si>
    <t>PEÇA FORA PADRAO (MUITO ANTIGA CLAUDIO)</t>
  </si>
  <si>
    <t>QUEBEC</t>
  </si>
  <si>
    <t>COPO MIAMI P</t>
  </si>
  <si>
    <t>PERCA AO PROGRAMAR (INICIO)</t>
  </si>
  <si>
    <t>INFERIOR TAJ MAHAL G</t>
  </si>
  <si>
    <t>CANOPLA ALASKA</t>
  </si>
  <si>
    <t>HASTE 10X2</t>
  </si>
  <si>
    <t>VOLTOU EM CIMA</t>
  </si>
  <si>
    <t>1 OP ATENAS G LUXO</t>
  </si>
  <si>
    <t>2 OP ATENAS G LUXO</t>
  </si>
  <si>
    <t>PEQUIM</t>
  </si>
  <si>
    <t>ADORNO TAJ MAHAL G</t>
  </si>
  <si>
    <t>PARIS P</t>
  </si>
  <si>
    <t>PARIS P LUXO</t>
  </si>
  <si>
    <t>MONACO M</t>
  </si>
  <si>
    <t>RICHARD</t>
  </si>
  <si>
    <t>VIENA</t>
  </si>
  <si>
    <t>MADRI</t>
  </si>
  <si>
    <t>TUBO 30 CM GROSSO</t>
  </si>
  <si>
    <t>TUBO 30 CM FINO</t>
  </si>
  <si>
    <t>MOLA</t>
  </si>
  <si>
    <t>HASTE 17X2</t>
  </si>
  <si>
    <t>ROSCA ESPANADA</t>
  </si>
  <si>
    <t>SOLTOU VIROLA/BORDA</t>
  </si>
  <si>
    <t>SUPERIOR MIAMI M</t>
  </si>
  <si>
    <t>TESTE</t>
  </si>
  <si>
    <t>FUJI-P</t>
  </si>
  <si>
    <t>SUPERIOR MIAMI P</t>
  </si>
  <si>
    <t>JONATAN</t>
  </si>
  <si>
    <t>SANTIAGO LUXO</t>
  </si>
  <si>
    <t>APRENDIZ (FUNCIONARIO NOVO)</t>
  </si>
  <si>
    <t>ADORNO SANTIAGO</t>
  </si>
  <si>
    <t>234.</t>
  </si>
  <si>
    <t>SPOTNIK G</t>
  </si>
  <si>
    <t>NEPAL</t>
  </si>
  <si>
    <t>ADORNO NEPAL/GENEBRA</t>
  </si>
  <si>
    <t>CORNETA MIAMI M</t>
  </si>
  <si>
    <t>RENAN</t>
  </si>
  <si>
    <t>ATENAS G LUXO</t>
  </si>
  <si>
    <t>INFERIOR MIAMI M (FURO DE 110)</t>
  </si>
  <si>
    <t>INFERIOR MIAMI P (FURO DE 075)</t>
  </si>
  <si>
    <t>reAÇÃO DA TINTA (SEM RECUPERAÇÃO)</t>
  </si>
  <si>
    <t>REPUXO RUIM (MUITO FORA DO PADRAO)</t>
  </si>
  <si>
    <t>HASTE 21X2</t>
  </si>
  <si>
    <t>JOSE</t>
  </si>
  <si>
    <t>CLAUDIO</t>
  </si>
  <si>
    <t>CONE FLORENCA PREMIUM</t>
  </si>
  <si>
    <t>FELIPE</t>
  </si>
  <si>
    <t>SUPERIOR TOQUIO P/M</t>
  </si>
  <si>
    <t>ENCRESPADO (REPUXO MANUAL)</t>
  </si>
  <si>
    <t>SUPLÁ</t>
  </si>
  <si>
    <t>VINICIUS</t>
  </si>
  <si>
    <t>AMASSADO DEV. MERC.LIVRE</t>
  </si>
  <si>
    <t>ENCRESPADO SEM RECUPERAÇÃO</t>
  </si>
  <si>
    <t>MOSCOU</t>
  </si>
  <si>
    <t>HASTE 54X2</t>
  </si>
  <si>
    <t>DOBROU ERRADO</t>
  </si>
  <si>
    <t>MANILA</t>
  </si>
  <si>
    <t>FORMA 25</t>
  </si>
  <si>
    <t>COPO MIAMI M</t>
  </si>
  <si>
    <t>C1</t>
  </si>
  <si>
    <t>TAMPA PIZZA</t>
  </si>
  <si>
    <t>1ª OP SIENA</t>
  </si>
  <si>
    <t>2ª OP SIENA</t>
  </si>
  <si>
    <t>MANILA Ø32</t>
  </si>
  <si>
    <t>MILAN Ø32</t>
  </si>
  <si>
    <t>SATURNO Ø110</t>
  </si>
  <si>
    <t>ROMA M</t>
  </si>
  <si>
    <t>COMERCIAL</t>
  </si>
  <si>
    <t>LIANO M Ø32</t>
  </si>
  <si>
    <t>HASTE 43X2</t>
  </si>
  <si>
    <t>CANOPLA 11 X 2 MANILA Ø32</t>
  </si>
  <si>
    <t>TIAGO</t>
  </si>
  <si>
    <t>ROMA M P/REPASSE</t>
  </si>
  <si>
    <t>LIANO P Ø32</t>
  </si>
  <si>
    <t>FORMA 15</t>
  </si>
  <si>
    <t>FORMA 20</t>
  </si>
  <si>
    <t>ENTORTOU ERRADO SEM RECUPERAÇÃO</t>
  </si>
  <si>
    <t>FORMA 35</t>
  </si>
  <si>
    <t>CANOPLA 40CM</t>
  </si>
  <si>
    <t>VENEZA G LUXO</t>
  </si>
  <si>
    <t>HASTE 17X1</t>
  </si>
  <si>
    <t>CORNETA VIGORINI</t>
  </si>
  <si>
    <t>DUBAI COMPLETO (1 E 2 OP)</t>
  </si>
  <si>
    <t>CORNETA MIAMI P</t>
  </si>
  <si>
    <t>MOSCOU (1º e 2º OP)</t>
  </si>
  <si>
    <t>ADORNO SANTORINI</t>
  </si>
  <si>
    <t xml:space="preserve">MONTREAL REPASSE </t>
  </si>
  <si>
    <t>CORNETA GENEBRA</t>
  </si>
  <si>
    <t>SUPERIOR SANTORINI P</t>
  </si>
  <si>
    <t>CORNETA SANTORINI</t>
  </si>
  <si>
    <t>KOS</t>
  </si>
  <si>
    <t>FORMA 30</t>
  </si>
  <si>
    <t>PARIS G</t>
  </si>
  <si>
    <t>ADORNO INFERIOR QUEBEC LUXO</t>
  </si>
  <si>
    <t>TOTAL BALI</t>
  </si>
  <si>
    <t>SUP MIAMI G</t>
  </si>
  <si>
    <t>BOGOTA</t>
  </si>
  <si>
    <t>CANOPLA 20CM</t>
  </si>
  <si>
    <t>SEVILHA</t>
  </si>
  <si>
    <t>ADORNO LONDRES PREMIUM</t>
  </si>
  <si>
    <t>CANOPLA 11,5 x0.8</t>
  </si>
  <si>
    <t>CANOPLA QUADRADA</t>
  </si>
  <si>
    <t xml:space="preserve">CANOPLA 15 </t>
  </si>
  <si>
    <t>CANOPLA 25</t>
  </si>
  <si>
    <t>CANOPLA 30</t>
  </si>
  <si>
    <t>CANOPLA 35</t>
  </si>
  <si>
    <t>LUME</t>
  </si>
  <si>
    <t>CANOPLA 11 X 2,5 GROSSA</t>
  </si>
  <si>
    <t>MONACO M LUXO</t>
  </si>
  <si>
    <t>ADORNO KOS</t>
  </si>
  <si>
    <t>TAMPA TUBO GROSSO S/FURO</t>
  </si>
  <si>
    <t>79.</t>
  </si>
  <si>
    <t>CANOPLA 11 X 2,5 MANILA Ø32</t>
  </si>
  <si>
    <t>PRODUTOS</t>
  </si>
  <si>
    <t>DIAM.</t>
  </si>
  <si>
    <t>ESP.</t>
  </si>
  <si>
    <t>PESO</t>
  </si>
  <si>
    <t>IDEAL P/H</t>
  </si>
  <si>
    <t>SETOR RESPONSAVEL</t>
  </si>
  <si>
    <t>TIPOS DE CAUSA PARA QUEBRA DAS PEÇAS</t>
  </si>
  <si>
    <t>MATEUS</t>
  </si>
  <si>
    <t>AD SANTIAGO LUXO/ SUP BARILOCHE</t>
  </si>
  <si>
    <t>ADORNO VERONA</t>
  </si>
  <si>
    <t>BASE ABAJUR</t>
  </si>
  <si>
    <t>CANOPLA 23CM</t>
  </si>
  <si>
    <t>CANOPLA 27CM</t>
  </si>
  <si>
    <t>CONE MADRI</t>
  </si>
  <si>
    <t>COPO MIAMI G</t>
  </si>
  <si>
    <t>CORNETA MIAMI G</t>
  </si>
  <si>
    <t>FORMA 40</t>
  </si>
  <si>
    <t>INFERIOR MIAMI G (FURO DE 155)</t>
  </si>
  <si>
    <t>INFERIOR TOQUIO P/M</t>
  </si>
  <si>
    <t>MONTREAL</t>
  </si>
  <si>
    <t>PARIS G LUXO</t>
  </si>
  <si>
    <t>SUPERIOR TOQUIO G</t>
  </si>
  <si>
    <t>TAJ MAHAL G</t>
  </si>
  <si>
    <t>TUBO 50 CM GROSSO</t>
  </si>
  <si>
    <t>TUBO 50CM FINO</t>
  </si>
  <si>
    <t>VENEZA M</t>
  </si>
  <si>
    <t>VENEZA M LUXO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</si>
</sst>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#,##0.000"/>
    <numFmt numFmtId="165" formatCode="dd/MM/yyyy"/>
    <numFmt numFmtId="166" formatCode="hh&quot;:&quot;mm"/>
    <numFmt numFmtId="167" formatCode="[h]:mm"/>
    <numFmt numFmtId="168" formatCode="0.000"/>
    <numFmt numFmtId="169" formatCode="hh:mm"/>
    <numFmt numFmtId="170" formatCode="dd/mm/yyyy"/>
    <numFmt numFmtId="171" formatCode="#,##0.00000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8.0"/>
      <color theme="1"/>
      <name val="Arial"/>
      <scheme val="minor"/>
    </font>
    <font>
      <sz val="15.0"/>
      <color theme="1"/>
      <name val="Arial"/>
      <scheme val="minor"/>
    </font>
    <font>
      <color rgb="FFD9D9D9"/>
      <name val="Arial"/>
      <scheme val="minor"/>
    </font>
    <font>
      <color theme="1"/>
      <name val="Arial"/>
    </font>
    <font>
      <color theme="1"/>
      <name val="&quot;Arial MT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B4B4"/>
        <bgColor rgb="FFFFB4B4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FFE6E6"/>
        <bgColor rgb="FFFFE6E6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E6B8AF"/>
        <bgColor rgb="FFE6B8A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3" fontId="1" numFmtId="164" xfId="0" applyAlignment="1" applyBorder="1" applyFont="1" applyNumberFormat="1">
      <alignment horizontal="center" readingOrder="0" shrinkToFit="0" vertical="center" wrapText="1"/>
    </xf>
    <xf borderId="1" fillId="3" fontId="1" numFmtId="10" xfId="0" applyAlignment="1" applyBorder="1" applyFont="1" applyNumberForma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2" fontId="1" numFmtId="165" xfId="0" applyAlignment="1" applyBorder="1" applyFont="1" applyNumberFormat="1">
      <alignment horizontal="center" readingOrder="0" shrinkToFit="0" vertical="center" wrapText="1"/>
    </xf>
    <xf quotePrefix="1" borderId="1" fillId="2" fontId="1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ont="1">
      <alignment horizontal="center" readingOrder="0" shrinkToFit="0" vertical="center" wrapText="1"/>
    </xf>
    <xf borderId="1" fillId="3" fontId="3" numFmtId="10" xfId="0" applyAlignment="1" applyBorder="1" applyFont="1" applyNumberFormat="1">
      <alignment horizontal="center" readingOrder="0" shrinkToFit="0" vertical="center" wrapText="1"/>
    </xf>
    <xf borderId="2" fillId="4" fontId="4" numFmtId="1" xfId="0" applyAlignment="1" applyBorder="1" applyFill="1" applyFont="1" applyNumberFormat="1">
      <alignment horizontal="center" shrinkToFit="0" vertical="center" wrapText="1"/>
    </xf>
    <xf borderId="2" fillId="4" fontId="4" numFmtId="2" xfId="0" applyAlignment="1" applyBorder="1" applyFont="1" applyNumberFormat="1">
      <alignment horizontal="center" shrinkToFit="0" vertical="center" wrapText="1"/>
    </xf>
    <xf borderId="1" fillId="5" fontId="4" numFmtId="0" xfId="0" applyAlignment="1" applyBorder="1" applyFill="1" applyFont="1">
      <alignment horizontal="center" shrinkToFit="0" vertical="center" wrapText="1"/>
    </xf>
    <xf borderId="1" fillId="5" fontId="4" numFmtId="2" xfId="0" applyAlignment="1" applyBorder="1" applyFont="1" applyNumberFormat="1">
      <alignment horizontal="center" shrinkToFit="0" vertical="center" wrapText="1"/>
    </xf>
    <xf borderId="1" fillId="5" fontId="4" numFmtId="10" xfId="0" applyAlignment="1" applyBorder="1" applyFont="1" applyNumberFormat="1">
      <alignment horizontal="center" shrinkToFit="0" vertical="center" wrapText="1"/>
    </xf>
    <xf borderId="1" fillId="0" fontId="2" numFmtId="165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2" numFmtId="166" xfId="0" applyAlignment="1" applyBorder="1" applyFont="1" applyNumberFormat="1">
      <alignment horizontal="center" readingOrder="0"/>
    </xf>
    <xf borderId="1" fillId="6" fontId="2" numFmtId="167" xfId="0" applyAlignment="1" applyBorder="1" applyFill="1" applyFont="1" applyNumberFormat="1">
      <alignment horizontal="center" readingOrder="0"/>
    </xf>
    <xf borderId="1" fillId="6" fontId="2" numFmtId="0" xfId="0" applyAlignment="1" applyBorder="1" applyFont="1">
      <alignment horizontal="center" readingOrder="0"/>
    </xf>
    <xf borderId="1" fillId="4" fontId="2" numFmtId="0" xfId="0" applyAlignment="1" applyBorder="1" applyFont="1">
      <alignment horizontal="center" readingOrder="0"/>
    </xf>
    <xf borderId="1" fillId="6" fontId="2" numFmtId="168" xfId="0" applyAlignment="1" applyBorder="1" applyFont="1" applyNumberFormat="1">
      <alignment horizontal="center" readingOrder="0"/>
    </xf>
    <xf borderId="1" fillId="7" fontId="2" numFmtId="0" xfId="0" applyAlignment="1" applyBorder="1" applyFill="1" applyFont="1">
      <alignment horizontal="center" readingOrder="0"/>
    </xf>
    <xf borderId="1" fillId="6" fontId="2" numFmtId="164" xfId="0" applyAlignment="1" applyBorder="1" applyFont="1" applyNumberFormat="1">
      <alignment horizontal="center" readingOrder="0"/>
    </xf>
    <xf borderId="1" fillId="6" fontId="2" numFmtId="10" xfId="0" applyAlignment="1" applyBorder="1" applyFont="1" applyNumberFormat="1">
      <alignment horizontal="center" readingOrder="0"/>
    </xf>
    <xf borderId="1" fillId="7" fontId="2" numFmtId="0" xfId="0" applyBorder="1" applyFont="1"/>
    <xf borderId="0" fillId="0" fontId="2" numFmtId="0" xfId="0" applyAlignment="1" applyFont="1">
      <alignment horizontal="center"/>
    </xf>
    <xf borderId="1" fillId="0" fontId="2" numFmtId="169" xfId="0" applyAlignment="1" applyBorder="1" applyFont="1" applyNumberFormat="1">
      <alignment horizontal="center" readingOrder="0"/>
    </xf>
    <xf borderId="1" fillId="7" fontId="2" numFmtId="0" xfId="0" applyAlignment="1" applyBorder="1" applyFont="1">
      <alignment readingOrder="0"/>
    </xf>
    <xf borderId="0" fillId="0" fontId="2" numFmtId="10" xfId="0" applyAlignment="1" applyFont="1" applyNumberFormat="1">
      <alignment horizontal="center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ont="1">
      <alignment readingOrder="0"/>
    </xf>
    <xf borderId="1" fillId="0" fontId="2" numFmtId="170" xfId="0" applyAlignment="1" applyBorder="1" applyFont="1" applyNumberFormat="1">
      <alignment horizontal="center" readingOrder="0"/>
    </xf>
    <xf borderId="1" fillId="4" fontId="2" numFmtId="0" xfId="0" applyAlignment="1" applyBorder="1" applyFont="1">
      <alignment horizontal="center"/>
    </xf>
    <xf borderId="1" fillId="7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3" fillId="7" fontId="2" numFmtId="0" xfId="0" applyAlignment="1" applyBorder="1" applyFont="1">
      <alignment readingOrder="0"/>
    </xf>
    <xf borderId="3" fillId="5" fontId="2" numFmtId="0" xfId="0" applyAlignment="1" applyBorder="1" applyFont="1">
      <alignment readingOrder="0"/>
    </xf>
    <xf borderId="0" fillId="8" fontId="2" numFmtId="0" xfId="0" applyAlignment="1" applyFill="1" applyFont="1">
      <alignment horizontal="center"/>
    </xf>
    <xf borderId="0" fillId="8" fontId="2" numFmtId="0" xfId="0" applyFont="1"/>
    <xf borderId="1" fillId="8" fontId="2" numFmtId="166" xfId="0" applyAlignment="1" applyBorder="1" applyFont="1" applyNumberFormat="1">
      <alignment horizontal="center" readingOrder="0"/>
    </xf>
    <xf borderId="1" fillId="5" fontId="2" numFmtId="165" xfId="0" applyAlignment="1" applyBorder="1" applyFont="1" applyNumberFormat="1">
      <alignment horizontal="center" readingOrder="0"/>
    </xf>
    <xf borderId="1" fillId="5" fontId="2" numFmtId="0" xfId="0" applyAlignment="1" applyBorder="1" applyFont="1">
      <alignment horizontal="left" readingOrder="0"/>
    </xf>
    <xf borderId="1" fillId="5" fontId="2" numFmtId="166" xfId="0" applyAlignment="1" applyBorder="1" applyFont="1" applyNumberFormat="1">
      <alignment horizontal="center" readingOrder="0"/>
    </xf>
    <xf borderId="1" fillId="5" fontId="2" numFmtId="0" xfId="0" applyAlignment="1" applyBorder="1" applyFont="1">
      <alignment horizontal="center" readingOrder="0"/>
    </xf>
    <xf borderId="1" fillId="5" fontId="2" numFmtId="0" xfId="0" applyAlignment="1" applyBorder="1" applyFont="1">
      <alignment horizontal="center"/>
    </xf>
    <xf borderId="1" fillId="5" fontId="2" numFmtId="168" xfId="0" applyAlignment="1" applyBorder="1" applyFont="1" applyNumberFormat="1">
      <alignment horizontal="center" readingOrder="0"/>
    </xf>
    <xf borderId="1" fillId="5" fontId="2" numFmtId="164" xfId="0" applyAlignment="1" applyBorder="1" applyFont="1" applyNumberFormat="1">
      <alignment horizontal="center" readingOrder="0"/>
    </xf>
    <xf borderId="1" fillId="5" fontId="2" numFmtId="10" xfId="0" applyAlignment="1" applyBorder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166" xfId="0" applyAlignment="1" applyFont="1" applyNumberFormat="1">
      <alignment horizontal="center" readingOrder="0"/>
    </xf>
    <xf borderId="0" fillId="6" fontId="2" numFmtId="167" xfId="0" applyAlignment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4" fontId="2" numFmtId="0" xfId="0" applyAlignment="1" applyFont="1">
      <alignment horizontal="center" readingOrder="0"/>
    </xf>
    <xf borderId="0" fillId="6" fontId="2" numFmtId="168" xfId="0" applyAlignment="1" applyFont="1" applyNumberFormat="1">
      <alignment horizontal="center" readingOrder="0"/>
    </xf>
    <xf borderId="0" fillId="7" fontId="2" numFmtId="0" xfId="0" applyAlignment="1" applyFont="1">
      <alignment horizontal="center" readingOrder="0"/>
    </xf>
    <xf borderId="0" fillId="6" fontId="2" numFmtId="164" xfId="0" applyAlignment="1" applyFont="1" applyNumberFormat="1">
      <alignment horizontal="center" readingOrder="0"/>
    </xf>
    <xf borderId="0" fillId="6" fontId="2" numFmtId="10" xfId="0" applyAlignment="1" applyFont="1" applyNumberFormat="1">
      <alignment horizontal="center" readingOrder="0"/>
    </xf>
    <xf borderId="0" fillId="7" fontId="2" numFmtId="0" xfId="0" applyFont="1"/>
    <xf borderId="0" fillId="7" fontId="2" numFmtId="0" xfId="0" applyAlignment="1" applyFont="1">
      <alignment readingOrder="0"/>
    </xf>
    <xf borderId="0" fillId="5" fontId="2" numFmtId="0" xfId="0" applyAlignment="1" applyFont="1">
      <alignment horizontal="center"/>
    </xf>
    <xf borderId="0" fillId="5" fontId="2" numFmtId="0" xfId="0" applyFont="1"/>
    <xf borderId="1" fillId="5" fontId="2" numFmtId="0" xfId="0" applyBorder="1" applyFont="1"/>
    <xf borderId="1" fillId="6" fontId="5" numFmtId="168" xfId="0" applyAlignment="1" applyBorder="1" applyFont="1" applyNumberForma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0" fillId="10" fontId="2" numFmtId="0" xfId="0" applyAlignment="1" applyFill="1" applyFont="1">
      <alignment horizontal="center"/>
    </xf>
    <xf borderId="0" fillId="10" fontId="2" numFmtId="0" xfId="0" applyFont="1"/>
    <xf borderId="1" fillId="10" fontId="2" numFmtId="165" xfId="0" applyAlignment="1" applyBorder="1" applyFont="1" applyNumberFormat="1">
      <alignment horizontal="center" readingOrder="0"/>
    </xf>
    <xf borderId="1" fillId="10" fontId="2" numFmtId="0" xfId="0" applyAlignment="1" applyBorder="1" applyFont="1">
      <alignment horizontal="left" readingOrder="0"/>
    </xf>
    <xf borderId="1" fillId="10" fontId="2" numFmtId="166" xfId="0" applyAlignment="1" applyBorder="1" applyFont="1" applyNumberFormat="1">
      <alignment horizontal="center" readingOrder="0"/>
    </xf>
    <xf borderId="1" fillId="10" fontId="2" numFmtId="0" xfId="0" applyAlignment="1" applyBorder="1" applyFont="1">
      <alignment horizontal="center"/>
    </xf>
    <xf borderId="1" fillId="10" fontId="2" numFmtId="0" xfId="0" applyAlignment="1" applyBorder="1" applyFont="1">
      <alignment horizontal="center" readingOrder="0"/>
    </xf>
    <xf borderId="1" fillId="10" fontId="2" numFmtId="0" xfId="0" applyAlignment="1" applyBorder="1" applyFont="1">
      <alignment readingOrder="0"/>
    </xf>
    <xf borderId="1" fillId="11" fontId="2" numFmtId="165" xfId="0" applyAlignment="1" applyBorder="1" applyFill="1" applyFont="1" applyNumberFormat="1">
      <alignment horizontal="center" readingOrder="0"/>
    </xf>
    <xf borderId="1" fillId="11" fontId="2" numFmtId="0" xfId="0" applyAlignment="1" applyBorder="1" applyFont="1">
      <alignment horizontal="left" readingOrder="0"/>
    </xf>
    <xf borderId="1" fillId="11" fontId="2" numFmtId="166" xfId="0" applyAlignment="1" applyBorder="1" applyFont="1" applyNumberFormat="1">
      <alignment horizontal="center" readingOrder="0"/>
    </xf>
    <xf borderId="1" fillId="11" fontId="2" numFmtId="0" xfId="0" applyAlignment="1" applyBorder="1" applyFont="1">
      <alignment horizontal="center"/>
    </xf>
    <xf borderId="1" fillId="11" fontId="2" numFmtId="0" xfId="0" applyAlignment="1" applyBorder="1" applyFont="1">
      <alignment horizontal="center" readingOrder="0"/>
    </xf>
    <xf borderId="1" fillId="11" fontId="2" numFmtId="0" xfId="0" applyAlignment="1" applyBorder="1" applyFont="1">
      <alignment readingOrder="0"/>
    </xf>
    <xf borderId="0" fillId="11" fontId="2" numFmtId="0" xfId="0" applyAlignment="1" applyFont="1">
      <alignment horizontal="center"/>
    </xf>
    <xf borderId="0" fillId="11" fontId="2" numFmtId="0" xfId="0" applyFont="1"/>
    <xf borderId="0" fillId="12" fontId="2" numFmtId="0" xfId="0" applyAlignment="1" applyFill="1" applyFont="1">
      <alignment horizontal="center"/>
    </xf>
    <xf borderId="0" fillId="12" fontId="2" numFmtId="0" xfId="0" applyFont="1"/>
    <xf borderId="1" fillId="12" fontId="2" numFmtId="165" xfId="0" applyAlignment="1" applyBorder="1" applyFont="1" applyNumberFormat="1">
      <alignment horizontal="center" readingOrder="0"/>
    </xf>
    <xf borderId="1" fillId="12" fontId="2" numFmtId="0" xfId="0" applyAlignment="1" applyBorder="1" applyFont="1">
      <alignment horizontal="left" readingOrder="0"/>
    </xf>
    <xf borderId="1" fillId="12" fontId="2" numFmtId="166" xfId="0" applyAlignment="1" applyBorder="1" applyFont="1" applyNumberFormat="1">
      <alignment horizontal="center" readingOrder="0"/>
    </xf>
    <xf borderId="1" fillId="12" fontId="2" numFmtId="0" xfId="0" applyAlignment="1" applyBorder="1" applyFont="1">
      <alignment horizontal="center"/>
    </xf>
    <xf borderId="1" fillId="12" fontId="2" numFmtId="0" xfId="0" applyAlignment="1" applyBorder="1" applyFont="1">
      <alignment horizontal="center" readingOrder="0"/>
    </xf>
    <xf borderId="1" fillId="12" fontId="2" numFmtId="0" xfId="0" applyAlignment="1" applyBorder="1" applyFont="1">
      <alignment readingOrder="0"/>
    </xf>
    <xf borderId="1" fillId="4" fontId="2" numFmtId="0" xfId="0" applyAlignment="1" applyBorder="1" applyFont="1">
      <alignment horizontal="left" readingOrder="0"/>
    </xf>
    <xf borderId="1" fillId="8" fontId="2" numFmtId="165" xfId="0" applyAlignment="1" applyBorder="1" applyFont="1" applyNumberFormat="1">
      <alignment horizontal="center" readingOrder="0"/>
    </xf>
    <xf borderId="1" fillId="8" fontId="2" numFmtId="0" xfId="0" applyAlignment="1" applyBorder="1" applyFont="1">
      <alignment horizontal="left" readingOrder="0"/>
    </xf>
    <xf borderId="1" fillId="8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0" fillId="13" fontId="2" numFmtId="0" xfId="0" applyAlignment="1" applyFill="1" applyFont="1">
      <alignment horizontal="center"/>
    </xf>
    <xf borderId="0" fillId="13" fontId="2" numFmtId="0" xfId="0" applyFont="1"/>
    <xf borderId="1" fillId="0" fontId="2" numFmtId="0" xfId="0" applyBorder="1" applyFont="1"/>
    <xf borderId="1" fillId="5" fontId="2" numFmtId="167" xfId="0" applyAlignment="1" applyBorder="1" applyFont="1" applyNumberFormat="1">
      <alignment horizontal="center" readingOrder="0"/>
    </xf>
    <xf borderId="1" fillId="0" fontId="2" numFmtId="165" xfId="0" applyAlignment="1" applyBorder="1" applyFont="1" applyNumberFormat="1">
      <alignment horizontal="center"/>
    </xf>
    <xf borderId="0" fillId="0" fontId="2" numFmtId="0" xfId="0" applyAlignment="1" applyFont="1">
      <alignment readingOrder="0"/>
    </xf>
    <xf borderId="0" fillId="7" fontId="2" numFmtId="0" xfId="0" applyAlignment="1" applyFont="1">
      <alignment horizontal="center"/>
    </xf>
    <xf borderId="0" fillId="4" fontId="2" numFmtId="0" xfId="0" applyAlignment="1" applyFont="1">
      <alignment readingOrder="0" shrinkToFit="0" vertical="center" wrapText="1"/>
    </xf>
    <xf borderId="0" fillId="4" fontId="2" numFmtId="164" xfId="0" applyAlignment="1" applyFont="1" applyNumberFormat="1">
      <alignment horizontal="center" readingOrder="0" shrinkToFit="0" vertical="center" wrapText="1"/>
    </xf>
    <xf borderId="0" fillId="4" fontId="2" numFmtId="171" xfId="0" applyAlignment="1" applyFont="1" applyNumberFormat="1">
      <alignment horizontal="center" readingOrder="0" shrinkToFit="0" vertical="center" wrapText="1"/>
    </xf>
    <xf borderId="0" fillId="4" fontId="2" numFmtId="0" xfId="0" applyAlignment="1" applyFont="1">
      <alignment horizontal="center" readingOrder="0" shrinkToFit="0" vertical="center" wrapText="1"/>
    </xf>
    <xf borderId="0" fillId="8" fontId="2" numFmtId="0" xfId="0" applyAlignment="1" applyFont="1">
      <alignment readingOrder="0" shrinkToFit="0" vertical="center" wrapText="1"/>
    </xf>
    <xf borderId="0" fillId="2" fontId="2" numFmtId="0" xfId="0" applyAlignment="1" applyFont="1">
      <alignment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14" fontId="2" numFmtId="0" xfId="0" applyAlignment="1" applyFill="1" applyFont="1">
      <alignment readingOrder="0" shrinkToFit="0" vertical="center" wrapText="1"/>
    </xf>
    <xf borderId="0" fillId="0" fontId="6" numFmtId="0" xfId="0" applyAlignment="1" applyFont="1">
      <alignment horizontal="left" readingOrder="0" vertical="top"/>
    </xf>
    <xf borderId="0" fillId="0" fontId="2" numFmtId="164" xfId="0" applyAlignment="1" applyFont="1" applyNumberFormat="1">
      <alignment horizontal="center" readingOrder="0"/>
    </xf>
    <xf borderId="0" fillId="0" fontId="2" numFmtId="171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readingOrder="0" vertical="bottom"/>
    </xf>
    <xf borderId="0" fillId="0" fontId="6" numFmtId="164" xfId="0" applyAlignment="1" applyFont="1" applyNumberFormat="1">
      <alignment horizontal="center" readingOrder="0" vertical="bottom"/>
    </xf>
    <xf borderId="0" fillId="0" fontId="6" numFmtId="164" xfId="0" applyAlignment="1" applyFont="1" applyNumberFormat="1">
      <alignment horizontal="center" vertical="bottom"/>
    </xf>
    <xf borderId="0" fillId="0" fontId="6" numFmtId="171" xfId="0" applyAlignment="1" applyFont="1" applyNumberFormat="1">
      <alignment horizontal="center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horizontal="left" readingOrder="0" vertical="top"/>
    </xf>
    <xf borderId="0" fillId="0" fontId="6" numFmtId="0" xfId="0" applyAlignment="1" applyFont="1">
      <alignment horizontal="center" readingOrder="0" vertical="bottom"/>
    </xf>
    <xf borderId="0" fillId="0" fontId="2" numFmtId="0" xfId="0" applyFont="1"/>
    <xf borderId="0" fillId="0" fontId="2" numFmtId="164" xfId="0" applyAlignment="1" applyFont="1" applyNumberFormat="1">
      <alignment horizontal="center"/>
    </xf>
    <xf borderId="0" fillId="8" fontId="8" numFmtId="164" xfId="0" applyAlignment="1" applyFont="1" applyNumberFormat="1">
      <alignment horizontal="center" readingOrder="0"/>
    </xf>
    <xf borderId="0" fillId="0" fontId="6" numFmtId="0" xfId="0" applyAlignment="1" applyFont="1">
      <alignment readingOrder="0" vertical="top"/>
    </xf>
    <xf borderId="0" fillId="0" fontId="2" numFmtId="171" xfId="0" applyAlignment="1" applyFont="1" applyNumberFormat="1">
      <alignment horizontal="center"/>
    </xf>
  </cellXfs>
  <cellStyles count="1">
    <cellStyle xfId="0" name="Normal" builtinId="0"/>
  </cellStyles>
  <dxfs count="4">
    <dxf>
      <font>
        <color rgb="FFD9D9D9"/>
      </font>
      <fill>
        <patternFill patternType="solid">
          <fgColor rgb="FFD9D9D9"/>
          <bgColor rgb="FFD9D9D9"/>
        </patternFill>
      </fill>
      <border/>
    </dxf>
    <dxf>
      <font>
        <color rgb="FFEFEFEF"/>
      </font>
      <fill>
        <patternFill patternType="solid">
          <fgColor rgb="FFD9D9D9"/>
          <bgColor rgb="FFD9D9D9"/>
        </patternFill>
      </fill>
      <border/>
    </dxf>
    <dxf>
      <font>
        <color rgb="FFF4CCCC"/>
      </font>
      <fill>
        <patternFill patternType="solid">
          <fgColor rgb="FFFFE6E6"/>
          <bgColor rgb="FFFFE6E6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31.0"/>
    <col customWidth="1" min="3" max="3" width="14.13"/>
    <col customWidth="1" min="4" max="4" width="8.63"/>
    <col customWidth="1" min="5" max="5" width="8.38"/>
    <col customWidth="1" min="6" max="6" width="8.88"/>
    <col customWidth="1" min="7" max="7" width="8.13"/>
    <col customWidth="1" min="8" max="8" width="7.88"/>
    <col customWidth="1" min="9" max="9" width="7.0"/>
    <col customWidth="1" min="10" max="10" width="9.5"/>
    <col customWidth="1" min="11" max="11" width="6.13"/>
    <col customWidth="1" min="12" max="12" width="9.25"/>
    <col customWidth="1" min="13" max="13" width="12.75"/>
    <col customWidth="1" min="14" max="14" width="37.88"/>
    <col customWidth="1" min="15" max="15" width="13.63"/>
    <col customWidth="1" min="16" max="19" width="13.25"/>
  </cols>
  <sheetData>
    <row r="1" ht="19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2"/>
      <c r="K1" s="3"/>
      <c r="L1" s="4"/>
      <c r="M1" s="2"/>
      <c r="N1" s="4"/>
      <c r="O1" s="5" t="s">
        <v>1</v>
      </c>
      <c r="P1" s="5" t="s">
        <v>2</v>
      </c>
      <c r="Q1" s="1" t="s">
        <v>3</v>
      </c>
      <c r="R1" s="1" t="s">
        <v>2</v>
      </c>
      <c r="S1" s="1" t="s">
        <v>4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 ht="33.75" customHeight="1">
      <c r="A2" s="7" t="s">
        <v>5</v>
      </c>
      <c r="B2" s="8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9" t="s">
        <v>11</v>
      </c>
      <c r="H2" s="1" t="s">
        <v>12</v>
      </c>
      <c r="I2" s="1" t="s">
        <v>2</v>
      </c>
      <c r="J2" s="10" t="s">
        <v>13</v>
      </c>
      <c r="K2" s="3" t="s">
        <v>2</v>
      </c>
      <c r="L2" s="11" t="s">
        <v>4</v>
      </c>
      <c r="M2" s="2" t="s">
        <v>14</v>
      </c>
      <c r="N2" s="4" t="s">
        <v>15</v>
      </c>
      <c r="O2" s="12">
        <f t="shared" ref="O2:R2" si="1">SUBTOTAL(9,H3:H3063)</f>
        <v>150476</v>
      </c>
      <c r="P2" s="13">
        <f t="shared" si="1"/>
        <v>18754.17145</v>
      </c>
      <c r="Q2" s="14">
        <f t="shared" si="1"/>
        <v>3959</v>
      </c>
      <c r="R2" s="15">
        <f t="shared" si="1"/>
        <v>554.6785083</v>
      </c>
      <c r="S2" s="16">
        <f>R2/P2</f>
        <v>0.02957627372</v>
      </c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</row>
    <row r="3">
      <c r="A3" s="17">
        <v>45323.0</v>
      </c>
      <c r="B3" s="18" t="s">
        <v>16</v>
      </c>
      <c r="C3" s="18" t="s">
        <v>17</v>
      </c>
      <c r="D3" s="19">
        <v>0.3125</v>
      </c>
      <c r="E3" s="19">
        <v>0.5</v>
      </c>
      <c r="F3" s="20">
        <f t="shared" ref="F3:F259" si="2">E3-D3</f>
        <v>0.1875</v>
      </c>
      <c r="G3" s="21">
        <f>IFERROR(VLOOKUP(B3,DADOS!$A$2:$H$252,8,0),"")</f>
        <v>150</v>
      </c>
      <c r="H3" s="22">
        <v>795.0</v>
      </c>
      <c r="I3" s="23">
        <f>IFERROR(VLOOKUP(B3,DADOS!$A$2:$H$252,4,0)*H3,"")</f>
        <v>23.001576</v>
      </c>
      <c r="J3" s="24">
        <v>9.0</v>
      </c>
      <c r="K3" s="25">
        <f>IFERROR(VLOOKUP(B3,DADOS!$A$2:$H$252,4,0)*J3,"")</f>
        <v>0.2603952</v>
      </c>
      <c r="L3" s="26">
        <f t="shared" ref="L3:L259" si="3">IFERROR(IF(C3="TAMBOR", K3/J3, K3/I3), "")
</f>
        <v>0.01132075472</v>
      </c>
      <c r="M3" s="27"/>
      <c r="N3" s="27"/>
      <c r="O3" s="28"/>
      <c r="P3" s="28"/>
      <c r="Q3" s="28"/>
      <c r="R3" s="28"/>
      <c r="S3" s="28"/>
    </row>
    <row r="4">
      <c r="A4" s="17">
        <v>45323.0</v>
      </c>
      <c r="B4" s="18" t="s">
        <v>18</v>
      </c>
      <c r="C4" s="18" t="s">
        <v>19</v>
      </c>
      <c r="D4" s="29">
        <v>0.3125</v>
      </c>
      <c r="E4" s="29">
        <v>0.5</v>
      </c>
      <c r="F4" s="20">
        <f t="shared" si="2"/>
        <v>0.1875</v>
      </c>
      <c r="G4" s="21">
        <f>IFERROR(VLOOKUP(B4,DADOS!$A$2:$H$252,8,0),"")</f>
        <v>21</v>
      </c>
      <c r="H4" s="22">
        <v>36.0</v>
      </c>
      <c r="I4" s="23">
        <f>IFERROR(VLOOKUP(B4,DADOS!$A$2:$H$252,4,0)*H4,"")</f>
        <v>10.546776</v>
      </c>
      <c r="J4" s="24">
        <v>2.0</v>
      </c>
      <c r="K4" s="25">
        <f>IFERROR(VLOOKUP(B4,DADOS!$A$2:$H$252,4,0)*J4,"")</f>
        <v>0.585932</v>
      </c>
      <c r="L4" s="26">
        <f t="shared" si="3"/>
        <v>0.05555555556</v>
      </c>
      <c r="M4" s="30"/>
      <c r="N4" s="27"/>
      <c r="O4" s="28"/>
      <c r="P4" s="28"/>
      <c r="Q4" s="28"/>
      <c r="R4" s="28"/>
      <c r="S4" s="28"/>
    </row>
    <row r="5">
      <c r="A5" s="17">
        <v>45323.0</v>
      </c>
      <c r="B5" s="18" t="s">
        <v>20</v>
      </c>
      <c r="C5" s="18" t="s">
        <v>19</v>
      </c>
      <c r="D5" s="29">
        <v>0.5416666666666666</v>
      </c>
      <c r="E5" s="19">
        <v>0.7291666666666666</v>
      </c>
      <c r="F5" s="20">
        <f t="shared" si="2"/>
        <v>0.1875</v>
      </c>
      <c r="G5" s="21" t="str">
        <f>IFERROR(VLOOKUP(B5,DADOS!$A$2:$H$252,8,0),"")</f>
        <v/>
      </c>
      <c r="H5" s="22">
        <v>115.0</v>
      </c>
      <c r="I5" s="23" t="str">
        <f>IFERROR(VLOOKUP(B5,DADOS!$A$2:$H$252,4,0)*H5,"")</f>
        <v/>
      </c>
      <c r="J5" s="24">
        <v>0.0</v>
      </c>
      <c r="K5" s="25" t="str">
        <f>IFERROR(VLOOKUP(B5,DADOS!$A$2:$H$252,4,0)*J5,"")</f>
        <v/>
      </c>
      <c r="L5" s="26" t="str">
        <f t="shared" si="3"/>
        <v/>
      </c>
      <c r="M5" s="27"/>
      <c r="N5" s="27"/>
      <c r="O5" s="28"/>
      <c r="P5" s="28"/>
      <c r="Q5" s="28"/>
      <c r="R5" s="28"/>
      <c r="S5" s="28"/>
    </row>
    <row r="6">
      <c r="A6" s="17">
        <v>45324.0</v>
      </c>
      <c r="B6" s="18" t="s">
        <v>16</v>
      </c>
      <c r="C6" s="18" t="s">
        <v>17</v>
      </c>
      <c r="D6" s="29">
        <v>0.5555555555555556</v>
      </c>
      <c r="E6" s="19">
        <v>0.6597222222222222</v>
      </c>
      <c r="F6" s="20">
        <f t="shared" si="2"/>
        <v>0.1041666667</v>
      </c>
      <c r="G6" s="21">
        <f>IFERROR(VLOOKUP(B6,DADOS!$A$2:$H$252,8,0),"")</f>
        <v>150</v>
      </c>
      <c r="H6" s="22">
        <v>119.0</v>
      </c>
      <c r="I6" s="23">
        <f>IFERROR(VLOOKUP(B6,DADOS!$A$2:$H$252,4,0)*H6,"")</f>
        <v>3.4430032</v>
      </c>
      <c r="J6" s="24">
        <v>0.0</v>
      </c>
      <c r="K6" s="25">
        <f>IFERROR(VLOOKUP(B6,DADOS!$A$2:$H$252,4,0)*J6,"0")</f>
        <v>0</v>
      </c>
      <c r="L6" s="26">
        <f t="shared" si="3"/>
        <v>0</v>
      </c>
      <c r="M6" s="27"/>
      <c r="N6" s="27"/>
      <c r="O6" s="28"/>
      <c r="P6" s="28"/>
      <c r="Q6" s="28"/>
      <c r="R6" s="31"/>
      <c r="S6" s="28"/>
    </row>
    <row r="7">
      <c r="A7" s="17">
        <v>45324.0</v>
      </c>
      <c r="B7" s="18" t="s">
        <v>21</v>
      </c>
      <c r="C7" s="18" t="s">
        <v>19</v>
      </c>
      <c r="D7" s="19">
        <v>0.5416666666666666</v>
      </c>
      <c r="E7" s="19">
        <v>0.7222222222222222</v>
      </c>
      <c r="F7" s="20">
        <f t="shared" si="2"/>
        <v>0.1805555556</v>
      </c>
      <c r="G7" s="21">
        <f>IFERROR(VLOOKUP(B7,DADOS!$A$2:$H$252,8,0),"")</f>
        <v>33</v>
      </c>
      <c r="H7" s="22">
        <v>55.0</v>
      </c>
      <c r="I7" s="23">
        <f>IFERROR(VLOOKUP(B7,DADOS!$A$2:$H$252,4,0)*H7,"")</f>
        <v>6.266348</v>
      </c>
      <c r="J7" s="24">
        <v>4.0</v>
      </c>
      <c r="K7" s="25">
        <f>IFERROR(VLOOKUP(B7,DADOS!$A$2:$H$252,4,0)*J7,"")</f>
        <v>0.4557344</v>
      </c>
      <c r="L7" s="26">
        <f t="shared" si="3"/>
        <v>0.07272727273</v>
      </c>
      <c r="M7" s="27"/>
      <c r="N7" s="27"/>
      <c r="O7" s="28"/>
      <c r="P7" s="28"/>
      <c r="Q7" s="28"/>
      <c r="R7" s="28"/>
      <c r="S7" s="28"/>
    </row>
    <row r="8">
      <c r="A8" s="17">
        <v>45325.0</v>
      </c>
      <c r="B8" s="18" t="s">
        <v>22</v>
      </c>
      <c r="C8" s="18" t="s">
        <v>23</v>
      </c>
      <c r="D8" s="19"/>
      <c r="E8" s="19"/>
      <c r="F8" s="20">
        <f t="shared" si="2"/>
        <v>0</v>
      </c>
      <c r="G8" s="21">
        <f>IFERROR(VLOOKUP(B8,DADOS!$A$2:$H$252,8,0),"")</f>
        <v>15</v>
      </c>
      <c r="H8" s="22">
        <v>59.0</v>
      </c>
      <c r="I8" s="23">
        <f>IFERROR(VLOOKUP(B8,DADOS!$A$2:$H$252,4,0)*H8,"")</f>
        <v>36.1242486</v>
      </c>
      <c r="J8" s="24">
        <v>0.0</v>
      </c>
      <c r="K8" s="25">
        <f>IFERROR(VLOOKUP(B8,DADOS!$A$2:$H$252,4,0)*J8,"")</f>
        <v>0</v>
      </c>
      <c r="L8" s="26">
        <f t="shared" si="3"/>
        <v>0</v>
      </c>
      <c r="M8" s="27"/>
      <c r="N8" s="27"/>
      <c r="O8" s="28"/>
      <c r="P8" s="28"/>
      <c r="Q8" s="28"/>
      <c r="R8" s="31"/>
      <c r="S8" s="28"/>
    </row>
    <row r="9">
      <c r="A9" s="17">
        <v>45327.0</v>
      </c>
      <c r="B9" s="18" t="s">
        <v>24</v>
      </c>
      <c r="C9" s="18" t="s">
        <v>19</v>
      </c>
      <c r="D9" s="19"/>
      <c r="E9" s="19"/>
      <c r="F9" s="20">
        <f t="shared" si="2"/>
        <v>0</v>
      </c>
      <c r="G9" s="21">
        <f>IFERROR(VLOOKUP(B9,DADOS!$A$2:$H$252,8,0),"")</f>
        <v>37</v>
      </c>
      <c r="H9" s="22">
        <v>34.0</v>
      </c>
      <c r="I9" s="23">
        <f>IFERROR(VLOOKUP(B9,DADOS!$A$2:$H$252,4,0)*H9,"")</f>
        <v>3.8737424</v>
      </c>
      <c r="J9" s="24">
        <v>4.0</v>
      </c>
      <c r="K9" s="25">
        <f>IFERROR(VLOOKUP(B9,DADOS!$A$2:$H$252,4,0)*J9,"")</f>
        <v>0.4557344</v>
      </c>
      <c r="L9" s="26">
        <f t="shared" si="3"/>
        <v>0.1176470588</v>
      </c>
      <c r="M9" s="27"/>
      <c r="N9" s="27"/>
      <c r="O9" s="28"/>
      <c r="P9" s="28"/>
      <c r="Q9" s="28"/>
      <c r="R9" s="28"/>
      <c r="S9" s="28"/>
    </row>
    <row r="10">
      <c r="A10" s="17">
        <v>45327.0</v>
      </c>
      <c r="B10" s="18" t="s">
        <v>25</v>
      </c>
      <c r="C10" s="18" t="s">
        <v>19</v>
      </c>
      <c r="D10" s="19"/>
      <c r="E10" s="19"/>
      <c r="F10" s="20">
        <f t="shared" si="2"/>
        <v>0</v>
      </c>
      <c r="G10" s="21">
        <f>IFERROR(VLOOKUP(B10,DADOS!$A$2:$H$252,8,0),"")</f>
        <v>40</v>
      </c>
      <c r="H10" s="22">
        <v>37.0</v>
      </c>
      <c r="I10" s="23">
        <f>IFERROR(VLOOKUP(B10,DADOS!$A$2:$H$252,4,0)*H10,"")</f>
        <v>3.832312</v>
      </c>
      <c r="J10" s="24">
        <v>0.0</v>
      </c>
      <c r="K10" s="25">
        <f>IFERROR(VLOOKUP(B10,DADOS!$A$2:$H$252,4,0)*J10,"")</f>
        <v>0</v>
      </c>
      <c r="L10" s="26">
        <f t="shared" si="3"/>
        <v>0</v>
      </c>
      <c r="M10" s="27"/>
      <c r="N10" s="27"/>
      <c r="O10" s="28"/>
      <c r="P10" s="28"/>
      <c r="Q10" s="28"/>
      <c r="R10" s="28"/>
      <c r="S10" s="28"/>
    </row>
    <row r="11">
      <c r="A11" s="17">
        <v>45327.0</v>
      </c>
      <c r="B11" s="18" t="s">
        <v>26</v>
      </c>
      <c r="C11" s="18" t="s">
        <v>19</v>
      </c>
      <c r="D11" s="19"/>
      <c r="E11" s="19"/>
      <c r="F11" s="20">
        <f t="shared" si="2"/>
        <v>0</v>
      </c>
      <c r="G11" s="21">
        <f>IFERROR(VLOOKUP(B11,DADOS!$A$2:$H$252,8,0),"")</f>
        <v>50</v>
      </c>
      <c r="H11" s="22">
        <v>36.0</v>
      </c>
      <c r="I11" s="23">
        <f>IFERROR(VLOOKUP(B11,DADOS!$A$2:$H$252,4,0)*H11,"")</f>
        <v>4.1016096</v>
      </c>
      <c r="J11" s="24">
        <v>1.0</v>
      </c>
      <c r="K11" s="25">
        <f>IFERROR(VLOOKUP(B11,DADOS!$A$2:$H$252,4,0)*J11,"")</f>
        <v>0.1139336</v>
      </c>
      <c r="L11" s="26">
        <f t="shared" si="3"/>
        <v>0.02777777778</v>
      </c>
      <c r="M11" s="27"/>
      <c r="N11" s="27"/>
      <c r="O11" s="28"/>
      <c r="P11" s="28"/>
      <c r="Q11" s="28"/>
      <c r="R11" s="28"/>
      <c r="S11" s="28"/>
    </row>
    <row r="12">
      <c r="A12" s="17">
        <v>45328.0</v>
      </c>
      <c r="B12" s="18" t="s">
        <v>27</v>
      </c>
      <c r="C12" s="18" t="s">
        <v>17</v>
      </c>
      <c r="D12" s="19"/>
      <c r="E12" s="19"/>
      <c r="F12" s="20">
        <f t="shared" si="2"/>
        <v>0</v>
      </c>
      <c r="G12" s="21">
        <f>IFERROR(VLOOKUP(B12,DADOS!$A$2:$H$252,8,0),"")</f>
        <v>30</v>
      </c>
      <c r="H12" s="22">
        <v>240.0</v>
      </c>
      <c r="I12" s="23">
        <f>IFERROR(VLOOKUP(B12,DADOS!$A$2:$H$252,4,0)*H12,"")</f>
        <v>4.1088</v>
      </c>
      <c r="J12" s="24">
        <v>1.0</v>
      </c>
      <c r="K12" s="25">
        <f>IFERROR(VLOOKUP(B12,DADOS!$A$2:$H$252,4,0)*J12,"")</f>
        <v>0.01712</v>
      </c>
      <c r="L12" s="26">
        <f t="shared" si="3"/>
        <v>0.004166666667</v>
      </c>
      <c r="M12" s="27"/>
      <c r="N12" s="27"/>
      <c r="O12" s="28"/>
      <c r="P12" s="28"/>
      <c r="Q12" s="28"/>
      <c r="R12" s="28"/>
      <c r="S12" s="28"/>
    </row>
    <row r="13">
      <c r="A13" s="17">
        <v>45328.0</v>
      </c>
      <c r="B13" s="18" t="s">
        <v>24</v>
      </c>
      <c r="C13" s="18" t="s">
        <v>19</v>
      </c>
      <c r="D13" s="19"/>
      <c r="E13" s="19"/>
      <c r="F13" s="20">
        <f t="shared" si="2"/>
        <v>0</v>
      </c>
      <c r="G13" s="21">
        <f>IFERROR(VLOOKUP(B13,DADOS!$A$2:$H$252,8,0),"")</f>
        <v>37</v>
      </c>
      <c r="H13" s="22">
        <v>22.0</v>
      </c>
      <c r="I13" s="23">
        <f>IFERROR(VLOOKUP(B13,DADOS!$A$2:$H$252,4,0)*H13,"")</f>
        <v>2.5065392</v>
      </c>
      <c r="J13" s="24">
        <v>1.0</v>
      </c>
      <c r="K13" s="25">
        <f>IFERROR(VLOOKUP(B13,DADOS!$A$2:$H$252,4,0)*J13,"")</f>
        <v>0.1139336</v>
      </c>
      <c r="L13" s="26">
        <f t="shared" si="3"/>
        <v>0.04545454545</v>
      </c>
      <c r="M13" s="27"/>
      <c r="N13" s="27"/>
      <c r="O13" s="28"/>
      <c r="P13" s="28"/>
      <c r="Q13" s="28"/>
      <c r="R13" s="28"/>
      <c r="S13" s="28"/>
    </row>
    <row r="14">
      <c r="A14" s="17">
        <v>45328.0</v>
      </c>
      <c r="B14" s="18" t="s">
        <v>25</v>
      </c>
      <c r="C14" s="18" t="s">
        <v>19</v>
      </c>
      <c r="D14" s="19"/>
      <c r="E14" s="19"/>
      <c r="F14" s="20">
        <f t="shared" si="2"/>
        <v>0</v>
      </c>
      <c r="G14" s="21">
        <f>IFERROR(VLOOKUP(B14,DADOS!$A$2:$H$252,8,0),"")</f>
        <v>40</v>
      </c>
      <c r="H14" s="22">
        <v>30.0</v>
      </c>
      <c r="I14" s="23">
        <f>IFERROR(VLOOKUP(B14,DADOS!$A$2:$H$252,4,0)*H14,"")</f>
        <v>3.10728</v>
      </c>
      <c r="J14" s="24">
        <v>0.0</v>
      </c>
      <c r="K14" s="25">
        <f>IFERROR(VLOOKUP(B14,DADOS!$A$2:$H$252,4,0)*J14,"")</f>
        <v>0</v>
      </c>
      <c r="L14" s="26">
        <f t="shared" si="3"/>
        <v>0</v>
      </c>
      <c r="M14" s="27"/>
      <c r="N14" s="27"/>
      <c r="O14" s="28"/>
      <c r="P14" s="28"/>
      <c r="Q14" s="28"/>
      <c r="R14" s="28"/>
      <c r="S14" s="28"/>
    </row>
    <row r="15">
      <c r="A15" s="17">
        <v>45328.0</v>
      </c>
      <c r="B15" s="18" t="s">
        <v>26</v>
      </c>
      <c r="C15" s="18" t="s">
        <v>19</v>
      </c>
      <c r="D15" s="19"/>
      <c r="E15" s="19"/>
      <c r="F15" s="20">
        <f t="shared" si="2"/>
        <v>0</v>
      </c>
      <c r="G15" s="21">
        <f>IFERROR(VLOOKUP(B15,DADOS!$A$2:$H$252,8,0),"")</f>
        <v>50</v>
      </c>
      <c r="H15" s="22">
        <v>30.0</v>
      </c>
      <c r="I15" s="23">
        <f>IFERROR(VLOOKUP(B15,DADOS!$A$2:$H$252,4,0)*H15,"")</f>
        <v>3.418008</v>
      </c>
      <c r="J15" s="24">
        <v>0.0</v>
      </c>
      <c r="K15" s="25">
        <f>IFERROR(VLOOKUP(B15,DADOS!$A$2:$H$252,4,0)*J15,"")</f>
        <v>0</v>
      </c>
      <c r="L15" s="26">
        <f t="shared" si="3"/>
        <v>0</v>
      </c>
      <c r="M15" s="27"/>
      <c r="N15" s="27"/>
      <c r="O15" s="28"/>
      <c r="P15" s="28"/>
      <c r="Q15" s="28"/>
      <c r="R15" s="28"/>
      <c r="S15" s="28"/>
    </row>
    <row r="16">
      <c r="A16" s="17">
        <v>45329.0</v>
      </c>
      <c r="B16" s="18" t="s">
        <v>27</v>
      </c>
      <c r="C16" s="18" t="s">
        <v>17</v>
      </c>
      <c r="D16" s="19"/>
      <c r="E16" s="19"/>
      <c r="F16" s="20">
        <f t="shared" si="2"/>
        <v>0</v>
      </c>
      <c r="G16" s="21">
        <f>IFERROR(VLOOKUP(B16,DADOS!$A$2:$H$252,8,0),"")</f>
        <v>30</v>
      </c>
      <c r="H16" s="22">
        <v>136.0</v>
      </c>
      <c r="I16" s="23">
        <f>IFERROR(VLOOKUP(B16,DADOS!$A$2:$H$252,4,0)*H16,"")</f>
        <v>2.32832</v>
      </c>
      <c r="J16" s="24">
        <v>1.0</v>
      </c>
      <c r="K16" s="25">
        <f>IFERROR(VLOOKUP(B16,DADOS!$A$2:$H$252,4,0)*J16,"")</f>
        <v>0.01712</v>
      </c>
      <c r="L16" s="26">
        <f t="shared" si="3"/>
        <v>0.007352941176</v>
      </c>
      <c r="M16" s="27"/>
      <c r="N16" s="27"/>
      <c r="O16" s="28"/>
      <c r="P16" s="28"/>
      <c r="Q16" s="28"/>
      <c r="R16" s="28"/>
      <c r="S16" s="28"/>
    </row>
    <row r="17">
      <c r="A17" s="17">
        <v>45329.0</v>
      </c>
      <c r="B17" s="18" t="s">
        <v>28</v>
      </c>
      <c r="C17" s="18" t="s">
        <v>19</v>
      </c>
      <c r="D17" s="19"/>
      <c r="E17" s="19"/>
      <c r="F17" s="20">
        <f t="shared" si="2"/>
        <v>0</v>
      </c>
      <c r="G17" s="21">
        <f>IFERROR(VLOOKUP(B17,DADOS!$A$2:$H$252,8,0),"")</f>
        <v>25</v>
      </c>
      <c r="H17" s="22">
        <v>102.0</v>
      </c>
      <c r="I17" s="23">
        <f>IFERROR(VLOOKUP(B17,DADOS!$A$2:$H$252,4,0)*H17,"")</f>
        <v>11.6212272</v>
      </c>
      <c r="J17" s="24">
        <v>0.0</v>
      </c>
      <c r="K17" s="25">
        <f>IFERROR(VLOOKUP(B17,DADOS!$A$2:$H$252,4,0)*J17,"")</f>
        <v>0</v>
      </c>
      <c r="L17" s="26">
        <f t="shared" si="3"/>
        <v>0</v>
      </c>
      <c r="M17" s="27"/>
      <c r="N17" s="27"/>
      <c r="O17" s="28"/>
      <c r="P17" s="28"/>
      <c r="Q17" s="28"/>
      <c r="R17" s="28"/>
      <c r="S17" s="28"/>
    </row>
    <row r="18">
      <c r="A18" s="17">
        <v>45329.0</v>
      </c>
      <c r="B18" s="18" t="s">
        <v>29</v>
      </c>
      <c r="C18" s="18" t="s">
        <v>19</v>
      </c>
      <c r="D18" s="19"/>
      <c r="E18" s="19"/>
      <c r="F18" s="20">
        <f t="shared" si="2"/>
        <v>0</v>
      </c>
      <c r="G18" s="21">
        <f>IFERROR(VLOOKUP(B18,DADOS!$A$2:$H$252,8,0),"")</f>
        <v>12</v>
      </c>
      <c r="H18" s="22">
        <v>9.0</v>
      </c>
      <c r="I18" s="23">
        <f>IFERROR(VLOOKUP(B18,DADOS!$A$2:$H$252,4,0)*H18,"")</f>
        <v>7.8627024</v>
      </c>
      <c r="J18" s="24">
        <v>0.0</v>
      </c>
      <c r="K18" s="25">
        <f>IFERROR(VLOOKUP(B18,DADOS!$A$2:$H$252,4,0)*J18,"")</f>
        <v>0</v>
      </c>
      <c r="L18" s="26">
        <f t="shared" si="3"/>
        <v>0</v>
      </c>
      <c r="M18" s="27"/>
      <c r="N18" s="27"/>
      <c r="O18" s="28"/>
      <c r="P18" s="28"/>
      <c r="Q18" s="28"/>
      <c r="R18" s="28"/>
      <c r="S18" s="28"/>
    </row>
    <row r="19">
      <c r="A19" s="17">
        <v>45330.0</v>
      </c>
      <c r="B19" s="18" t="s">
        <v>30</v>
      </c>
      <c r="C19" s="18" t="s">
        <v>19</v>
      </c>
      <c r="D19" s="19"/>
      <c r="E19" s="19"/>
      <c r="F19" s="20">
        <f t="shared" si="2"/>
        <v>0</v>
      </c>
      <c r="G19" s="21">
        <f>IFERROR(VLOOKUP(B19,DADOS!$A$2:$H$252,8,0),"")</f>
        <v>14</v>
      </c>
      <c r="H19" s="22">
        <v>15.0</v>
      </c>
      <c r="I19" s="23">
        <f>IFERROR(VLOOKUP(B19,DADOS!$A$2:$H$252,4,0)*H19,"")</f>
        <v>3.1779</v>
      </c>
      <c r="J19" s="24">
        <v>3.0</v>
      </c>
      <c r="K19" s="25">
        <f>IFERROR(VLOOKUP(B19,DADOS!$A$2:$H$252,4,0)*J19,"")</f>
        <v>0.63558</v>
      </c>
      <c r="L19" s="26">
        <f t="shared" si="3"/>
        <v>0.2</v>
      </c>
      <c r="M19" s="27"/>
      <c r="N19" s="27"/>
      <c r="O19" s="28"/>
      <c r="P19" s="28"/>
      <c r="Q19" s="28"/>
      <c r="R19" s="28"/>
      <c r="S19" s="28"/>
    </row>
    <row r="20">
      <c r="A20" s="17">
        <v>45330.0</v>
      </c>
      <c r="B20" s="18" t="s">
        <v>29</v>
      </c>
      <c r="C20" s="18" t="s">
        <v>19</v>
      </c>
      <c r="D20" s="19"/>
      <c r="E20" s="19"/>
      <c r="F20" s="20">
        <f t="shared" si="2"/>
        <v>0</v>
      </c>
      <c r="G20" s="21">
        <f>IFERROR(VLOOKUP(B20,DADOS!$A$2:$H$252,8,0),"")</f>
        <v>12</v>
      </c>
      <c r="H20" s="22">
        <v>26.0</v>
      </c>
      <c r="I20" s="23">
        <f>IFERROR(VLOOKUP(B20,DADOS!$A$2:$H$252,4,0)*H20,"")</f>
        <v>22.7144736</v>
      </c>
      <c r="J20" s="24">
        <v>0.0</v>
      </c>
      <c r="K20" s="25">
        <f>IFERROR(VLOOKUP(B20,DADOS!$A$2:$H$252,4,0)*J20,"")</f>
        <v>0</v>
      </c>
      <c r="L20" s="26">
        <f t="shared" si="3"/>
        <v>0</v>
      </c>
      <c r="M20" s="27"/>
      <c r="N20" s="27"/>
      <c r="O20" s="28"/>
      <c r="P20" s="28"/>
      <c r="Q20" s="28"/>
      <c r="R20" s="28"/>
      <c r="S20" s="28"/>
    </row>
    <row r="21">
      <c r="A21" s="17">
        <v>45331.0</v>
      </c>
      <c r="B21" s="18" t="s">
        <v>30</v>
      </c>
      <c r="C21" s="18" t="s">
        <v>19</v>
      </c>
      <c r="D21" s="19"/>
      <c r="E21" s="19"/>
      <c r="F21" s="20">
        <f t="shared" si="2"/>
        <v>0</v>
      </c>
      <c r="G21" s="21">
        <f>IFERROR(VLOOKUP(B21,DADOS!$A$2:$H$252,8,0),"")</f>
        <v>14</v>
      </c>
      <c r="H21" s="22">
        <v>32.0</v>
      </c>
      <c r="I21" s="23">
        <f>IFERROR(VLOOKUP(B21,DADOS!$A$2:$H$252,4,0)*H21,"")</f>
        <v>6.77952</v>
      </c>
      <c r="J21" s="24">
        <v>0.0</v>
      </c>
      <c r="K21" s="25">
        <f>IFERROR(VLOOKUP(B21,DADOS!$A$2:$H$252,4,0)*J21,"")</f>
        <v>0</v>
      </c>
      <c r="L21" s="26">
        <f t="shared" si="3"/>
        <v>0</v>
      </c>
      <c r="M21" s="27"/>
      <c r="N21" s="27"/>
      <c r="O21" s="28"/>
      <c r="P21" s="28"/>
      <c r="Q21" s="28"/>
      <c r="R21" s="28"/>
      <c r="S21" s="28"/>
    </row>
    <row r="22">
      <c r="A22" s="17">
        <v>45331.0</v>
      </c>
      <c r="B22" s="18" t="s">
        <v>31</v>
      </c>
      <c r="C22" s="18" t="s">
        <v>23</v>
      </c>
      <c r="D22" s="19"/>
      <c r="E22" s="19"/>
      <c r="F22" s="20">
        <f t="shared" si="2"/>
        <v>0</v>
      </c>
      <c r="G22" s="21">
        <f>IFERROR(VLOOKUP(B22,DADOS!$A$2:$H$252,8,0),"")</f>
        <v>10</v>
      </c>
      <c r="H22" s="22">
        <v>25.0</v>
      </c>
      <c r="I22" s="23">
        <f>IFERROR(VLOOKUP(B22,DADOS!$A$2:$H$252,4,0)*H22,"")</f>
        <v>3.38976</v>
      </c>
      <c r="J22" s="24">
        <v>12.0</v>
      </c>
      <c r="K22" s="25">
        <f>IFERROR(VLOOKUP(B22,DADOS!$A$2:$H$252,4,0)*J22,"")</f>
        <v>1.6270848</v>
      </c>
      <c r="L22" s="26">
        <f t="shared" si="3"/>
        <v>0.48</v>
      </c>
      <c r="M22" s="27"/>
      <c r="N22" s="27"/>
      <c r="O22" s="28"/>
      <c r="P22" s="28"/>
      <c r="Q22" s="28"/>
      <c r="R22" s="28"/>
      <c r="S22" s="28"/>
    </row>
    <row r="23">
      <c r="A23" s="17">
        <v>45331.0</v>
      </c>
      <c r="B23" s="18" t="s">
        <v>32</v>
      </c>
      <c r="C23" s="18" t="s">
        <v>23</v>
      </c>
      <c r="D23" s="19"/>
      <c r="E23" s="19"/>
      <c r="F23" s="20">
        <f t="shared" si="2"/>
        <v>0</v>
      </c>
      <c r="G23" s="21">
        <f>IFERROR(VLOOKUP(B23,DADOS!$A$2:$H$252,8,0),"")</f>
        <v>10</v>
      </c>
      <c r="H23" s="22">
        <v>40.0</v>
      </c>
      <c r="I23" s="23">
        <f>IFERROR(VLOOKUP(B23,DADOS!$A$2:$H$252,4,0)*H23,"")</f>
        <v>24.491016</v>
      </c>
      <c r="J23" s="24">
        <v>0.0</v>
      </c>
      <c r="K23" s="25">
        <f>IFERROR(VLOOKUP(B23,DADOS!$A$2:$H$252,4,0)*J23,"")</f>
        <v>0</v>
      </c>
      <c r="L23" s="26">
        <f t="shared" si="3"/>
        <v>0</v>
      </c>
      <c r="M23" s="27"/>
      <c r="N23" s="27"/>
      <c r="O23" s="28"/>
      <c r="P23" s="28"/>
      <c r="Q23" s="28"/>
      <c r="R23" s="28"/>
      <c r="S23" s="28"/>
    </row>
    <row r="24">
      <c r="A24" s="17">
        <v>45334.0</v>
      </c>
      <c r="B24" s="18" t="s">
        <v>33</v>
      </c>
      <c r="C24" s="18" t="s">
        <v>23</v>
      </c>
      <c r="D24" s="19"/>
      <c r="E24" s="19"/>
      <c r="F24" s="20">
        <f t="shared" si="2"/>
        <v>0</v>
      </c>
      <c r="G24" s="21">
        <f>IFERROR(VLOOKUP(B24,DADOS!$A$2:$H$252,8,0),"")</f>
        <v>7</v>
      </c>
      <c r="H24" s="22">
        <v>39.0</v>
      </c>
      <c r="I24" s="23">
        <f>IFERROR(VLOOKUP(B24,DADOS!$A$2:$H$252,4,0)*H24,"")</f>
        <v>54.6938418</v>
      </c>
      <c r="J24" s="24">
        <v>1.0</v>
      </c>
      <c r="K24" s="25">
        <f>IFERROR(VLOOKUP(B24,DADOS!$A$2:$H$252,4,0)*J24,"")</f>
        <v>1.4024062</v>
      </c>
      <c r="L24" s="26">
        <f t="shared" si="3"/>
        <v>0.02564102564</v>
      </c>
      <c r="M24" s="27"/>
      <c r="N24" s="27"/>
      <c r="O24" s="28"/>
      <c r="P24" s="28"/>
      <c r="Q24" s="28"/>
      <c r="R24" s="28"/>
      <c r="S24" s="28"/>
    </row>
    <row r="25">
      <c r="A25" s="17">
        <v>45336.0</v>
      </c>
      <c r="B25" s="18" t="s">
        <v>27</v>
      </c>
      <c r="C25" s="18" t="s">
        <v>17</v>
      </c>
      <c r="D25" s="19"/>
      <c r="E25" s="19"/>
      <c r="F25" s="20">
        <f t="shared" si="2"/>
        <v>0</v>
      </c>
      <c r="G25" s="21">
        <f>IFERROR(VLOOKUP(B25,DADOS!$A$2:$H$252,8,0),"")</f>
        <v>30</v>
      </c>
      <c r="H25" s="22">
        <v>90.0</v>
      </c>
      <c r="I25" s="23">
        <f>IFERROR(VLOOKUP(B25,DADOS!$A$2:$H$252,4,0)*H25,"")</f>
        <v>1.5408</v>
      </c>
      <c r="J25" s="24">
        <v>2.0</v>
      </c>
      <c r="K25" s="25">
        <f>IFERROR(VLOOKUP(B25,DADOS!$A$2:$H$252,4,0)*J25,"")</f>
        <v>0.03424</v>
      </c>
      <c r="L25" s="26">
        <f t="shared" si="3"/>
        <v>0.02222222222</v>
      </c>
      <c r="M25" s="27"/>
      <c r="N25" s="27"/>
      <c r="O25" s="28"/>
      <c r="P25" s="28"/>
      <c r="Q25" s="28"/>
      <c r="R25" s="28"/>
      <c r="S25" s="28"/>
    </row>
    <row r="26">
      <c r="A26" s="17">
        <v>45336.0</v>
      </c>
      <c r="B26" s="18" t="s">
        <v>34</v>
      </c>
      <c r="C26" s="18" t="s">
        <v>19</v>
      </c>
      <c r="D26" s="19"/>
      <c r="E26" s="19"/>
      <c r="F26" s="20">
        <f t="shared" si="2"/>
        <v>0</v>
      </c>
      <c r="G26" s="21">
        <f>IFERROR(VLOOKUP(B26,DADOS!$A$2:$H$252,8,0),"")</f>
        <v>12</v>
      </c>
      <c r="H26" s="22">
        <v>51.0</v>
      </c>
      <c r="I26" s="23">
        <f>IFERROR(VLOOKUP(B26,DADOS!$A$2:$H$252,4,0)*H26,"")</f>
        <v>20.179986</v>
      </c>
      <c r="J26" s="24">
        <v>0.0</v>
      </c>
      <c r="K26" s="25">
        <f>IFERROR(VLOOKUP(B26,DADOS!$A$2:$H$252,4,0)*J26,"")</f>
        <v>0</v>
      </c>
      <c r="L26" s="26">
        <f t="shared" si="3"/>
        <v>0</v>
      </c>
      <c r="M26" s="27"/>
      <c r="N26" s="27"/>
      <c r="O26" s="28"/>
      <c r="P26" s="28"/>
      <c r="Q26" s="28"/>
      <c r="R26" s="28"/>
      <c r="S26" s="28"/>
    </row>
    <row r="27">
      <c r="A27" s="17">
        <v>45337.0</v>
      </c>
      <c r="B27" s="18" t="s">
        <v>35</v>
      </c>
      <c r="C27" s="18" t="s">
        <v>19</v>
      </c>
      <c r="D27" s="32"/>
      <c r="E27" s="32"/>
      <c r="F27" s="20">
        <f t="shared" si="2"/>
        <v>0</v>
      </c>
      <c r="G27" s="21">
        <f>IFERROR(VLOOKUP(B27,DADOS!$A$2:$H$252,8,0),"")</f>
        <v>30</v>
      </c>
      <c r="H27" s="22">
        <v>60.0</v>
      </c>
      <c r="I27" s="23">
        <f>IFERROR(VLOOKUP(B27,DADOS!$A$2:$H$252,4,0)*H27,"")</f>
        <v>10.296396</v>
      </c>
      <c r="J27" s="24">
        <v>2.0</v>
      </c>
      <c r="K27" s="25">
        <f>IFERROR(VLOOKUP(B27,DADOS!$A$2:$H$252,4,0)*J27,"")</f>
        <v>0.3432132</v>
      </c>
      <c r="L27" s="26">
        <f t="shared" si="3"/>
        <v>0.03333333333</v>
      </c>
      <c r="M27" s="27"/>
      <c r="N27" s="27"/>
      <c r="O27" s="28"/>
      <c r="P27" s="28"/>
      <c r="Q27" s="28"/>
      <c r="R27" s="28"/>
      <c r="S27" s="28"/>
    </row>
    <row r="28">
      <c r="A28" s="17">
        <v>45337.0</v>
      </c>
      <c r="B28" s="18" t="s">
        <v>36</v>
      </c>
      <c r="C28" s="18" t="s">
        <v>19</v>
      </c>
      <c r="D28" s="19"/>
      <c r="E28" s="19"/>
      <c r="F28" s="20">
        <f t="shared" si="2"/>
        <v>0</v>
      </c>
      <c r="G28" s="21">
        <f>IFERROR(VLOOKUP(B28,DADOS!$A$2:$H$252,8,0),"")</f>
        <v>10</v>
      </c>
      <c r="H28" s="22">
        <v>55.0</v>
      </c>
      <c r="I28" s="23">
        <f>IFERROR(VLOOKUP(B28,DADOS!$A$2:$H$252,4,0)*H28,"")</f>
        <v>2.076228</v>
      </c>
      <c r="J28" s="24">
        <v>0.0</v>
      </c>
      <c r="K28" s="25">
        <f>IFERROR(VLOOKUP(B28,DADOS!$A$2:$H$252,4,0)*J28,"")</f>
        <v>0</v>
      </c>
      <c r="L28" s="26">
        <f t="shared" si="3"/>
        <v>0</v>
      </c>
      <c r="M28" s="27"/>
      <c r="N28" s="27"/>
      <c r="O28" s="28"/>
      <c r="P28" s="28"/>
      <c r="Q28" s="28"/>
      <c r="R28" s="28"/>
      <c r="S28" s="28"/>
    </row>
    <row r="29">
      <c r="A29" s="17">
        <v>45338.0</v>
      </c>
      <c r="B29" s="18" t="s">
        <v>37</v>
      </c>
      <c r="C29" s="18" t="s">
        <v>17</v>
      </c>
      <c r="D29" s="19"/>
      <c r="E29" s="19"/>
      <c r="F29" s="20">
        <f t="shared" si="2"/>
        <v>0</v>
      </c>
      <c r="G29" s="21" t="str">
        <f>IFERROR(VLOOKUP(B29,DADOS!$A$2:$H$252,8,0),"")</f>
        <v/>
      </c>
      <c r="H29" s="22">
        <v>149.0</v>
      </c>
      <c r="I29" s="23" t="str">
        <f>IFERROR(VLOOKUP(B29,DADOS!$A$2:$H$252,4,0)*H29,"")</f>
        <v/>
      </c>
      <c r="J29" s="24">
        <v>1.0</v>
      </c>
      <c r="K29" s="25" t="str">
        <f>IFERROR(VLOOKUP(B29,DADOS!$A$2:$H$252,4,0)*J29,"")</f>
        <v/>
      </c>
      <c r="L29" s="26" t="str">
        <f t="shared" si="3"/>
        <v/>
      </c>
      <c r="M29" s="27"/>
      <c r="N29" s="27"/>
      <c r="O29" s="28"/>
      <c r="P29" s="28"/>
      <c r="Q29" s="28"/>
      <c r="R29" s="28"/>
      <c r="S29" s="28"/>
    </row>
    <row r="30">
      <c r="A30" s="17">
        <v>45338.0</v>
      </c>
      <c r="B30" s="18" t="s">
        <v>38</v>
      </c>
      <c r="C30" s="18" t="s">
        <v>19</v>
      </c>
      <c r="D30" s="19"/>
      <c r="E30" s="19"/>
      <c r="F30" s="20">
        <f t="shared" si="2"/>
        <v>0</v>
      </c>
      <c r="G30" s="21">
        <f>IFERROR(VLOOKUP(B30,DADOS!$A$2:$H$252,8,0),"")</f>
        <v>25</v>
      </c>
      <c r="H30" s="22">
        <v>21.0</v>
      </c>
      <c r="I30" s="23">
        <f>IFERROR(VLOOKUP(B30,DADOS!$A$2:$H$252,4,0)*H30,"")</f>
        <v>1.2978672</v>
      </c>
      <c r="J30" s="24">
        <v>23.0</v>
      </c>
      <c r="K30" s="25">
        <f>IFERROR(VLOOKUP(B30,DADOS!$A$2:$H$252,4,0)*J30,"")</f>
        <v>1.4214736</v>
      </c>
      <c r="L30" s="26">
        <f t="shared" si="3"/>
        <v>1.095238095</v>
      </c>
      <c r="M30" s="30" t="s">
        <v>39</v>
      </c>
      <c r="N30" s="33" t="s">
        <v>40</v>
      </c>
      <c r="O30" s="28"/>
      <c r="P30" s="28"/>
      <c r="Q30" s="28"/>
      <c r="R30" s="28"/>
      <c r="S30" s="28"/>
    </row>
    <row r="31">
      <c r="A31" s="17">
        <v>45341.0</v>
      </c>
      <c r="B31" s="18" t="s">
        <v>37</v>
      </c>
      <c r="C31" s="18" t="s">
        <v>17</v>
      </c>
      <c r="D31" s="19"/>
      <c r="E31" s="19"/>
      <c r="F31" s="20">
        <f t="shared" si="2"/>
        <v>0</v>
      </c>
      <c r="G31" s="21" t="str">
        <f>IFERROR(VLOOKUP(B31,DADOS!$A$2:$H$252,8,0),"")</f>
        <v/>
      </c>
      <c r="H31" s="22">
        <v>254.0</v>
      </c>
      <c r="I31" s="23" t="str">
        <f>IFERROR(VLOOKUP(B31,DADOS!$A$2:$H$252,4,0)*H31,"")</f>
        <v/>
      </c>
      <c r="J31" s="24">
        <v>0.0</v>
      </c>
      <c r="K31" s="25" t="str">
        <f>IFERROR(VLOOKUP(B31,DADOS!$A$2:$H$252,4,0)*J31,"")</f>
        <v/>
      </c>
      <c r="L31" s="26" t="str">
        <f t="shared" si="3"/>
        <v/>
      </c>
      <c r="M31" s="27"/>
      <c r="N31" s="30"/>
      <c r="O31" s="28"/>
      <c r="P31" s="28"/>
      <c r="Q31" s="28"/>
      <c r="R31" s="28"/>
      <c r="S31" s="28"/>
    </row>
    <row r="32">
      <c r="A32" s="17">
        <v>45341.0</v>
      </c>
      <c r="B32" s="18" t="s">
        <v>38</v>
      </c>
      <c r="C32" s="18" t="s">
        <v>19</v>
      </c>
      <c r="D32" s="19"/>
      <c r="E32" s="19"/>
      <c r="F32" s="20">
        <f t="shared" si="2"/>
        <v>0</v>
      </c>
      <c r="G32" s="21">
        <f>IFERROR(VLOOKUP(B32,DADOS!$A$2:$H$252,8,0),"")</f>
        <v>25</v>
      </c>
      <c r="H32" s="22">
        <v>38.0</v>
      </c>
      <c r="I32" s="23">
        <f>IFERROR(VLOOKUP(B32,DADOS!$A$2:$H$252,4,0)*H32,"")</f>
        <v>2.3485216</v>
      </c>
      <c r="J32" s="24">
        <v>2.0</v>
      </c>
      <c r="K32" s="25">
        <f>IFERROR(VLOOKUP(B32,DADOS!$A$2:$H$252,4,0)*J32,"")</f>
        <v>0.1236064</v>
      </c>
      <c r="L32" s="26">
        <f t="shared" si="3"/>
        <v>0.05263157895</v>
      </c>
      <c r="M32" s="27"/>
      <c r="N32" s="30"/>
      <c r="O32" s="28"/>
      <c r="P32" s="28"/>
      <c r="Q32" s="28"/>
      <c r="R32" s="28"/>
      <c r="S32" s="28"/>
    </row>
    <row r="33">
      <c r="A33" s="17">
        <v>45341.0</v>
      </c>
      <c r="B33" s="18" t="s">
        <v>41</v>
      </c>
      <c r="C33" s="18" t="s">
        <v>19</v>
      </c>
      <c r="D33" s="19">
        <v>0.3333333333333333</v>
      </c>
      <c r="E33" s="19">
        <v>0.4583333333333333</v>
      </c>
      <c r="F33" s="20">
        <f t="shared" si="2"/>
        <v>0.125</v>
      </c>
      <c r="G33" s="21">
        <f>IFERROR(VLOOKUP(B33,DADOS!$A$2:$H$252,8,0),"")</f>
        <v>14</v>
      </c>
      <c r="H33" s="22">
        <v>22.0</v>
      </c>
      <c r="I33" s="23">
        <f>IFERROR(VLOOKUP(B33,DADOS!$A$2:$H$252,4,0)*H33,"")</f>
        <v>6.101568</v>
      </c>
      <c r="J33" s="24">
        <v>0.0</v>
      </c>
      <c r="K33" s="25">
        <f>IFERROR(VLOOKUP(B33,DADOS!$A$2:$H$252,4,0)*J33,"")</f>
        <v>0</v>
      </c>
      <c r="L33" s="26">
        <f t="shared" si="3"/>
        <v>0</v>
      </c>
      <c r="M33" s="27"/>
      <c r="N33" s="30"/>
      <c r="O33" s="28"/>
      <c r="P33" s="28"/>
      <c r="Q33" s="28"/>
      <c r="R33" s="28"/>
      <c r="S33" s="28"/>
    </row>
    <row r="34">
      <c r="A34" s="17">
        <v>45342.0</v>
      </c>
      <c r="B34" s="18" t="s">
        <v>42</v>
      </c>
      <c r="C34" s="18" t="s">
        <v>17</v>
      </c>
      <c r="D34" s="19"/>
      <c r="E34" s="19"/>
      <c r="F34" s="20">
        <f t="shared" si="2"/>
        <v>0</v>
      </c>
      <c r="G34" s="21">
        <f>IFERROR(VLOOKUP(B34,DADOS!$A$2:$H$252,8,0),"")</f>
        <v>100</v>
      </c>
      <c r="H34" s="22">
        <v>143.0</v>
      </c>
      <c r="I34" s="23">
        <f>IFERROR(VLOOKUP(B34,DADOS!$A$2:$H$252,4,0)*H34,"")</f>
        <v>173.51334</v>
      </c>
      <c r="J34" s="24">
        <v>7.0</v>
      </c>
      <c r="K34" s="25">
        <f>IFERROR(VLOOKUP(B34,DADOS!$A$2:$H$252,4,0)*J34,"")</f>
        <v>8.49366</v>
      </c>
      <c r="L34" s="26">
        <f t="shared" si="3"/>
        <v>0.04895104895</v>
      </c>
      <c r="M34" s="27"/>
      <c r="N34" s="30"/>
      <c r="O34" s="28"/>
      <c r="P34" s="28"/>
      <c r="Q34" s="28"/>
      <c r="R34" s="28"/>
      <c r="S34" s="28"/>
    </row>
    <row r="35">
      <c r="A35" s="17">
        <v>45342.0</v>
      </c>
      <c r="B35" s="18" t="s">
        <v>25</v>
      </c>
      <c r="C35" s="18" t="s">
        <v>19</v>
      </c>
      <c r="D35" s="19"/>
      <c r="E35" s="19"/>
      <c r="F35" s="20">
        <f t="shared" si="2"/>
        <v>0</v>
      </c>
      <c r="G35" s="21">
        <f>IFERROR(VLOOKUP(B35,DADOS!$A$2:$H$252,8,0),"")</f>
        <v>40</v>
      </c>
      <c r="H35" s="22">
        <v>15.0</v>
      </c>
      <c r="I35" s="23">
        <f>IFERROR(VLOOKUP(B35,DADOS!$A$2:$H$252,4,0)*H35,"")</f>
        <v>1.55364</v>
      </c>
      <c r="J35" s="24">
        <v>12.0</v>
      </c>
      <c r="K35" s="25">
        <f>IFERROR(VLOOKUP(B35,DADOS!$A$2:$H$252,4,0)*J35,"")</f>
        <v>1.242912</v>
      </c>
      <c r="L35" s="26">
        <f t="shared" si="3"/>
        <v>0.8</v>
      </c>
      <c r="M35" s="30" t="s">
        <v>39</v>
      </c>
      <c r="N35" s="33" t="s">
        <v>40</v>
      </c>
      <c r="O35" s="28"/>
      <c r="P35" s="28"/>
      <c r="Q35" s="28"/>
      <c r="R35" s="28"/>
      <c r="S35" s="28"/>
    </row>
    <row r="36">
      <c r="A36" s="17">
        <v>45342.0</v>
      </c>
      <c r="B36" s="18" t="s">
        <v>34</v>
      </c>
      <c r="C36" s="18" t="s">
        <v>19</v>
      </c>
      <c r="D36" s="19">
        <v>0.3819444444444444</v>
      </c>
      <c r="E36" s="19">
        <v>0.4305555555555556</v>
      </c>
      <c r="F36" s="20">
        <f t="shared" si="2"/>
        <v>0.04861111111</v>
      </c>
      <c r="G36" s="21">
        <f>IFERROR(VLOOKUP(B36,DADOS!$A$2:$H$252,8,0),"")</f>
        <v>12</v>
      </c>
      <c r="H36" s="22">
        <v>40.0</v>
      </c>
      <c r="I36" s="23">
        <f>IFERROR(VLOOKUP(B36,DADOS!$A$2:$H$252,4,0)*H36,"")</f>
        <v>15.82744</v>
      </c>
      <c r="J36" s="24">
        <v>0.0</v>
      </c>
      <c r="K36" s="25">
        <f>IFERROR(VLOOKUP(B36,DADOS!$A$2:$H$252,4,0)*J36,"")</f>
        <v>0</v>
      </c>
      <c r="L36" s="26">
        <f t="shared" si="3"/>
        <v>0</v>
      </c>
      <c r="M36" s="27"/>
      <c r="N36" s="30"/>
      <c r="O36" s="28"/>
      <c r="P36" s="28"/>
      <c r="Q36" s="28"/>
      <c r="R36" s="28"/>
      <c r="S36" s="28"/>
    </row>
    <row r="37">
      <c r="A37" s="17">
        <v>45342.0</v>
      </c>
      <c r="B37" s="18" t="s">
        <v>41</v>
      </c>
      <c r="C37" s="18" t="s">
        <v>19</v>
      </c>
      <c r="D37" s="19">
        <v>0.3194444444444444</v>
      </c>
      <c r="E37" s="19">
        <v>0.375</v>
      </c>
      <c r="F37" s="20">
        <f t="shared" si="2"/>
        <v>0.05555555556</v>
      </c>
      <c r="G37" s="21">
        <f>IFERROR(VLOOKUP(B37,DADOS!$A$2:$H$252,8,0),"")</f>
        <v>14</v>
      </c>
      <c r="H37" s="22">
        <v>35.0</v>
      </c>
      <c r="I37" s="23">
        <f>IFERROR(VLOOKUP(B37,DADOS!$A$2:$H$252,4,0)*H37,"")</f>
        <v>9.70704</v>
      </c>
      <c r="J37" s="24">
        <v>0.0</v>
      </c>
      <c r="K37" s="25">
        <f>IFERROR(VLOOKUP(B37,DADOS!$A$2:$H$252,4,0)*J37,"")</f>
        <v>0</v>
      </c>
      <c r="L37" s="26">
        <f t="shared" si="3"/>
        <v>0</v>
      </c>
      <c r="M37" s="27"/>
      <c r="N37" s="30"/>
      <c r="O37" s="28"/>
      <c r="P37" s="28"/>
      <c r="Q37" s="28"/>
      <c r="R37" s="28"/>
      <c r="S37" s="28"/>
    </row>
    <row r="38">
      <c r="A38" s="17">
        <v>45342.0</v>
      </c>
      <c r="B38" s="18" t="s">
        <v>26</v>
      </c>
      <c r="C38" s="18" t="s">
        <v>19</v>
      </c>
      <c r="D38" s="19"/>
      <c r="E38" s="19"/>
      <c r="F38" s="20">
        <f t="shared" si="2"/>
        <v>0</v>
      </c>
      <c r="G38" s="21">
        <f>IFERROR(VLOOKUP(B38,DADOS!$A$2:$H$252,8,0),"")</f>
        <v>50</v>
      </c>
      <c r="H38" s="22">
        <v>15.0</v>
      </c>
      <c r="I38" s="23">
        <f>IFERROR(VLOOKUP(B38,DADOS!$A$2:$H$252,4,0)*H38,"")</f>
        <v>1.709004</v>
      </c>
      <c r="J38" s="24">
        <v>0.0</v>
      </c>
      <c r="K38" s="25">
        <f>IFERROR(VLOOKUP(B38,DADOS!$A$2:$H$252,4,0)*J38,"")</f>
        <v>0</v>
      </c>
      <c r="L38" s="26">
        <f t="shared" si="3"/>
        <v>0</v>
      </c>
      <c r="M38" s="27"/>
      <c r="N38" s="30"/>
      <c r="O38" s="28"/>
      <c r="P38" s="28"/>
      <c r="Q38" s="28"/>
      <c r="R38" s="28"/>
      <c r="S38" s="28"/>
    </row>
    <row r="39">
      <c r="A39" s="17">
        <v>45343.0</v>
      </c>
      <c r="B39" s="18" t="s">
        <v>16</v>
      </c>
      <c r="C39" s="18" t="s">
        <v>17</v>
      </c>
      <c r="D39" s="19"/>
      <c r="E39" s="19"/>
      <c r="F39" s="20">
        <f t="shared" si="2"/>
        <v>0</v>
      </c>
      <c r="G39" s="21">
        <f>IFERROR(VLOOKUP(B39,DADOS!$A$2:$H$252,8,0),"")</f>
        <v>150</v>
      </c>
      <c r="H39" s="22">
        <v>600.0</v>
      </c>
      <c r="I39" s="23">
        <f>IFERROR(VLOOKUP(B39,DADOS!$A$2:$H$252,4,0)*H39,"")</f>
        <v>17.35968</v>
      </c>
      <c r="J39" s="24">
        <v>0.0</v>
      </c>
      <c r="K39" s="25">
        <f>IFERROR(VLOOKUP(B39,DADOS!$A$2:$H$252,4,0)*J39,"")</f>
        <v>0</v>
      </c>
      <c r="L39" s="26">
        <f t="shared" si="3"/>
        <v>0</v>
      </c>
      <c r="M39" s="27"/>
      <c r="N39" s="30"/>
      <c r="O39" s="28"/>
      <c r="P39" s="28"/>
      <c r="Q39" s="28"/>
      <c r="R39" s="28"/>
      <c r="S39" s="28"/>
    </row>
    <row r="40">
      <c r="A40" s="17">
        <v>45343.0</v>
      </c>
      <c r="B40" s="18" t="s">
        <v>43</v>
      </c>
      <c r="C40" s="18" t="s">
        <v>19</v>
      </c>
      <c r="D40" s="19"/>
      <c r="E40" s="19"/>
      <c r="F40" s="20">
        <f t="shared" si="2"/>
        <v>0</v>
      </c>
      <c r="G40" s="21" t="str">
        <f>IFERROR(VLOOKUP(B40,DADOS!$A$2:$H$252,8,0),"")</f>
        <v/>
      </c>
      <c r="H40" s="22">
        <v>6.0</v>
      </c>
      <c r="I40" s="23" t="str">
        <f>IFERROR(VLOOKUP(B40,DADOS!$A$2:$H$252,4,0)*H40,"")</f>
        <v/>
      </c>
      <c r="J40" s="24">
        <v>5.0</v>
      </c>
      <c r="K40" s="25" t="str">
        <f>IFERROR(VLOOKUP(B40,DADOS!$A$2:$H$252,4,0)*J40,"")</f>
        <v/>
      </c>
      <c r="L40" s="26" t="str">
        <f t="shared" si="3"/>
        <v/>
      </c>
      <c r="M40" s="30" t="s">
        <v>39</v>
      </c>
      <c r="N40" s="33" t="s">
        <v>40</v>
      </c>
      <c r="O40" s="28"/>
      <c r="P40" s="28"/>
      <c r="Q40" s="28"/>
      <c r="R40" s="28"/>
      <c r="S40" s="28"/>
    </row>
    <row r="41">
      <c r="A41" s="17">
        <v>45343.0</v>
      </c>
      <c r="B41" s="18" t="s">
        <v>44</v>
      </c>
      <c r="C41" s="18" t="s">
        <v>19</v>
      </c>
      <c r="D41" s="19">
        <v>0.3541666666666667</v>
      </c>
      <c r="E41" s="19">
        <v>0.4652777777777778</v>
      </c>
      <c r="F41" s="20">
        <f t="shared" si="2"/>
        <v>0.1111111111</v>
      </c>
      <c r="G41" s="21">
        <f>IFERROR(VLOOKUP(B41,DADOS!$A$2:$H$252,8,0),"")</f>
        <v>15</v>
      </c>
      <c r="H41" s="22">
        <v>46.0</v>
      </c>
      <c r="I41" s="23">
        <f>IFERROR(VLOOKUP(B41,DADOS!$A$2:$H$252,4,0)*H41,"")</f>
        <v>8.4894656</v>
      </c>
      <c r="J41" s="24">
        <v>4.0</v>
      </c>
      <c r="K41" s="25">
        <f>IFERROR(VLOOKUP(B41,DADOS!$A$2:$H$252,4,0)*J41,"")</f>
        <v>0.7382144</v>
      </c>
      <c r="L41" s="26">
        <f t="shared" si="3"/>
        <v>0.08695652174</v>
      </c>
      <c r="M41" s="27"/>
      <c r="N41" s="30"/>
      <c r="O41" s="28"/>
      <c r="P41" s="28"/>
      <c r="Q41" s="28"/>
      <c r="R41" s="28"/>
      <c r="S41" s="28"/>
    </row>
    <row r="42">
      <c r="A42" s="17">
        <v>45343.0</v>
      </c>
      <c r="B42" s="18" t="s">
        <v>45</v>
      </c>
      <c r="C42" s="18" t="s">
        <v>19</v>
      </c>
      <c r="D42" s="19"/>
      <c r="E42" s="19"/>
      <c r="F42" s="20">
        <f t="shared" si="2"/>
        <v>0</v>
      </c>
      <c r="G42" s="21" t="str">
        <f>IFERROR(VLOOKUP(B42,DADOS!$A$2:$H$252,8,0),"")</f>
        <v/>
      </c>
      <c r="H42" s="22">
        <v>4.0</v>
      </c>
      <c r="I42" s="23" t="str">
        <f>IFERROR(VLOOKUP(B42,DADOS!$A$2:$H$252,4,0)*H42,"")</f>
        <v/>
      </c>
      <c r="J42" s="24">
        <v>0.0</v>
      </c>
      <c r="K42" s="25" t="str">
        <f>IFERROR(VLOOKUP(B42,DADOS!$A$2:$H$252,4,0)*J42,"")</f>
        <v/>
      </c>
      <c r="L42" s="26" t="str">
        <f t="shared" si="3"/>
        <v/>
      </c>
      <c r="M42" s="27"/>
      <c r="N42" s="30"/>
      <c r="O42" s="28"/>
      <c r="P42" s="28"/>
      <c r="Q42" s="28"/>
      <c r="R42" s="28"/>
      <c r="S42" s="28"/>
    </row>
    <row r="43">
      <c r="A43" s="17">
        <v>45344.0</v>
      </c>
      <c r="B43" s="18" t="s">
        <v>18</v>
      </c>
      <c r="C43" s="18" t="s">
        <v>19</v>
      </c>
      <c r="D43" s="19"/>
      <c r="E43" s="19"/>
      <c r="F43" s="20">
        <f t="shared" si="2"/>
        <v>0</v>
      </c>
      <c r="G43" s="21">
        <f>IFERROR(VLOOKUP(B43,DADOS!$A$2:$H$252,8,0),"")</f>
        <v>21</v>
      </c>
      <c r="H43" s="22">
        <v>20.0</v>
      </c>
      <c r="I43" s="23">
        <f>IFERROR(VLOOKUP(B43,DADOS!$A$2:$H$252,4,0)*H43,"")</f>
        <v>5.85932</v>
      </c>
      <c r="J43" s="24">
        <v>1.0</v>
      </c>
      <c r="K43" s="25">
        <f>IFERROR(VLOOKUP(B43,DADOS!$A$2:$H$252,4,0)*J43,"")</f>
        <v>0.292966</v>
      </c>
      <c r="L43" s="26">
        <f t="shared" si="3"/>
        <v>0.05</v>
      </c>
      <c r="M43" s="30" t="s">
        <v>39</v>
      </c>
      <c r="N43" s="33" t="s">
        <v>46</v>
      </c>
      <c r="O43" s="28"/>
      <c r="P43" s="28"/>
      <c r="Q43" s="28"/>
      <c r="R43" s="28"/>
      <c r="S43" s="28"/>
    </row>
    <row r="44">
      <c r="A44" s="17">
        <v>45344.0</v>
      </c>
      <c r="B44" s="18" t="s">
        <v>43</v>
      </c>
      <c r="C44" s="18" t="s">
        <v>19</v>
      </c>
      <c r="D44" s="19"/>
      <c r="E44" s="19"/>
      <c r="F44" s="20">
        <f t="shared" si="2"/>
        <v>0</v>
      </c>
      <c r="G44" s="21" t="str">
        <f>IFERROR(VLOOKUP(B44,DADOS!$A$2:$H$252,8,0),"")</f>
        <v/>
      </c>
      <c r="H44" s="22">
        <v>60.0</v>
      </c>
      <c r="I44" s="23" t="str">
        <f>IFERROR(VLOOKUP(B44,DADOS!$A$2:$H$252,4,0)*H44,"")</f>
        <v/>
      </c>
      <c r="J44" s="24">
        <v>8.0</v>
      </c>
      <c r="K44" s="25" t="str">
        <f>IFERROR(VLOOKUP(B44,DADOS!$A$2:$H$252,4,0)*J44,"")</f>
        <v/>
      </c>
      <c r="L44" s="26" t="str">
        <f t="shared" si="3"/>
        <v/>
      </c>
      <c r="M44" s="27"/>
      <c r="N44" s="30"/>
      <c r="O44" s="28"/>
      <c r="P44" s="28"/>
      <c r="Q44" s="28"/>
      <c r="R44" s="28"/>
      <c r="S44" s="28"/>
    </row>
    <row r="45">
      <c r="A45" s="17">
        <v>45344.0</v>
      </c>
      <c r="B45" s="18" t="s">
        <v>43</v>
      </c>
      <c r="C45" s="18" t="s">
        <v>19</v>
      </c>
      <c r="D45" s="19">
        <v>0.5555555555555556</v>
      </c>
      <c r="E45" s="19">
        <v>0.5881944444444445</v>
      </c>
      <c r="F45" s="20">
        <f t="shared" si="2"/>
        <v>0.03263888889</v>
      </c>
      <c r="G45" s="21" t="str">
        <f>IFERROR(VLOOKUP(B45,DADOS!$A$2:$H$252,8,0),"")</f>
        <v/>
      </c>
      <c r="H45" s="22">
        <v>24.0</v>
      </c>
      <c r="I45" s="23" t="str">
        <f>IFERROR(VLOOKUP(B45,DADOS!$A$2:$H$252,4,0)*H45,"")</f>
        <v/>
      </c>
      <c r="J45" s="24">
        <v>0.0</v>
      </c>
      <c r="K45" s="25" t="str">
        <f>IFERROR(VLOOKUP(B45,DADOS!$A$2:$H$252,4,0)*J45,"")</f>
        <v/>
      </c>
      <c r="L45" s="26" t="str">
        <f t="shared" si="3"/>
        <v/>
      </c>
      <c r="M45" s="27"/>
      <c r="N45" s="30"/>
      <c r="O45" s="28"/>
      <c r="P45" s="28"/>
      <c r="Q45" s="28"/>
      <c r="R45" s="28"/>
      <c r="S45" s="28"/>
    </row>
    <row r="46">
      <c r="A46" s="17">
        <v>45345.0</v>
      </c>
      <c r="B46" s="18" t="s">
        <v>47</v>
      </c>
      <c r="C46" s="18" t="s">
        <v>19</v>
      </c>
      <c r="D46" s="19"/>
      <c r="E46" s="19"/>
      <c r="F46" s="20">
        <f t="shared" si="2"/>
        <v>0</v>
      </c>
      <c r="G46" s="21">
        <f>IFERROR(VLOOKUP(B46,DADOS!$A$2:$H$252,8,0),"")</f>
        <v>35</v>
      </c>
      <c r="H46" s="22">
        <v>32.0</v>
      </c>
      <c r="I46" s="23">
        <f>IFERROR(VLOOKUP(B46,DADOS!$A$2:$H$252,4,0)*H46,"")</f>
        <v>3.6458752</v>
      </c>
      <c r="J46" s="24">
        <v>15.0</v>
      </c>
      <c r="K46" s="25">
        <f>IFERROR(VLOOKUP(B46,DADOS!$A$2:$H$252,4,0)*J46,"")</f>
        <v>1.709004</v>
      </c>
      <c r="L46" s="26">
        <f t="shared" si="3"/>
        <v>0.46875</v>
      </c>
      <c r="M46" s="30" t="s">
        <v>39</v>
      </c>
      <c r="N46" s="33" t="s">
        <v>40</v>
      </c>
      <c r="O46" s="28"/>
      <c r="P46" s="28"/>
      <c r="Q46" s="28"/>
      <c r="R46" s="28"/>
      <c r="S46" s="28"/>
    </row>
    <row r="47">
      <c r="A47" s="17">
        <v>45345.0</v>
      </c>
      <c r="B47" s="18" t="s">
        <v>48</v>
      </c>
      <c r="C47" s="18" t="s">
        <v>19</v>
      </c>
      <c r="D47" s="19"/>
      <c r="E47" s="19"/>
      <c r="F47" s="20">
        <f t="shared" si="2"/>
        <v>0</v>
      </c>
      <c r="G47" s="21">
        <f>IFERROR(VLOOKUP(B47,DADOS!$A$2:$H$252,8,0),"")</f>
        <v>6</v>
      </c>
      <c r="H47" s="22">
        <v>23.0</v>
      </c>
      <c r="I47" s="23">
        <f>IFERROR(VLOOKUP(B47,DADOS!$A$2:$H$252,4,0)*H47,"")</f>
        <v>2.6204728</v>
      </c>
      <c r="J47" s="24">
        <v>3.0</v>
      </c>
      <c r="K47" s="25">
        <f>IFERROR(VLOOKUP(B47,DADOS!$A$2:$H$252,4,0)*J47,"")</f>
        <v>0.3418008</v>
      </c>
      <c r="L47" s="26">
        <f t="shared" si="3"/>
        <v>0.1304347826</v>
      </c>
      <c r="M47" s="27"/>
      <c r="N47" s="30"/>
      <c r="O47" s="28"/>
      <c r="P47" s="28"/>
      <c r="Q47" s="28"/>
      <c r="R47" s="28"/>
      <c r="S47" s="28"/>
    </row>
    <row r="48">
      <c r="A48" s="17">
        <v>45345.0</v>
      </c>
      <c r="B48" s="18" t="s">
        <v>49</v>
      </c>
      <c r="C48" s="18" t="s">
        <v>19</v>
      </c>
      <c r="D48" s="19"/>
      <c r="E48" s="19"/>
      <c r="F48" s="20">
        <f t="shared" si="2"/>
        <v>0</v>
      </c>
      <c r="G48" s="21">
        <f>IFERROR(VLOOKUP(B48,DADOS!$A$2:$H$252,8,0),"")</f>
        <v>42</v>
      </c>
      <c r="H48" s="22">
        <v>15.0</v>
      </c>
      <c r="I48" s="23">
        <f>IFERROR(VLOOKUP(B48,DADOS!$A$2:$H$252,4,0)*H48,"")</f>
        <v>1.020459</v>
      </c>
      <c r="J48" s="24">
        <v>3.0</v>
      </c>
      <c r="K48" s="25">
        <f>IFERROR(VLOOKUP(B48,DADOS!$A$2:$H$252,4,0)*J48,"")</f>
        <v>0.2040918</v>
      </c>
      <c r="L48" s="26">
        <f t="shared" si="3"/>
        <v>0.2</v>
      </c>
      <c r="M48" s="27"/>
      <c r="N48" s="30"/>
      <c r="O48" s="28"/>
      <c r="P48" s="28"/>
      <c r="Q48" s="28"/>
      <c r="R48" s="28"/>
      <c r="S48" s="28"/>
    </row>
    <row r="49">
      <c r="A49" s="17">
        <v>45346.0</v>
      </c>
      <c r="B49" s="18" t="s">
        <v>50</v>
      </c>
      <c r="C49" s="18" t="s">
        <v>23</v>
      </c>
      <c r="D49" s="19">
        <v>0.3020833333333333</v>
      </c>
      <c r="E49" s="19">
        <v>0.5104166666666666</v>
      </c>
      <c r="F49" s="20">
        <f t="shared" si="2"/>
        <v>0.2083333333</v>
      </c>
      <c r="G49" s="21">
        <f>IFERROR(VLOOKUP(B49,DADOS!$A$2:$H$252,8,0),"")</f>
        <v>8</v>
      </c>
      <c r="H49" s="22">
        <v>40.0</v>
      </c>
      <c r="I49" s="23">
        <f>IFERROR(VLOOKUP(B49,DADOS!$A$2:$H$252,4,0)*H49,"")</f>
        <v>28.854048</v>
      </c>
      <c r="J49" s="24">
        <v>0.0</v>
      </c>
      <c r="K49" s="25">
        <f>IFERROR(VLOOKUP(B49,DADOS!$A$2:$H$252,4,0)*J49,"")</f>
        <v>0</v>
      </c>
      <c r="L49" s="26">
        <f t="shared" si="3"/>
        <v>0</v>
      </c>
      <c r="M49" s="27"/>
      <c r="N49" s="30"/>
      <c r="O49" s="28"/>
      <c r="P49" s="28"/>
      <c r="Q49" s="28"/>
      <c r="R49" s="28"/>
      <c r="S49" s="28"/>
    </row>
    <row r="50">
      <c r="A50" s="17">
        <v>45348.0</v>
      </c>
      <c r="B50" s="18" t="s">
        <v>51</v>
      </c>
      <c r="C50" s="18" t="s">
        <v>19</v>
      </c>
      <c r="D50" s="19"/>
      <c r="E50" s="19"/>
      <c r="F50" s="20">
        <f t="shared" si="2"/>
        <v>0</v>
      </c>
      <c r="G50" s="21">
        <f>IFERROR(VLOOKUP(B50,DADOS!$A$2:$H$252,8,0),"")</f>
        <v>28</v>
      </c>
      <c r="H50" s="22">
        <v>19.0</v>
      </c>
      <c r="I50" s="23">
        <f>IFERROR(VLOOKUP(B50,DADOS!$A$2:$H$252,4,0)*H50,"")</f>
        <v>2.1647384</v>
      </c>
      <c r="J50" s="24">
        <v>1.0</v>
      </c>
      <c r="K50" s="25">
        <f>IFERROR(VLOOKUP(B50,DADOS!$A$2:$H$252,4,0)*J50,"")</f>
        <v>0.1139336</v>
      </c>
      <c r="L50" s="26">
        <f t="shared" si="3"/>
        <v>0.05263157895</v>
      </c>
      <c r="M50" s="27"/>
      <c r="N50" s="30"/>
      <c r="O50" s="28"/>
      <c r="P50" s="28"/>
      <c r="Q50" s="28"/>
      <c r="R50" s="28"/>
      <c r="S50" s="28"/>
    </row>
    <row r="51">
      <c r="A51" s="17">
        <v>45348.0</v>
      </c>
      <c r="B51" s="18" t="s">
        <v>18</v>
      </c>
      <c r="C51" s="18" t="s">
        <v>19</v>
      </c>
      <c r="D51" s="19"/>
      <c r="E51" s="19"/>
      <c r="F51" s="20">
        <f t="shared" si="2"/>
        <v>0</v>
      </c>
      <c r="G51" s="21">
        <f>IFERROR(VLOOKUP(B51,DADOS!$A$2:$H$252,8,0),"")</f>
        <v>21</v>
      </c>
      <c r="H51" s="22">
        <v>77.0</v>
      </c>
      <c r="I51" s="23">
        <f>IFERROR(VLOOKUP(B51,DADOS!$A$2:$H$252,4,0)*H51,"")</f>
        <v>22.558382</v>
      </c>
      <c r="J51" s="24">
        <v>0.0</v>
      </c>
      <c r="K51" s="25">
        <f>IFERROR(VLOOKUP(B51,DADOS!$A$2:$H$252,4,0)*J51,"")</f>
        <v>0</v>
      </c>
      <c r="L51" s="26">
        <f t="shared" si="3"/>
        <v>0</v>
      </c>
      <c r="M51" s="27"/>
      <c r="N51" s="30"/>
      <c r="O51" s="28"/>
      <c r="P51" s="28"/>
      <c r="Q51" s="28"/>
      <c r="R51" s="28"/>
      <c r="S51" s="28"/>
    </row>
    <row r="52">
      <c r="A52" s="17">
        <v>45348.0</v>
      </c>
      <c r="B52" s="18" t="s">
        <v>26</v>
      </c>
      <c r="C52" s="18" t="s">
        <v>19</v>
      </c>
      <c r="D52" s="19"/>
      <c r="E52" s="19"/>
      <c r="F52" s="20">
        <f t="shared" si="2"/>
        <v>0</v>
      </c>
      <c r="G52" s="21">
        <f>IFERROR(VLOOKUP(B52,DADOS!$A$2:$H$252,8,0),"")</f>
        <v>50</v>
      </c>
      <c r="H52" s="22">
        <v>13.0</v>
      </c>
      <c r="I52" s="23">
        <f>IFERROR(VLOOKUP(B52,DADOS!$A$2:$H$252,4,0)*H52,"")</f>
        <v>1.4811368</v>
      </c>
      <c r="J52" s="24">
        <v>0.0</v>
      </c>
      <c r="K52" s="25">
        <f>IFERROR(VLOOKUP(B52,DADOS!$A$2:$H$252,4,0)*J52,"")</f>
        <v>0</v>
      </c>
      <c r="L52" s="26">
        <f t="shared" si="3"/>
        <v>0</v>
      </c>
      <c r="M52" s="27"/>
      <c r="N52" s="30"/>
      <c r="O52" s="28"/>
      <c r="P52" s="28"/>
      <c r="Q52" s="28"/>
      <c r="R52" s="28"/>
      <c r="S52" s="28"/>
    </row>
    <row r="53">
      <c r="A53" s="17">
        <v>45348.0</v>
      </c>
      <c r="B53" s="18" t="s">
        <v>47</v>
      </c>
      <c r="C53" s="18" t="s">
        <v>52</v>
      </c>
      <c r="D53" s="19"/>
      <c r="E53" s="19"/>
      <c r="F53" s="20">
        <f t="shared" si="2"/>
        <v>0</v>
      </c>
      <c r="G53" s="21">
        <f>IFERROR(VLOOKUP(B53,DADOS!$A$2:$H$252,8,0),"")</f>
        <v>35</v>
      </c>
      <c r="H53" s="22">
        <v>2.0</v>
      </c>
      <c r="I53" s="23">
        <f>IFERROR(VLOOKUP(B53,DADOS!$A$2:$H$252,4,0)*H53,"")</f>
        <v>0.2278672</v>
      </c>
      <c r="J53" s="24">
        <v>0.0</v>
      </c>
      <c r="K53" s="25">
        <f>IFERROR(VLOOKUP(B53,DADOS!$A$2:$H$252,4,0)*J53,"")</f>
        <v>0</v>
      </c>
      <c r="L53" s="26">
        <f t="shared" si="3"/>
        <v>0</v>
      </c>
      <c r="M53" s="27"/>
      <c r="N53" s="30"/>
      <c r="O53" s="28"/>
      <c r="P53" s="28"/>
      <c r="Q53" s="28"/>
      <c r="R53" s="28"/>
      <c r="S53" s="28"/>
    </row>
    <row r="54">
      <c r="A54" s="17">
        <v>45348.0</v>
      </c>
      <c r="B54" s="18" t="s">
        <v>25</v>
      </c>
      <c r="C54" s="18" t="s">
        <v>52</v>
      </c>
      <c r="D54" s="19"/>
      <c r="E54" s="19"/>
      <c r="F54" s="20">
        <f t="shared" si="2"/>
        <v>0</v>
      </c>
      <c r="G54" s="21">
        <f>IFERROR(VLOOKUP(B54,DADOS!$A$2:$H$252,8,0),"")</f>
        <v>40</v>
      </c>
      <c r="H54" s="22">
        <v>89.0</v>
      </c>
      <c r="I54" s="23">
        <f>IFERROR(VLOOKUP(B54,DADOS!$A$2:$H$252,4,0)*H54,"")</f>
        <v>9.218264</v>
      </c>
      <c r="J54" s="24">
        <v>0.0</v>
      </c>
      <c r="K54" s="25">
        <f>IFERROR(VLOOKUP(B54,DADOS!$A$2:$H$252,4,0)*J54,"")</f>
        <v>0</v>
      </c>
      <c r="L54" s="26">
        <f t="shared" si="3"/>
        <v>0</v>
      </c>
      <c r="M54" s="27"/>
      <c r="N54" s="30"/>
      <c r="O54" s="28"/>
      <c r="P54" s="28"/>
      <c r="Q54" s="28"/>
      <c r="R54" s="28"/>
      <c r="S54" s="28"/>
    </row>
    <row r="55">
      <c r="A55" s="17">
        <v>45349.0</v>
      </c>
      <c r="B55" s="18" t="s">
        <v>53</v>
      </c>
      <c r="C55" s="18" t="s">
        <v>17</v>
      </c>
      <c r="D55" s="19"/>
      <c r="E55" s="19"/>
      <c r="F55" s="20">
        <f t="shared" si="2"/>
        <v>0</v>
      </c>
      <c r="G55" s="21">
        <f>IFERROR(VLOOKUP(B55,DADOS!$A$2:$H$252,8,0),"")</f>
        <v>120</v>
      </c>
      <c r="H55" s="22">
        <v>114.0</v>
      </c>
      <c r="I55" s="23">
        <f>IFERROR(VLOOKUP(B55,DADOS!$A$2:$H$252,4,0)*H55,"")</f>
        <v>1.09782</v>
      </c>
      <c r="J55" s="24">
        <v>0.0</v>
      </c>
      <c r="K55" s="25">
        <f>IFERROR(VLOOKUP(B55,DADOS!$A$2:$H$252,4,0)*J55,"")</f>
        <v>0</v>
      </c>
      <c r="L55" s="26">
        <f t="shared" si="3"/>
        <v>0</v>
      </c>
      <c r="M55" s="27"/>
      <c r="N55" s="30"/>
      <c r="O55" s="28"/>
      <c r="P55" s="28"/>
      <c r="Q55" s="28"/>
      <c r="R55" s="28"/>
      <c r="S55" s="28"/>
    </row>
    <row r="56">
      <c r="A56" s="17">
        <v>45349.0</v>
      </c>
      <c r="B56" s="18" t="s">
        <v>51</v>
      </c>
      <c r="C56" s="18" t="s">
        <v>19</v>
      </c>
      <c r="D56" s="19">
        <v>0.3194444444444444</v>
      </c>
      <c r="E56" s="19">
        <v>0.4166666666666667</v>
      </c>
      <c r="F56" s="20">
        <f t="shared" si="2"/>
        <v>0.09722222222</v>
      </c>
      <c r="G56" s="21">
        <f>IFERROR(VLOOKUP(B56,DADOS!$A$2:$H$252,8,0),"")</f>
        <v>28</v>
      </c>
      <c r="H56" s="22">
        <v>84.0</v>
      </c>
      <c r="I56" s="23">
        <f>IFERROR(VLOOKUP(B56,DADOS!$A$2:$H$252,4,0)*H56,"")</f>
        <v>9.5704224</v>
      </c>
      <c r="J56" s="24">
        <v>0.0</v>
      </c>
      <c r="K56" s="25">
        <f>IFERROR(VLOOKUP(B56,DADOS!$A$2:$H$252,4,0)*J56,"")</f>
        <v>0</v>
      </c>
      <c r="L56" s="26">
        <f t="shared" si="3"/>
        <v>0</v>
      </c>
      <c r="M56" s="27"/>
      <c r="N56" s="30"/>
      <c r="O56" s="28"/>
      <c r="P56" s="28"/>
      <c r="Q56" s="28"/>
      <c r="R56" s="28"/>
      <c r="S56" s="28"/>
    </row>
    <row r="57">
      <c r="A57" s="17">
        <v>45349.0</v>
      </c>
      <c r="B57" s="18" t="s">
        <v>28</v>
      </c>
      <c r="C57" s="18" t="s">
        <v>19</v>
      </c>
      <c r="D57" s="19">
        <v>0.4236111111111111</v>
      </c>
      <c r="E57" s="19">
        <v>0.4930555555555556</v>
      </c>
      <c r="F57" s="20">
        <f t="shared" si="2"/>
        <v>0.06944444444</v>
      </c>
      <c r="G57" s="21">
        <f>IFERROR(VLOOKUP(B57,DADOS!$A$2:$H$252,8,0),"")</f>
        <v>25</v>
      </c>
      <c r="H57" s="22">
        <v>60.0</v>
      </c>
      <c r="I57" s="23">
        <f>IFERROR(VLOOKUP(B57,DADOS!$A$2:$H$252,4,0)*H57,"")</f>
        <v>6.836016</v>
      </c>
      <c r="J57" s="24">
        <v>0.0</v>
      </c>
      <c r="K57" s="25">
        <f>IFERROR(VLOOKUP(B57,DADOS!$A$2:$H$252,4,0)*J57,"")</f>
        <v>0</v>
      </c>
      <c r="L57" s="26">
        <f t="shared" si="3"/>
        <v>0</v>
      </c>
      <c r="M57" s="27"/>
      <c r="N57" s="30"/>
      <c r="O57" s="28"/>
      <c r="P57" s="28"/>
      <c r="Q57" s="28"/>
      <c r="R57" s="28"/>
      <c r="S57" s="28"/>
    </row>
    <row r="58">
      <c r="A58" s="17">
        <v>45349.0</v>
      </c>
      <c r="B58" s="18" t="s">
        <v>16</v>
      </c>
      <c r="C58" s="18" t="s">
        <v>19</v>
      </c>
      <c r="D58" s="19"/>
      <c r="E58" s="19"/>
      <c r="F58" s="20">
        <f t="shared" si="2"/>
        <v>0</v>
      </c>
      <c r="G58" s="21">
        <f>IFERROR(VLOOKUP(B58,DADOS!$A$2:$H$252,8,0),"")</f>
        <v>150</v>
      </c>
      <c r="H58" s="22">
        <v>36.0</v>
      </c>
      <c r="I58" s="23">
        <f>IFERROR(VLOOKUP(B58,DADOS!$A$2:$H$252,4,0)*H58,"")</f>
        <v>1.0415808</v>
      </c>
      <c r="J58" s="24">
        <v>0.0</v>
      </c>
      <c r="K58" s="25">
        <f>IFERROR(VLOOKUP(B58,DADOS!$A$2:$H$252,4,0)*J58,"")</f>
        <v>0</v>
      </c>
      <c r="L58" s="26">
        <f t="shared" si="3"/>
        <v>0</v>
      </c>
      <c r="M58" s="27"/>
      <c r="N58" s="30"/>
      <c r="O58" s="28"/>
      <c r="P58" s="28"/>
      <c r="Q58" s="28"/>
      <c r="R58" s="28"/>
      <c r="S58" s="28"/>
    </row>
    <row r="59">
      <c r="A59" s="17">
        <v>45349.0</v>
      </c>
      <c r="B59" s="18" t="s">
        <v>54</v>
      </c>
      <c r="C59" s="18" t="s">
        <v>52</v>
      </c>
      <c r="D59" s="19"/>
      <c r="E59" s="19"/>
      <c r="F59" s="20">
        <f t="shared" si="2"/>
        <v>0</v>
      </c>
      <c r="G59" s="21" t="str">
        <f>IFERROR(VLOOKUP(B59,DADOS!$A$2:$H$252,8,0),"")</f>
        <v/>
      </c>
      <c r="H59" s="22">
        <v>6.0</v>
      </c>
      <c r="I59" s="23">
        <f>IFERROR(VLOOKUP(B59,DADOS!$A$2:$H$252,4,0)*H59,"")</f>
        <v>8.4144372</v>
      </c>
      <c r="J59" s="24">
        <v>0.0</v>
      </c>
      <c r="K59" s="25">
        <f>IFERROR(VLOOKUP(B59,DADOS!$A$2:$H$252,4,0)*J59,"")</f>
        <v>0</v>
      </c>
      <c r="L59" s="26">
        <f t="shared" si="3"/>
        <v>0</v>
      </c>
      <c r="M59" s="27"/>
      <c r="N59" s="30"/>
      <c r="O59" s="28"/>
      <c r="P59" s="28"/>
      <c r="Q59" s="28"/>
      <c r="R59" s="28"/>
      <c r="S59" s="28"/>
    </row>
    <row r="60">
      <c r="A60" s="17">
        <v>45349.0</v>
      </c>
      <c r="B60" s="18" t="s">
        <v>28</v>
      </c>
      <c r="C60" s="18" t="s">
        <v>52</v>
      </c>
      <c r="D60" s="19"/>
      <c r="E60" s="19"/>
      <c r="F60" s="20">
        <f t="shared" si="2"/>
        <v>0</v>
      </c>
      <c r="G60" s="21">
        <f>IFERROR(VLOOKUP(B60,DADOS!$A$2:$H$252,8,0),"")</f>
        <v>25</v>
      </c>
      <c r="H60" s="22">
        <v>46.0</v>
      </c>
      <c r="I60" s="23">
        <f>IFERROR(VLOOKUP(B60,DADOS!$A$2:$H$252,4,0)*H60,"")</f>
        <v>5.2409456</v>
      </c>
      <c r="J60" s="24">
        <v>0.0</v>
      </c>
      <c r="K60" s="25">
        <f>IFERROR(VLOOKUP(B60,DADOS!$A$2:$H$252,4,0)*J60,"")</f>
        <v>0</v>
      </c>
      <c r="L60" s="26">
        <f t="shared" si="3"/>
        <v>0</v>
      </c>
      <c r="M60" s="27"/>
      <c r="N60" s="30"/>
      <c r="O60" s="28"/>
      <c r="P60" s="28"/>
      <c r="Q60" s="28"/>
      <c r="R60" s="28"/>
      <c r="S60" s="28"/>
    </row>
    <row r="61">
      <c r="A61" s="17">
        <v>45349.0</v>
      </c>
      <c r="B61" s="18" t="s">
        <v>25</v>
      </c>
      <c r="C61" s="18" t="s">
        <v>52</v>
      </c>
      <c r="D61" s="19"/>
      <c r="E61" s="19"/>
      <c r="F61" s="20">
        <f t="shared" si="2"/>
        <v>0</v>
      </c>
      <c r="G61" s="21">
        <f>IFERROR(VLOOKUP(B61,DADOS!$A$2:$H$252,8,0),"")</f>
        <v>40</v>
      </c>
      <c r="H61" s="22">
        <v>16.0</v>
      </c>
      <c r="I61" s="23">
        <f>IFERROR(VLOOKUP(B61,DADOS!$A$2:$H$252,4,0)*H61,"")</f>
        <v>1.657216</v>
      </c>
      <c r="J61" s="24">
        <v>0.0</v>
      </c>
      <c r="K61" s="25">
        <f>IFERROR(VLOOKUP(B61,DADOS!$A$2:$H$252,4,0)*J61,"")</f>
        <v>0</v>
      </c>
      <c r="L61" s="26">
        <f t="shared" si="3"/>
        <v>0</v>
      </c>
      <c r="M61" s="27"/>
      <c r="N61" s="30"/>
      <c r="O61" s="28"/>
      <c r="P61" s="28"/>
      <c r="Q61" s="28"/>
      <c r="R61" s="28"/>
      <c r="S61" s="28"/>
    </row>
    <row r="62">
      <c r="A62" s="17">
        <v>45349.0</v>
      </c>
      <c r="B62" s="18" t="s">
        <v>26</v>
      </c>
      <c r="C62" s="18" t="s">
        <v>52</v>
      </c>
      <c r="D62" s="19"/>
      <c r="E62" s="19"/>
      <c r="F62" s="20">
        <f t="shared" si="2"/>
        <v>0</v>
      </c>
      <c r="G62" s="21">
        <f>IFERROR(VLOOKUP(B62,DADOS!$A$2:$H$252,8,0),"")</f>
        <v>50</v>
      </c>
      <c r="H62" s="22">
        <v>33.0</v>
      </c>
      <c r="I62" s="23">
        <f>IFERROR(VLOOKUP(B62,DADOS!$A$2:$H$252,4,0)*H62,"")</f>
        <v>3.7598088</v>
      </c>
      <c r="J62" s="24">
        <v>3.0</v>
      </c>
      <c r="K62" s="25">
        <f>IFERROR(VLOOKUP(B62,DADOS!$A$2:$H$252,4,0)*J62,"")</f>
        <v>0.3418008</v>
      </c>
      <c r="L62" s="26">
        <f t="shared" si="3"/>
        <v>0.09090909091</v>
      </c>
      <c r="M62" s="27"/>
      <c r="N62" s="30"/>
      <c r="O62" s="28"/>
      <c r="P62" s="28"/>
      <c r="Q62" s="28"/>
      <c r="R62" s="28"/>
      <c r="S62" s="28"/>
    </row>
    <row r="63">
      <c r="A63" s="17">
        <v>45350.0</v>
      </c>
      <c r="B63" s="18" t="s">
        <v>55</v>
      </c>
      <c r="C63" s="18" t="s">
        <v>17</v>
      </c>
      <c r="D63" s="19"/>
      <c r="E63" s="19"/>
      <c r="F63" s="20">
        <f t="shared" si="2"/>
        <v>0</v>
      </c>
      <c r="G63" s="21">
        <f>IFERROR(VLOOKUP(B63,DADOS!$A$2:$H$252,8,0),"")</f>
        <v>60</v>
      </c>
      <c r="H63" s="22">
        <v>18.0</v>
      </c>
      <c r="I63" s="23">
        <f>IFERROR(VLOOKUP(B63,DADOS!$A$2:$H$252,4,0)*H63,"")</f>
        <v>0.30816</v>
      </c>
      <c r="J63" s="24">
        <v>3.0</v>
      </c>
      <c r="K63" s="25">
        <f>IFERROR(VLOOKUP(B63,DADOS!$A$2:$H$252,4,0)*J63,"")</f>
        <v>0.05136</v>
      </c>
      <c r="L63" s="26">
        <f t="shared" si="3"/>
        <v>0.1666666667</v>
      </c>
      <c r="M63" s="27"/>
      <c r="N63" s="30"/>
      <c r="O63" s="28"/>
      <c r="P63" s="28"/>
      <c r="Q63" s="28"/>
      <c r="R63" s="28"/>
      <c r="S63" s="28"/>
    </row>
    <row r="64">
      <c r="A64" s="17">
        <v>45350.0</v>
      </c>
      <c r="B64" s="18" t="s">
        <v>55</v>
      </c>
      <c r="C64" s="18" t="s">
        <v>17</v>
      </c>
      <c r="D64" s="19">
        <v>0.5590277777777778</v>
      </c>
      <c r="E64" s="19">
        <v>0.6979166666666666</v>
      </c>
      <c r="F64" s="20">
        <f t="shared" si="2"/>
        <v>0.1388888889</v>
      </c>
      <c r="G64" s="21">
        <f>IFERROR(VLOOKUP(B64,DADOS!$A$2:$H$252,8,0),"")</f>
        <v>60</v>
      </c>
      <c r="H64" s="22">
        <v>207.0</v>
      </c>
      <c r="I64" s="23">
        <f>IFERROR(VLOOKUP(B64,DADOS!$A$2:$H$252,4,0)*H64,"")</f>
        <v>3.54384</v>
      </c>
      <c r="J64" s="24">
        <v>0.0</v>
      </c>
      <c r="K64" s="25">
        <f>IFERROR(VLOOKUP(B64,DADOS!$A$2:$H$252,4,0)*J64,"")</f>
        <v>0</v>
      </c>
      <c r="L64" s="26">
        <f t="shared" si="3"/>
        <v>0</v>
      </c>
      <c r="M64" s="27"/>
      <c r="N64" s="30"/>
      <c r="O64" s="28"/>
      <c r="P64" s="28"/>
      <c r="Q64" s="28"/>
      <c r="R64" s="28"/>
      <c r="S64" s="28"/>
    </row>
    <row r="65">
      <c r="A65" s="17">
        <v>45350.0</v>
      </c>
      <c r="B65" s="18" t="s">
        <v>53</v>
      </c>
      <c r="C65" s="18" t="s">
        <v>17</v>
      </c>
      <c r="D65" s="19">
        <v>0.3229166666666667</v>
      </c>
      <c r="E65" s="19">
        <v>0.3506944444444444</v>
      </c>
      <c r="F65" s="20">
        <f t="shared" si="2"/>
        <v>0.02777777778</v>
      </c>
      <c r="G65" s="21">
        <f>IFERROR(VLOOKUP(B65,DADOS!$A$2:$H$252,8,0),"")</f>
        <v>120</v>
      </c>
      <c r="H65" s="22">
        <v>86.0</v>
      </c>
      <c r="I65" s="23">
        <f>IFERROR(VLOOKUP(B65,DADOS!$A$2:$H$252,4,0)*H65,"")</f>
        <v>0.82818</v>
      </c>
      <c r="J65" s="24">
        <v>0.0</v>
      </c>
      <c r="K65" s="25">
        <f>IFERROR(VLOOKUP(B65,DADOS!$A$2:$H$252,4,0)*J65,"")</f>
        <v>0</v>
      </c>
      <c r="L65" s="26">
        <f t="shared" si="3"/>
        <v>0</v>
      </c>
      <c r="M65" s="27"/>
      <c r="N65" s="30"/>
      <c r="O65" s="28"/>
      <c r="P65" s="28"/>
      <c r="Q65" s="28"/>
      <c r="R65" s="28"/>
      <c r="S65" s="28"/>
    </row>
    <row r="66">
      <c r="A66" s="17">
        <v>45350.0</v>
      </c>
      <c r="B66" s="18" t="s">
        <v>54</v>
      </c>
      <c r="C66" s="18" t="s">
        <v>52</v>
      </c>
      <c r="D66" s="19"/>
      <c r="E66" s="19"/>
      <c r="F66" s="20">
        <f t="shared" si="2"/>
        <v>0</v>
      </c>
      <c r="G66" s="21" t="str">
        <f>IFERROR(VLOOKUP(B66,DADOS!$A$2:$H$252,8,0),"")</f>
        <v/>
      </c>
      <c r="H66" s="22">
        <v>10.0</v>
      </c>
      <c r="I66" s="23">
        <f>IFERROR(VLOOKUP(B66,DADOS!$A$2:$H$252,4,0)*H66,"")</f>
        <v>14.024062</v>
      </c>
      <c r="J66" s="24">
        <v>0.0</v>
      </c>
      <c r="K66" s="25">
        <f>IFERROR(VLOOKUP(B66,DADOS!$A$2:$H$252,4,0)*J66,"")</f>
        <v>0</v>
      </c>
      <c r="L66" s="26">
        <f t="shared" si="3"/>
        <v>0</v>
      </c>
      <c r="M66" s="27"/>
      <c r="N66" s="30"/>
      <c r="O66" s="28"/>
      <c r="P66" s="28"/>
      <c r="Q66" s="28"/>
      <c r="R66" s="28"/>
      <c r="S66" s="28"/>
    </row>
    <row r="67">
      <c r="A67" s="17">
        <v>45350.0</v>
      </c>
      <c r="B67" s="18" t="s">
        <v>33</v>
      </c>
      <c r="C67" s="18" t="s">
        <v>52</v>
      </c>
      <c r="D67" s="19"/>
      <c r="E67" s="19"/>
      <c r="F67" s="20">
        <f t="shared" si="2"/>
        <v>0</v>
      </c>
      <c r="G67" s="21">
        <f>IFERROR(VLOOKUP(B67,DADOS!$A$2:$H$252,8,0),"")</f>
        <v>7</v>
      </c>
      <c r="H67" s="22">
        <v>16.0</v>
      </c>
      <c r="I67" s="23">
        <f>IFERROR(VLOOKUP(B67,DADOS!$A$2:$H$252,4,0)*H67,"")</f>
        <v>22.4384992</v>
      </c>
      <c r="J67" s="24">
        <v>0.0</v>
      </c>
      <c r="K67" s="25">
        <f>IFERROR(VLOOKUP(B67,DADOS!$A$2:$H$252,4,0)*J67,"")</f>
        <v>0</v>
      </c>
      <c r="L67" s="26">
        <f t="shared" si="3"/>
        <v>0</v>
      </c>
      <c r="M67" s="27"/>
      <c r="N67" s="30"/>
      <c r="O67" s="28"/>
      <c r="P67" s="28"/>
      <c r="Q67" s="28"/>
      <c r="R67" s="28"/>
      <c r="S67" s="28"/>
    </row>
    <row r="68">
      <c r="A68" s="17">
        <v>45350.0</v>
      </c>
      <c r="B68" s="18" t="s">
        <v>26</v>
      </c>
      <c r="C68" s="18" t="s">
        <v>52</v>
      </c>
      <c r="D68" s="19"/>
      <c r="E68" s="19"/>
      <c r="F68" s="20">
        <f t="shared" si="2"/>
        <v>0</v>
      </c>
      <c r="G68" s="21">
        <f>IFERROR(VLOOKUP(B68,DADOS!$A$2:$H$252,8,0),"")</f>
        <v>50</v>
      </c>
      <c r="H68" s="22">
        <v>37.0</v>
      </c>
      <c r="I68" s="23">
        <f>IFERROR(VLOOKUP(B68,DADOS!$A$2:$H$252,4,0)*H68,"")</f>
        <v>4.2155432</v>
      </c>
      <c r="J68" s="24">
        <v>0.0</v>
      </c>
      <c r="K68" s="25">
        <f>IFERROR(VLOOKUP(B68,DADOS!$A$2:$H$252,4,0)*J68,"")</f>
        <v>0</v>
      </c>
      <c r="L68" s="26">
        <f t="shared" si="3"/>
        <v>0</v>
      </c>
      <c r="M68" s="27"/>
      <c r="N68" s="30"/>
      <c r="O68" s="28"/>
      <c r="P68" s="28"/>
      <c r="Q68" s="28"/>
      <c r="R68" s="28"/>
      <c r="S68" s="28"/>
    </row>
    <row r="69">
      <c r="A69" s="17">
        <v>45351.0</v>
      </c>
      <c r="B69" s="18" t="s">
        <v>56</v>
      </c>
      <c r="C69" s="18" t="s">
        <v>17</v>
      </c>
      <c r="D69" s="19">
        <v>0.6055555555555555</v>
      </c>
      <c r="E69" s="19">
        <v>0.6611111111111111</v>
      </c>
      <c r="F69" s="20">
        <f t="shared" si="2"/>
        <v>0.05555555556</v>
      </c>
      <c r="G69" s="21">
        <f>IFERROR(VLOOKUP(B69,DADOS!$A$2:$H$252,8,0),"")</f>
        <v>162</v>
      </c>
      <c r="H69" s="22">
        <v>229.0</v>
      </c>
      <c r="I69" s="23">
        <f>IFERROR(VLOOKUP(B69,DADOS!$A$2:$H$252,4,0)*H69,"")</f>
        <v>2.20527</v>
      </c>
      <c r="J69" s="24">
        <v>0.0</v>
      </c>
      <c r="K69" s="25">
        <f>IFERROR(VLOOKUP(B69,DADOS!$A$2:$H$252,4,0)*J69,"")</f>
        <v>0</v>
      </c>
      <c r="L69" s="26">
        <f t="shared" si="3"/>
        <v>0</v>
      </c>
      <c r="M69" s="27"/>
      <c r="N69" s="30"/>
      <c r="O69" s="28"/>
      <c r="P69" s="28"/>
      <c r="Q69" s="28"/>
      <c r="R69" s="28"/>
      <c r="S69" s="28"/>
    </row>
    <row r="70">
      <c r="A70" s="17">
        <v>45351.0</v>
      </c>
      <c r="B70" s="18" t="s">
        <v>57</v>
      </c>
      <c r="C70" s="18" t="s">
        <v>17</v>
      </c>
      <c r="D70" s="19">
        <v>0.4284722222222222</v>
      </c>
      <c r="E70" s="19">
        <v>0.4798611111111111</v>
      </c>
      <c r="F70" s="20">
        <f t="shared" si="2"/>
        <v>0.05138888889</v>
      </c>
      <c r="G70" s="21">
        <f>IFERROR(VLOOKUP(B70,DADOS!$A$2:$H$252,8,0),"")</f>
        <v>100</v>
      </c>
      <c r="H70" s="22">
        <v>98.0</v>
      </c>
      <c r="I70" s="23">
        <f>IFERROR(VLOOKUP(B70,DADOS!$A$2:$H$252,4,0)*H70,"")</f>
        <v>1.67776</v>
      </c>
      <c r="J70" s="24">
        <v>0.0</v>
      </c>
      <c r="K70" s="25">
        <f>IFERROR(VLOOKUP(B70,DADOS!$A$2:$H$252,4,0)*J70,"")</f>
        <v>0</v>
      </c>
      <c r="L70" s="26">
        <f t="shared" si="3"/>
        <v>0</v>
      </c>
      <c r="M70" s="27"/>
      <c r="N70" s="30"/>
      <c r="O70" s="28"/>
      <c r="P70" s="28"/>
      <c r="Q70" s="28"/>
      <c r="R70" s="28"/>
      <c r="S70" s="28"/>
    </row>
    <row r="71">
      <c r="A71" s="17">
        <v>45351.0</v>
      </c>
      <c r="B71" s="18" t="s">
        <v>57</v>
      </c>
      <c r="C71" s="18" t="s">
        <v>17</v>
      </c>
      <c r="D71" s="19">
        <v>0.55</v>
      </c>
      <c r="E71" s="19">
        <v>0.5854166666666667</v>
      </c>
      <c r="F71" s="20">
        <f t="shared" si="2"/>
        <v>0.03541666667</v>
      </c>
      <c r="G71" s="21">
        <f>IFERROR(VLOOKUP(B71,DADOS!$A$2:$H$252,8,0),"")</f>
        <v>100</v>
      </c>
      <c r="H71" s="22">
        <v>82.0</v>
      </c>
      <c r="I71" s="23">
        <f>IFERROR(VLOOKUP(B71,DADOS!$A$2:$H$252,4,0)*H71,"")</f>
        <v>1.40384</v>
      </c>
      <c r="J71" s="24">
        <v>0.0</v>
      </c>
      <c r="K71" s="25">
        <f>IFERROR(VLOOKUP(B71,DADOS!$A$2:$H$252,4,0)*J71,"")</f>
        <v>0</v>
      </c>
      <c r="L71" s="26">
        <f t="shared" si="3"/>
        <v>0</v>
      </c>
      <c r="M71" s="27"/>
      <c r="N71" s="30"/>
      <c r="O71" s="28"/>
      <c r="P71" s="28"/>
      <c r="Q71" s="28"/>
      <c r="R71" s="28"/>
      <c r="S71" s="28"/>
    </row>
    <row r="72">
      <c r="A72" s="17">
        <v>45351.0</v>
      </c>
      <c r="B72" s="18" t="s">
        <v>54</v>
      </c>
      <c r="C72" s="18" t="s">
        <v>52</v>
      </c>
      <c r="D72" s="19"/>
      <c r="E72" s="19"/>
      <c r="F72" s="20">
        <f t="shared" si="2"/>
        <v>0</v>
      </c>
      <c r="G72" s="21" t="str">
        <f>IFERROR(VLOOKUP(B72,DADOS!$A$2:$H$252,8,0),"")</f>
        <v/>
      </c>
      <c r="H72" s="22">
        <v>10.0</v>
      </c>
      <c r="I72" s="23">
        <f>IFERROR(VLOOKUP(B72,DADOS!$A$2:$H$252,4,0)*H72,"")</f>
        <v>14.024062</v>
      </c>
      <c r="J72" s="24">
        <v>0.0</v>
      </c>
      <c r="K72" s="25">
        <f>IFERROR(VLOOKUP(B72,DADOS!$A$2:$H$252,4,0)*J72,"")</f>
        <v>0</v>
      </c>
      <c r="L72" s="26">
        <f t="shared" si="3"/>
        <v>0</v>
      </c>
      <c r="M72" s="27"/>
      <c r="N72" s="30"/>
      <c r="O72" s="28"/>
      <c r="P72" s="28"/>
      <c r="Q72" s="28"/>
      <c r="R72" s="28"/>
      <c r="S72" s="28"/>
    </row>
    <row r="73">
      <c r="A73" s="17">
        <v>45351.0</v>
      </c>
      <c r="B73" s="18" t="s">
        <v>58</v>
      </c>
      <c r="C73" s="18" t="s">
        <v>52</v>
      </c>
      <c r="D73" s="19"/>
      <c r="E73" s="19"/>
      <c r="F73" s="20">
        <f t="shared" si="2"/>
        <v>0</v>
      </c>
      <c r="G73" s="21">
        <f>IFERROR(VLOOKUP(B73,DADOS!$A$2:$H$252,8,0),"")</f>
        <v>31</v>
      </c>
      <c r="H73" s="22">
        <v>12.0</v>
      </c>
      <c r="I73" s="23">
        <f>IFERROR(VLOOKUP(B73,DADOS!$A$2:$H$252,4,0)*H73,"")</f>
        <v>1.3672032</v>
      </c>
      <c r="J73" s="24">
        <v>0.0</v>
      </c>
      <c r="K73" s="25">
        <f>IFERROR(VLOOKUP(B73,DADOS!$A$2:$H$252,4,0)*J73,"")</f>
        <v>0</v>
      </c>
      <c r="L73" s="26">
        <f t="shared" si="3"/>
        <v>0</v>
      </c>
      <c r="M73" s="27"/>
      <c r="N73" s="30"/>
      <c r="O73" s="28"/>
      <c r="P73" s="28"/>
      <c r="Q73" s="28"/>
      <c r="R73" s="28"/>
      <c r="S73" s="28"/>
    </row>
    <row r="74">
      <c r="A74" s="17">
        <v>45351.0</v>
      </c>
      <c r="B74" s="18" t="s">
        <v>33</v>
      </c>
      <c r="C74" s="18" t="s">
        <v>52</v>
      </c>
      <c r="D74" s="19"/>
      <c r="E74" s="19"/>
      <c r="F74" s="20">
        <f t="shared" si="2"/>
        <v>0</v>
      </c>
      <c r="G74" s="21">
        <f>IFERROR(VLOOKUP(B74,DADOS!$A$2:$H$252,8,0),"")</f>
        <v>7</v>
      </c>
      <c r="H74" s="22">
        <v>20.0</v>
      </c>
      <c r="I74" s="23">
        <f>IFERROR(VLOOKUP(B74,DADOS!$A$2:$H$252,4,0)*H74,"")</f>
        <v>28.048124</v>
      </c>
      <c r="J74" s="24">
        <v>0.0</v>
      </c>
      <c r="K74" s="25">
        <f>IFERROR(VLOOKUP(B74,DADOS!$A$2:$H$252,4,0)*J74,"")</f>
        <v>0</v>
      </c>
      <c r="L74" s="26">
        <f t="shared" si="3"/>
        <v>0</v>
      </c>
      <c r="M74" s="27"/>
      <c r="N74" s="30"/>
      <c r="O74" s="28"/>
      <c r="P74" s="28"/>
      <c r="Q74" s="28"/>
      <c r="R74" s="28"/>
      <c r="S74" s="28"/>
    </row>
    <row r="75">
      <c r="A75" s="17">
        <v>45351.0</v>
      </c>
      <c r="B75" s="18" t="s">
        <v>26</v>
      </c>
      <c r="C75" s="18" t="s">
        <v>52</v>
      </c>
      <c r="D75" s="19"/>
      <c r="E75" s="19"/>
      <c r="F75" s="20">
        <f t="shared" si="2"/>
        <v>0</v>
      </c>
      <c r="G75" s="21">
        <f>IFERROR(VLOOKUP(B75,DADOS!$A$2:$H$252,8,0),"")</f>
        <v>50</v>
      </c>
      <c r="H75" s="22">
        <v>13.0</v>
      </c>
      <c r="I75" s="23">
        <f>IFERROR(VLOOKUP(B75,DADOS!$A$2:$H$252,4,0)*H75,"")</f>
        <v>1.4811368</v>
      </c>
      <c r="J75" s="24">
        <v>0.0</v>
      </c>
      <c r="K75" s="25">
        <f>IFERROR(VLOOKUP(B75,DADOS!$A$2:$H$252,4,0)*J75,"")</f>
        <v>0</v>
      </c>
      <c r="L75" s="26">
        <f t="shared" si="3"/>
        <v>0</v>
      </c>
      <c r="M75" s="27"/>
      <c r="N75" s="30"/>
      <c r="O75" s="28"/>
      <c r="P75" s="28"/>
      <c r="Q75" s="28"/>
      <c r="R75" s="28"/>
      <c r="S75" s="28"/>
    </row>
    <row r="76">
      <c r="A76" s="17">
        <v>45352.0</v>
      </c>
      <c r="B76" s="18" t="s">
        <v>59</v>
      </c>
      <c r="C76" s="18" t="s">
        <v>17</v>
      </c>
      <c r="D76" s="19">
        <v>0.3368055555555556</v>
      </c>
      <c r="E76" s="19">
        <v>0.49166666666666664</v>
      </c>
      <c r="F76" s="20">
        <f t="shared" si="2"/>
        <v>0.1548611111</v>
      </c>
      <c r="G76" s="21">
        <f>IFERROR(VLOOKUP(B76,DADOS!$A$2:$H$252,8,0),"")</f>
        <v>50</v>
      </c>
      <c r="H76" s="22">
        <v>180.0</v>
      </c>
      <c r="I76" s="23">
        <f>IFERROR(VLOOKUP(B76,DADOS!$A$2:$H$252,4,0)*H76,"")</f>
        <v>3.0816</v>
      </c>
      <c r="J76" s="24">
        <v>0.0</v>
      </c>
      <c r="K76" s="25">
        <f>IFERROR(VLOOKUP(B76,DADOS!$A$2:$H$252,4,0)*J76,"")</f>
        <v>0</v>
      </c>
      <c r="L76" s="26">
        <f t="shared" si="3"/>
        <v>0</v>
      </c>
      <c r="M76" s="27"/>
      <c r="N76" s="30"/>
      <c r="O76" s="28"/>
      <c r="P76" s="28"/>
      <c r="Q76" s="28"/>
      <c r="R76" s="28"/>
      <c r="S76" s="28"/>
    </row>
    <row r="77">
      <c r="A77" s="17">
        <v>45352.0</v>
      </c>
      <c r="B77" s="18" t="s">
        <v>60</v>
      </c>
      <c r="C77" s="18" t="s">
        <v>52</v>
      </c>
      <c r="D77" s="19"/>
      <c r="E77" s="19"/>
      <c r="F77" s="20">
        <f t="shared" si="2"/>
        <v>0</v>
      </c>
      <c r="G77" s="21">
        <f>IFERROR(VLOOKUP(B77,DADOS!$A$2:$H$252,8,0),"")</f>
        <v>15</v>
      </c>
      <c r="H77" s="22">
        <v>46.0</v>
      </c>
      <c r="I77" s="23">
        <f>IFERROR(VLOOKUP(B77,DADOS!$A$2:$H$252,4,0)*H77,"")</f>
        <v>14.972724</v>
      </c>
      <c r="J77" s="24">
        <v>0.0</v>
      </c>
      <c r="K77" s="25">
        <f>IFERROR(VLOOKUP(B77,DADOS!$A$2:$H$252,4,0)*J77,"")</f>
        <v>0</v>
      </c>
      <c r="L77" s="26">
        <f t="shared" si="3"/>
        <v>0</v>
      </c>
      <c r="M77" s="27"/>
      <c r="N77" s="30"/>
      <c r="O77" s="28"/>
      <c r="P77" s="28"/>
      <c r="Q77" s="28"/>
      <c r="R77" s="28"/>
      <c r="S77" s="28"/>
    </row>
    <row r="78">
      <c r="A78" s="17">
        <v>45352.0</v>
      </c>
      <c r="B78" s="18" t="s">
        <v>58</v>
      </c>
      <c r="C78" s="18" t="s">
        <v>52</v>
      </c>
      <c r="D78" s="19"/>
      <c r="E78" s="19"/>
      <c r="F78" s="20">
        <f t="shared" si="2"/>
        <v>0</v>
      </c>
      <c r="G78" s="21">
        <f>IFERROR(VLOOKUP(B78,DADOS!$A$2:$H$252,8,0),"")</f>
        <v>31</v>
      </c>
      <c r="H78" s="22">
        <v>19.0</v>
      </c>
      <c r="I78" s="23">
        <f>IFERROR(VLOOKUP(B78,DADOS!$A$2:$H$252,4,0)*H78,"")</f>
        <v>2.1647384</v>
      </c>
      <c r="J78" s="24">
        <v>0.0</v>
      </c>
      <c r="K78" s="25">
        <f>IFERROR(VLOOKUP(B78,DADOS!$A$2:$H$252,4,0)*J78,"")</f>
        <v>0</v>
      </c>
      <c r="L78" s="26">
        <f t="shared" si="3"/>
        <v>0</v>
      </c>
      <c r="M78" s="27"/>
      <c r="N78" s="30"/>
      <c r="O78" s="28"/>
      <c r="P78" s="28"/>
      <c r="Q78" s="28"/>
      <c r="R78" s="28"/>
      <c r="S78" s="28"/>
    </row>
    <row r="79">
      <c r="A79" s="17">
        <v>45352.0</v>
      </c>
      <c r="B79" s="18" t="s">
        <v>18</v>
      </c>
      <c r="C79" s="18" t="s">
        <v>52</v>
      </c>
      <c r="D79" s="19"/>
      <c r="E79" s="19"/>
      <c r="F79" s="20">
        <f t="shared" si="2"/>
        <v>0</v>
      </c>
      <c r="G79" s="21">
        <f>IFERROR(VLOOKUP(B79,DADOS!$A$2:$H$252,8,0),"")</f>
        <v>21</v>
      </c>
      <c r="H79" s="22">
        <v>4.0</v>
      </c>
      <c r="I79" s="23">
        <f>IFERROR(VLOOKUP(B79,DADOS!$A$2:$H$252,4,0)*H79,"")</f>
        <v>1.171864</v>
      </c>
      <c r="J79" s="24">
        <v>0.0</v>
      </c>
      <c r="K79" s="25">
        <f>IFERROR(VLOOKUP(B79,DADOS!$A$2:$H$252,4,0)*J79,"")</f>
        <v>0</v>
      </c>
      <c r="L79" s="26">
        <f t="shared" si="3"/>
        <v>0</v>
      </c>
      <c r="M79" s="27"/>
      <c r="N79" s="30"/>
      <c r="O79" s="28"/>
      <c r="P79" s="28"/>
      <c r="Q79" s="28"/>
      <c r="R79" s="28"/>
      <c r="S79" s="28"/>
    </row>
    <row r="80">
      <c r="A80" s="17">
        <v>45353.0</v>
      </c>
      <c r="B80" s="18" t="s">
        <v>22</v>
      </c>
      <c r="C80" s="18" t="s">
        <v>23</v>
      </c>
      <c r="D80" s="19">
        <v>0.3125</v>
      </c>
      <c r="E80" s="19">
        <v>0.4861111111111111</v>
      </c>
      <c r="F80" s="20">
        <f t="shared" si="2"/>
        <v>0.1736111111</v>
      </c>
      <c r="G80" s="21">
        <f>IFERROR(VLOOKUP(B80,DADOS!$A$2:$H$252,8,0),"")</f>
        <v>15</v>
      </c>
      <c r="H80" s="22">
        <v>51.0</v>
      </c>
      <c r="I80" s="23">
        <f>IFERROR(VLOOKUP(B80,DADOS!$A$2:$H$252,4,0)*H80,"")</f>
        <v>31.2260454</v>
      </c>
      <c r="J80" s="24">
        <v>0.0</v>
      </c>
      <c r="K80" s="25">
        <f>IFERROR(VLOOKUP(B80,DADOS!$A$2:$H$252,4,0)*J80,"")</f>
        <v>0</v>
      </c>
      <c r="L80" s="26">
        <f t="shared" si="3"/>
        <v>0</v>
      </c>
      <c r="M80" s="27"/>
      <c r="N80" s="30"/>
      <c r="O80" s="28"/>
      <c r="P80" s="28"/>
      <c r="Q80" s="28"/>
      <c r="R80" s="28"/>
      <c r="S80" s="28"/>
    </row>
    <row r="81">
      <c r="A81" s="17">
        <v>45355.0</v>
      </c>
      <c r="B81" s="18" t="s">
        <v>25</v>
      </c>
      <c r="C81" s="18" t="s">
        <v>52</v>
      </c>
      <c r="D81" s="19"/>
      <c r="E81" s="19"/>
      <c r="F81" s="20">
        <f t="shared" si="2"/>
        <v>0</v>
      </c>
      <c r="G81" s="21">
        <f>IFERROR(VLOOKUP(B81,DADOS!$A$2:$H$252,8,0),"")</f>
        <v>40</v>
      </c>
      <c r="H81" s="22">
        <v>51.0</v>
      </c>
      <c r="I81" s="23">
        <f>IFERROR(VLOOKUP(B81,DADOS!$A$2:$H$252,4,0)*H81,"")</f>
        <v>5.282376</v>
      </c>
      <c r="J81" s="24">
        <v>5.0</v>
      </c>
      <c r="K81" s="25">
        <f>IFERROR(VLOOKUP(B81,DADOS!$A$2:$H$252,4,0)*J81,"")</f>
        <v>0.51788</v>
      </c>
      <c r="L81" s="26">
        <f t="shared" si="3"/>
        <v>0.09803921569</v>
      </c>
      <c r="M81" s="27"/>
      <c r="N81" s="30"/>
      <c r="O81" s="28"/>
      <c r="P81" s="28"/>
      <c r="Q81" s="28"/>
      <c r="R81" s="28"/>
      <c r="S81" s="28"/>
    </row>
    <row r="82">
      <c r="A82" s="17">
        <v>45355.0</v>
      </c>
      <c r="B82" s="18" t="s">
        <v>30</v>
      </c>
      <c r="C82" s="18" t="s">
        <v>52</v>
      </c>
      <c r="D82" s="19"/>
      <c r="E82" s="19"/>
      <c r="F82" s="20">
        <f t="shared" si="2"/>
        <v>0</v>
      </c>
      <c r="G82" s="21">
        <f>IFERROR(VLOOKUP(B82,DADOS!$A$2:$H$252,8,0),"")</f>
        <v>14</v>
      </c>
      <c r="H82" s="22">
        <v>59.0</v>
      </c>
      <c r="I82" s="23">
        <f>IFERROR(VLOOKUP(B82,DADOS!$A$2:$H$252,4,0)*H82,"")</f>
        <v>12.49974</v>
      </c>
      <c r="J82" s="24">
        <v>2.0</v>
      </c>
      <c r="K82" s="25">
        <f>IFERROR(VLOOKUP(B82,DADOS!$A$2:$H$252,4,0)*J82,"")</f>
        <v>0.42372</v>
      </c>
      <c r="L82" s="26">
        <f t="shared" si="3"/>
        <v>0.03389830508</v>
      </c>
      <c r="M82" s="27"/>
      <c r="N82" s="30"/>
      <c r="O82" s="28"/>
      <c r="P82" s="28"/>
      <c r="Q82" s="28"/>
      <c r="R82" s="28"/>
      <c r="S82" s="28"/>
    </row>
    <row r="83">
      <c r="A83" s="17">
        <v>45355.0</v>
      </c>
      <c r="B83" s="18" t="s">
        <v>26</v>
      </c>
      <c r="C83" s="18" t="s">
        <v>52</v>
      </c>
      <c r="D83" s="19"/>
      <c r="E83" s="19"/>
      <c r="F83" s="20">
        <f t="shared" si="2"/>
        <v>0</v>
      </c>
      <c r="G83" s="21">
        <f>IFERROR(VLOOKUP(B83,DADOS!$A$2:$H$252,8,0),"")</f>
        <v>50</v>
      </c>
      <c r="H83" s="22">
        <v>22.0</v>
      </c>
      <c r="I83" s="23">
        <f>IFERROR(VLOOKUP(B83,DADOS!$A$2:$H$252,4,0)*H83,"")</f>
        <v>2.5065392</v>
      </c>
      <c r="J83" s="24">
        <v>0.0</v>
      </c>
      <c r="K83" s="25">
        <f>IFERROR(VLOOKUP(B83,DADOS!$A$2:$H$252,4,0)*J83,"")</f>
        <v>0</v>
      </c>
      <c r="L83" s="26">
        <f t="shared" si="3"/>
        <v>0</v>
      </c>
      <c r="M83" s="27"/>
      <c r="N83" s="30"/>
      <c r="O83" s="28"/>
      <c r="P83" s="28"/>
      <c r="Q83" s="28"/>
      <c r="R83" s="28"/>
      <c r="S83" s="28"/>
    </row>
    <row r="84">
      <c r="A84" s="17">
        <v>45356.0</v>
      </c>
      <c r="B84" s="18" t="s">
        <v>49</v>
      </c>
      <c r="C84" s="18" t="s">
        <v>52</v>
      </c>
      <c r="D84" s="19"/>
      <c r="E84" s="19"/>
      <c r="F84" s="20">
        <f t="shared" si="2"/>
        <v>0</v>
      </c>
      <c r="G84" s="21">
        <f>IFERROR(VLOOKUP(B84,DADOS!$A$2:$H$252,8,0),"")</f>
        <v>42</v>
      </c>
      <c r="H84" s="22">
        <v>47.0</v>
      </c>
      <c r="I84" s="23">
        <f>IFERROR(VLOOKUP(B84,DADOS!$A$2:$H$252,4,0)*H84,"")</f>
        <v>3.1974382</v>
      </c>
      <c r="J84" s="24">
        <v>2.0</v>
      </c>
      <c r="K84" s="25">
        <f>IFERROR(VLOOKUP(B84,DADOS!$A$2:$H$252,4,0)*J84,"")</f>
        <v>0.1360612</v>
      </c>
      <c r="L84" s="26">
        <f t="shared" si="3"/>
        <v>0.04255319149</v>
      </c>
      <c r="M84" s="27"/>
      <c r="N84" s="30"/>
      <c r="O84" s="28"/>
      <c r="P84" s="28"/>
      <c r="Q84" s="28"/>
      <c r="R84" s="28"/>
      <c r="S84" s="28"/>
    </row>
    <row r="85">
      <c r="A85" s="17">
        <v>45356.0</v>
      </c>
      <c r="B85" s="18" t="s">
        <v>18</v>
      </c>
      <c r="C85" s="18" t="s">
        <v>52</v>
      </c>
      <c r="D85" s="19"/>
      <c r="E85" s="19"/>
      <c r="F85" s="20">
        <f t="shared" si="2"/>
        <v>0</v>
      </c>
      <c r="G85" s="21">
        <f>IFERROR(VLOOKUP(B85,DADOS!$A$2:$H$252,8,0),"")</f>
        <v>21</v>
      </c>
      <c r="H85" s="22">
        <v>51.0</v>
      </c>
      <c r="I85" s="23">
        <f>IFERROR(VLOOKUP(B85,DADOS!$A$2:$H$252,4,0)*H85,"")</f>
        <v>14.941266</v>
      </c>
      <c r="J85" s="24">
        <v>0.0</v>
      </c>
      <c r="K85" s="25">
        <f>IFERROR(VLOOKUP(B85,DADOS!$A$2:$H$252,4,0)*J85,"")</f>
        <v>0</v>
      </c>
      <c r="L85" s="26">
        <f t="shared" si="3"/>
        <v>0</v>
      </c>
      <c r="M85" s="27"/>
      <c r="N85" s="30"/>
      <c r="O85" s="28"/>
      <c r="P85" s="28"/>
      <c r="Q85" s="28"/>
      <c r="R85" s="28"/>
      <c r="S85" s="28"/>
    </row>
    <row r="86">
      <c r="A86" s="17">
        <v>45356.0</v>
      </c>
      <c r="B86" s="18" t="s">
        <v>26</v>
      </c>
      <c r="C86" s="18" t="s">
        <v>52</v>
      </c>
      <c r="D86" s="19"/>
      <c r="E86" s="19"/>
      <c r="F86" s="20">
        <f t="shared" si="2"/>
        <v>0</v>
      </c>
      <c r="G86" s="21">
        <f>IFERROR(VLOOKUP(B86,DADOS!$A$2:$H$252,8,0),"")</f>
        <v>50</v>
      </c>
      <c r="H86" s="22">
        <v>29.0</v>
      </c>
      <c r="I86" s="23">
        <f>IFERROR(VLOOKUP(B86,DADOS!$A$2:$H$252,4,0)*H86,"")</f>
        <v>3.3040744</v>
      </c>
      <c r="J86" s="24">
        <v>0.0</v>
      </c>
      <c r="K86" s="25">
        <f>IFERROR(VLOOKUP(B86,DADOS!$A$2:$H$252,4,0)*J86,"")</f>
        <v>0</v>
      </c>
      <c r="L86" s="26">
        <f t="shared" si="3"/>
        <v>0</v>
      </c>
      <c r="M86" s="27"/>
      <c r="N86" s="30"/>
      <c r="O86" s="28"/>
      <c r="P86" s="28"/>
      <c r="Q86" s="28"/>
      <c r="R86" s="28"/>
      <c r="S86" s="28"/>
    </row>
    <row r="87">
      <c r="A87" s="17">
        <v>45357.0</v>
      </c>
      <c r="B87" s="18" t="s">
        <v>61</v>
      </c>
      <c r="C87" s="18" t="s">
        <v>17</v>
      </c>
      <c r="D87" s="19">
        <v>0.375</v>
      </c>
      <c r="E87" s="19">
        <v>0.43125</v>
      </c>
      <c r="F87" s="20">
        <f t="shared" si="2"/>
        <v>0.05625</v>
      </c>
      <c r="G87" s="21">
        <f>IFERROR(VLOOKUP(B87,DADOS!$A$2:$H$252,8,0),"")</f>
        <v>112</v>
      </c>
      <c r="H87" s="22">
        <v>199.0</v>
      </c>
      <c r="I87" s="23">
        <f>IFERROR(VLOOKUP(B87,DADOS!$A$2:$H$252,4,0)*H87,"")</f>
        <v>2.98102</v>
      </c>
      <c r="J87" s="24">
        <v>1.0</v>
      </c>
      <c r="K87" s="25">
        <f>IFERROR(VLOOKUP(B87,DADOS!$A$2:$H$252,4,0)*J87,"")</f>
        <v>0.01498</v>
      </c>
      <c r="L87" s="26">
        <f t="shared" si="3"/>
        <v>0.005025125628</v>
      </c>
      <c r="M87" s="27"/>
      <c r="N87" s="30"/>
      <c r="O87" s="28"/>
      <c r="P87" s="28"/>
      <c r="Q87" s="28"/>
      <c r="R87" s="28"/>
      <c r="S87" s="28"/>
    </row>
    <row r="88">
      <c r="A88" s="17">
        <v>45357.0</v>
      </c>
      <c r="B88" s="18" t="s">
        <v>49</v>
      </c>
      <c r="C88" s="18" t="s">
        <v>52</v>
      </c>
      <c r="D88" s="19"/>
      <c r="E88" s="19"/>
      <c r="F88" s="20">
        <f t="shared" si="2"/>
        <v>0</v>
      </c>
      <c r="G88" s="21">
        <f>IFERROR(VLOOKUP(B88,DADOS!$A$2:$H$252,8,0),"")</f>
        <v>42</v>
      </c>
      <c r="H88" s="22">
        <v>64.0</v>
      </c>
      <c r="I88" s="23">
        <f>IFERROR(VLOOKUP(B88,DADOS!$A$2:$H$252,4,0)*H88,"")</f>
        <v>4.3539584</v>
      </c>
      <c r="J88" s="24">
        <v>1.0</v>
      </c>
      <c r="K88" s="25">
        <f>IFERROR(VLOOKUP(B88,DADOS!$A$2:$H$252,4,0)*J88,"")</f>
        <v>0.0680306</v>
      </c>
      <c r="L88" s="26">
        <f t="shared" si="3"/>
        <v>0.015625</v>
      </c>
      <c r="M88" s="27"/>
      <c r="N88" s="30"/>
      <c r="O88" s="28"/>
      <c r="P88" s="28"/>
      <c r="Q88" s="28"/>
      <c r="R88" s="28"/>
      <c r="S88" s="28"/>
    </row>
    <row r="89">
      <c r="A89" s="17">
        <v>45357.0</v>
      </c>
      <c r="B89" s="18" t="s">
        <v>62</v>
      </c>
      <c r="C89" s="18" t="s">
        <v>52</v>
      </c>
      <c r="D89" s="19"/>
      <c r="E89" s="19"/>
      <c r="F89" s="20">
        <f t="shared" si="2"/>
        <v>0</v>
      </c>
      <c r="G89" s="21">
        <f>IFERROR(VLOOKUP(B89,DADOS!$A$2:$H$252,8,0),"")</f>
        <v>14</v>
      </c>
      <c r="H89" s="22">
        <v>53.0</v>
      </c>
      <c r="I89" s="23">
        <f>IFERROR(VLOOKUP(B89,DADOS!$A$2:$H$252,4,0)*H89,"")</f>
        <v>4.5039082</v>
      </c>
      <c r="J89" s="24">
        <v>0.0</v>
      </c>
      <c r="K89" s="25">
        <f>IFERROR(VLOOKUP(B89,DADOS!$A$2:$H$252,4,0)*J89,"")</f>
        <v>0</v>
      </c>
      <c r="L89" s="26">
        <f t="shared" si="3"/>
        <v>0</v>
      </c>
      <c r="M89" s="27"/>
      <c r="N89" s="30"/>
      <c r="O89" s="28"/>
      <c r="P89" s="28"/>
      <c r="Q89" s="28"/>
      <c r="R89" s="28"/>
      <c r="S89" s="28"/>
    </row>
    <row r="90">
      <c r="A90" s="17">
        <v>45358.0</v>
      </c>
      <c r="B90" s="18" t="s">
        <v>63</v>
      </c>
      <c r="C90" s="18" t="s">
        <v>19</v>
      </c>
      <c r="D90" s="19"/>
      <c r="E90" s="19"/>
      <c r="F90" s="20">
        <f t="shared" si="2"/>
        <v>0</v>
      </c>
      <c r="G90" s="21" t="str">
        <f>IFERROR(VLOOKUP(B90,DADOS!$A$2:$H$252,8,0),"")</f>
        <v/>
      </c>
      <c r="H90" s="22">
        <v>32.0</v>
      </c>
      <c r="I90" s="23">
        <f>IFERROR(VLOOKUP(B90,DADOS!$A$2:$H$252,4,0)*H90,"")</f>
        <v>0</v>
      </c>
      <c r="J90" s="24">
        <v>1.0</v>
      </c>
      <c r="K90" s="25">
        <f>IFERROR(VLOOKUP(B90,DADOS!$A$2:$H$252,4,0)*J90,"")</f>
        <v>0</v>
      </c>
      <c r="L90" s="26" t="str">
        <f t="shared" si="3"/>
        <v/>
      </c>
      <c r="M90" s="27"/>
      <c r="N90" s="30"/>
      <c r="O90" s="28"/>
      <c r="P90" s="28"/>
      <c r="Q90" s="28"/>
      <c r="R90" s="28"/>
      <c r="S90" s="28"/>
    </row>
    <row r="91">
      <c r="A91" s="17">
        <v>45358.0</v>
      </c>
      <c r="B91" s="18" t="s">
        <v>62</v>
      </c>
      <c r="C91" s="18" t="s">
        <v>52</v>
      </c>
      <c r="D91" s="19"/>
      <c r="E91" s="19"/>
      <c r="F91" s="20">
        <f t="shared" si="2"/>
        <v>0</v>
      </c>
      <c r="G91" s="21">
        <f>IFERROR(VLOOKUP(B91,DADOS!$A$2:$H$252,8,0),"")</f>
        <v>14</v>
      </c>
      <c r="H91" s="22">
        <v>47.0</v>
      </c>
      <c r="I91" s="23">
        <f>IFERROR(VLOOKUP(B91,DADOS!$A$2:$H$252,4,0)*H91,"")</f>
        <v>3.9940318</v>
      </c>
      <c r="J91" s="24">
        <v>0.0</v>
      </c>
      <c r="K91" s="25">
        <f>IFERROR(VLOOKUP(B91,DADOS!$A$2:$H$252,4,0)*J91,"")</f>
        <v>0</v>
      </c>
      <c r="L91" s="26">
        <f t="shared" si="3"/>
        <v>0</v>
      </c>
      <c r="M91" s="27"/>
      <c r="N91" s="30"/>
      <c r="O91" s="28"/>
      <c r="P91" s="28"/>
      <c r="Q91" s="28"/>
      <c r="R91" s="28"/>
      <c r="S91" s="28"/>
    </row>
    <row r="92">
      <c r="A92" s="17">
        <v>45358.0</v>
      </c>
      <c r="B92" s="18" t="s">
        <v>64</v>
      </c>
      <c r="C92" s="18" t="s">
        <v>52</v>
      </c>
      <c r="D92" s="19"/>
      <c r="E92" s="19"/>
      <c r="F92" s="20">
        <f t="shared" si="2"/>
        <v>0</v>
      </c>
      <c r="G92" s="21">
        <f>IFERROR(VLOOKUP(B92,DADOS!$A$2:$H$252,8,0),"")</f>
        <v>21</v>
      </c>
      <c r="H92" s="22">
        <v>42.0</v>
      </c>
      <c r="I92" s="23">
        <f>IFERROR(VLOOKUP(B92,DADOS!$A$2:$H$252,4,0)*H92,"")</f>
        <v>9.787932</v>
      </c>
      <c r="J92" s="24">
        <v>0.0</v>
      </c>
      <c r="K92" s="25">
        <f>IFERROR(VLOOKUP(B92,DADOS!$A$2:$H$252,4,0)*J92,"")</f>
        <v>0</v>
      </c>
      <c r="L92" s="26">
        <f t="shared" si="3"/>
        <v>0</v>
      </c>
      <c r="M92" s="27"/>
      <c r="N92" s="30"/>
      <c r="O92" s="28"/>
      <c r="P92" s="28"/>
      <c r="Q92" s="28"/>
      <c r="R92" s="28"/>
      <c r="S92" s="28"/>
    </row>
    <row r="93">
      <c r="A93" s="17">
        <v>45359.0</v>
      </c>
      <c r="B93" s="18" t="s">
        <v>63</v>
      </c>
      <c r="C93" s="18" t="s">
        <v>19</v>
      </c>
      <c r="D93" s="19"/>
      <c r="E93" s="19"/>
      <c r="F93" s="20">
        <f t="shared" si="2"/>
        <v>0</v>
      </c>
      <c r="G93" s="21" t="str">
        <f>IFERROR(VLOOKUP(B93,DADOS!$A$2:$H$252,8,0),"")</f>
        <v/>
      </c>
      <c r="H93" s="22">
        <v>12.0</v>
      </c>
      <c r="I93" s="23">
        <f>IFERROR(VLOOKUP(B93,DADOS!$A$2:$H$252,4,0)*H93,"")</f>
        <v>0</v>
      </c>
      <c r="J93" s="24">
        <v>2.0</v>
      </c>
      <c r="K93" s="25">
        <f>IFERROR(VLOOKUP(B93,DADOS!$A$2:$H$252,4,0)*J93,"")</f>
        <v>0</v>
      </c>
      <c r="L93" s="26" t="str">
        <f t="shared" si="3"/>
        <v/>
      </c>
      <c r="M93" s="27"/>
      <c r="N93" s="30"/>
      <c r="O93" s="28"/>
      <c r="P93" s="28"/>
      <c r="Q93" s="28"/>
      <c r="R93" s="28"/>
      <c r="S93" s="28"/>
    </row>
    <row r="94">
      <c r="A94" s="17">
        <v>45360.0</v>
      </c>
      <c r="B94" s="18" t="s">
        <v>54</v>
      </c>
      <c r="C94" s="18" t="s">
        <v>23</v>
      </c>
      <c r="D94" s="19"/>
      <c r="E94" s="19"/>
      <c r="F94" s="20">
        <f t="shared" si="2"/>
        <v>0</v>
      </c>
      <c r="G94" s="21" t="str">
        <f>IFERROR(VLOOKUP(B94,DADOS!$A$2:$H$252,8,0),"")</f>
        <v/>
      </c>
      <c r="H94" s="22">
        <v>40.0</v>
      </c>
      <c r="I94" s="23">
        <f>IFERROR(VLOOKUP(B94,DADOS!$A$2:$H$252,4,0)*H94,"")</f>
        <v>56.096248</v>
      </c>
      <c r="J94" s="24">
        <v>1.0</v>
      </c>
      <c r="K94" s="25">
        <f>IFERROR(VLOOKUP(B94,DADOS!$A$2:$H$252,4,0)*J94,"")</f>
        <v>1.4024062</v>
      </c>
      <c r="L94" s="26">
        <f t="shared" si="3"/>
        <v>0.025</v>
      </c>
      <c r="M94" s="27"/>
      <c r="N94" s="30"/>
      <c r="O94" s="28"/>
      <c r="P94" s="28"/>
      <c r="Q94" s="28"/>
      <c r="R94" s="28"/>
      <c r="S94" s="28"/>
    </row>
    <row r="95">
      <c r="A95" s="17">
        <v>45360.0</v>
      </c>
      <c r="B95" s="18" t="s">
        <v>33</v>
      </c>
      <c r="C95" s="18" t="s">
        <v>23</v>
      </c>
      <c r="D95" s="19"/>
      <c r="E95" s="19"/>
      <c r="F95" s="20">
        <f t="shared" si="2"/>
        <v>0</v>
      </c>
      <c r="G95" s="21">
        <f>IFERROR(VLOOKUP(B95,DADOS!$A$2:$H$252,8,0),"")</f>
        <v>7</v>
      </c>
      <c r="H95" s="22">
        <v>35.0</v>
      </c>
      <c r="I95" s="23">
        <f>IFERROR(VLOOKUP(B95,DADOS!$A$2:$H$252,4,0)*H95,"")</f>
        <v>49.084217</v>
      </c>
      <c r="J95" s="24">
        <v>0.0</v>
      </c>
      <c r="K95" s="25">
        <f>IFERROR(VLOOKUP(B95,DADOS!$A$2:$H$252,4,0)*J95,"")</f>
        <v>0</v>
      </c>
      <c r="L95" s="26">
        <f t="shared" si="3"/>
        <v>0</v>
      </c>
      <c r="M95" s="27"/>
      <c r="N95" s="30"/>
      <c r="O95" s="28"/>
      <c r="P95" s="28"/>
      <c r="Q95" s="28"/>
      <c r="R95" s="28"/>
      <c r="S95" s="28"/>
    </row>
    <row r="96">
      <c r="A96" s="17">
        <v>45363.0</v>
      </c>
      <c r="B96" s="18" t="s">
        <v>26</v>
      </c>
      <c r="C96" s="18" t="s">
        <v>19</v>
      </c>
      <c r="D96" s="19"/>
      <c r="E96" s="19"/>
      <c r="F96" s="20">
        <f t="shared" si="2"/>
        <v>0</v>
      </c>
      <c r="G96" s="21">
        <f>IFERROR(VLOOKUP(B96,DADOS!$A$2:$H$252,8,0),"")</f>
        <v>50</v>
      </c>
      <c r="H96" s="22">
        <v>15.0</v>
      </c>
      <c r="I96" s="23">
        <f>IFERROR(VLOOKUP(B96,DADOS!$A$2:$H$252,4,0)*H96,"")</f>
        <v>1.709004</v>
      </c>
      <c r="J96" s="24">
        <v>1.0</v>
      </c>
      <c r="K96" s="25">
        <f>IFERROR(VLOOKUP(B96,DADOS!$A$2:$H$252,4,0)*J96,"")</f>
        <v>0.1139336</v>
      </c>
      <c r="L96" s="26">
        <f t="shared" si="3"/>
        <v>0.06666666667</v>
      </c>
      <c r="M96" s="27"/>
      <c r="N96" s="30"/>
      <c r="O96" s="28"/>
      <c r="P96" s="28"/>
      <c r="Q96" s="28"/>
      <c r="R96" s="28"/>
      <c r="S96" s="28"/>
    </row>
    <row r="97">
      <c r="A97" s="17">
        <v>45363.0</v>
      </c>
      <c r="B97" s="18" t="s">
        <v>37</v>
      </c>
      <c r="C97" s="18" t="s">
        <v>65</v>
      </c>
      <c r="D97" s="19"/>
      <c r="E97" s="19"/>
      <c r="F97" s="20">
        <f t="shared" si="2"/>
        <v>0</v>
      </c>
      <c r="G97" s="21" t="str">
        <f>IFERROR(VLOOKUP(B97,DADOS!$A$2:$H$252,8,0),"")</f>
        <v/>
      </c>
      <c r="H97" s="22">
        <v>172.0</v>
      </c>
      <c r="I97" s="23" t="str">
        <f>IFERROR(VLOOKUP(B97,DADOS!$A$2:$H$252,4,0)*H97,"")</f>
        <v/>
      </c>
      <c r="J97" s="24">
        <v>0.0</v>
      </c>
      <c r="K97" s="25" t="str">
        <f>IFERROR(VLOOKUP(B97,DADOS!$A$2:$H$252,4,0)*J97,"")</f>
        <v/>
      </c>
      <c r="L97" s="26" t="str">
        <f t="shared" si="3"/>
        <v/>
      </c>
      <c r="M97" s="27"/>
      <c r="N97" s="30"/>
      <c r="O97" s="28"/>
      <c r="P97" s="28"/>
      <c r="Q97" s="28"/>
      <c r="R97" s="28"/>
      <c r="S97" s="28"/>
    </row>
    <row r="98">
      <c r="A98" s="17">
        <v>45363.0</v>
      </c>
      <c r="B98" s="18" t="s">
        <v>25</v>
      </c>
      <c r="C98" s="18" t="s">
        <v>52</v>
      </c>
      <c r="D98" s="19"/>
      <c r="E98" s="19"/>
      <c r="F98" s="20">
        <f t="shared" si="2"/>
        <v>0</v>
      </c>
      <c r="G98" s="21">
        <f>IFERROR(VLOOKUP(B98,DADOS!$A$2:$H$252,8,0),"")</f>
        <v>40</v>
      </c>
      <c r="H98" s="22">
        <v>30.0</v>
      </c>
      <c r="I98" s="23">
        <f>IFERROR(VLOOKUP(B98,DADOS!$A$2:$H$252,4,0)*H98,"")</f>
        <v>3.10728</v>
      </c>
      <c r="J98" s="24">
        <v>0.0</v>
      </c>
      <c r="K98" s="25">
        <f>IFERROR(VLOOKUP(B98,DADOS!$A$2:$H$252,4,0)*J98,"")</f>
        <v>0</v>
      </c>
      <c r="L98" s="26">
        <f t="shared" si="3"/>
        <v>0</v>
      </c>
      <c r="M98" s="27"/>
      <c r="N98" s="30"/>
      <c r="O98" s="28"/>
      <c r="P98" s="28"/>
      <c r="Q98" s="28"/>
      <c r="R98" s="28"/>
      <c r="S98" s="28"/>
    </row>
    <row r="99">
      <c r="A99" s="17">
        <v>45363.0</v>
      </c>
      <c r="B99" s="18" t="s">
        <v>66</v>
      </c>
      <c r="C99" s="18" t="s">
        <v>52</v>
      </c>
      <c r="D99" s="19"/>
      <c r="E99" s="19"/>
      <c r="F99" s="20">
        <f t="shared" si="2"/>
        <v>0</v>
      </c>
      <c r="G99" s="21" t="str">
        <f>IFERROR(VLOOKUP(B99,DADOS!$A$2:$H$252,8,0),"")</f>
        <v/>
      </c>
      <c r="H99" s="22">
        <v>77.0</v>
      </c>
      <c r="I99" s="23">
        <f>IFERROR(VLOOKUP(B99,DADOS!$A$2:$H$252,4,0)*H99,"")</f>
        <v>10.29875</v>
      </c>
      <c r="J99" s="24">
        <v>0.0</v>
      </c>
      <c r="K99" s="25">
        <f>IFERROR(VLOOKUP(B99,DADOS!$A$2:$H$252,4,0)*J99,"")</f>
        <v>0</v>
      </c>
      <c r="L99" s="26">
        <f t="shared" si="3"/>
        <v>0</v>
      </c>
      <c r="M99" s="27"/>
      <c r="N99" s="30"/>
      <c r="O99" s="28"/>
      <c r="P99" s="28"/>
      <c r="Q99" s="28"/>
      <c r="R99" s="28"/>
      <c r="S99" s="28"/>
    </row>
    <row r="100">
      <c r="A100" s="17">
        <v>45364.0</v>
      </c>
      <c r="B100" s="18" t="s">
        <v>67</v>
      </c>
      <c r="C100" s="18" t="s">
        <v>19</v>
      </c>
      <c r="D100" s="19"/>
      <c r="E100" s="19"/>
      <c r="F100" s="20">
        <f t="shared" si="2"/>
        <v>0</v>
      </c>
      <c r="G100" s="21">
        <f>IFERROR(VLOOKUP(B100,DADOS!$A$2:$H$252,8,0),"")</f>
        <v>170</v>
      </c>
      <c r="H100" s="22">
        <v>57.0</v>
      </c>
      <c r="I100" s="23">
        <f>IFERROR(VLOOKUP(B100,DADOS!$A$2:$H$252,4,0)*H100,"")</f>
        <v>0.54891</v>
      </c>
      <c r="J100" s="24">
        <v>0.0</v>
      </c>
      <c r="K100" s="25">
        <f>IFERROR(VLOOKUP(B100,DADOS!$A$2:$H$252,4,0)*J100,"")</f>
        <v>0</v>
      </c>
      <c r="L100" s="26">
        <f t="shared" si="3"/>
        <v>0</v>
      </c>
      <c r="M100" s="27"/>
      <c r="N100" s="30"/>
      <c r="O100" s="28"/>
      <c r="P100" s="28"/>
      <c r="Q100" s="28"/>
      <c r="R100" s="28"/>
      <c r="S100" s="28"/>
    </row>
    <row r="101">
      <c r="A101" s="17">
        <v>45364.0</v>
      </c>
      <c r="B101" s="18" t="s">
        <v>16</v>
      </c>
      <c r="C101" s="18" t="s">
        <v>19</v>
      </c>
      <c r="D101" s="19"/>
      <c r="E101" s="19"/>
      <c r="F101" s="20">
        <f t="shared" si="2"/>
        <v>0</v>
      </c>
      <c r="G101" s="21">
        <f>IFERROR(VLOOKUP(B101,DADOS!$A$2:$H$252,8,0),"")</f>
        <v>150</v>
      </c>
      <c r="H101" s="22">
        <v>30.0</v>
      </c>
      <c r="I101" s="23">
        <f>IFERROR(VLOOKUP(B101,DADOS!$A$2:$H$252,4,0)*H101,"")</f>
        <v>0.867984</v>
      </c>
      <c r="J101" s="24">
        <v>0.0</v>
      </c>
      <c r="K101" s="25">
        <f>IFERROR(VLOOKUP(B101,DADOS!$A$2:$H$252,4,0)*J101,"")</f>
        <v>0</v>
      </c>
      <c r="L101" s="26">
        <f t="shared" si="3"/>
        <v>0</v>
      </c>
      <c r="M101" s="27"/>
      <c r="N101" s="30"/>
      <c r="O101" s="28"/>
      <c r="P101" s="28"/>
      <c r="Q101" s="28"/>
      <c r="R101" s="28"/>
      <c r="S101" s="28"/>
    </row>
    <row r="102">
      <c r="A102" s="17">
        <v>45364.0</v>
      </c>
      <c r="B102" s="18" t="s">
        <v>31</v>
      </c>
      <c r="C102" s="18" t="s">
        <v>19</v>
      </c>
      <c r="D102" s="19">
        <v>0.32430555555555557</v>
      </c>
      <c r="E102" s="19">
        <v>0.3659722222222222</v>
      </c>
      <c r="F102" s="20">
        <f t="shared" si="2"/>
        <v>0.04166666667</v>
      </c>
      <c r="G102" s="21">
        <f>IFERROR(VLOOKUP(B102,DADOS!$A$2:$H$252,8,0),"")</f>
        <v>10</v>
      </c>
      <c r="H102" s="22">
        <v>10.0</v>
      </c>
      <c r="I102" s="23">
        <f>IFERROR(VLOOKUP(B102,DADOS!$A$2:$H$252,4,0)*H102,"")</f>
        <v>1.355904</v>
      </c>
      <c r="J102" s="24">
        <v>0.0</v>
      </c>
      <c r="K102" s="25">
        <f>IFERROR(VLOOKUP(B102,DADOS!$A$2:$H$252,4,0)*J102,"")</f>
        <v>0</v>
      </c>
      <c r="L102" s="26">
        <f t="shared" si="3"/>
        <v>0</v>
      </c>
      <c r="M102" s="27"/>
      <c r="N102" s="30"/>
      <c r="O102" s="28"/>
      <c r="P102" s="28"/>
      <c r="Q102" s="28"/>
      <c r="R102" s="28"/>
      <c r="S102" s="28"/>
    </row>
    <row r="103">
      <c r="A103" s="17">
        <v>45364.0</v>
      </c>
      <c r="B103" s="18" t="s">
        <v>31</v>
      </c>
      <c r="C103" s="18" t="s">
        <v>19</v>
      </c>
      <c r="D103" s="19"/>
      <c r="E103" s="19"/>
      <c r="F103" s="20">
        <f t="shared" si="2"/>
        <v>0</v>
      </c>
      <c r="G103" s="21">
        <f>IFERROR(VLOOKUP(B103,DADOS!$A$2:$H$252,8,0),"")</f>
        <v>10</v>
      </c>
      <c r="H103" s="22">
        <v>8.0</v>
      </c>
      <c r="I103" s="23">
        <f>IFERROR(VLOOKUP(B103,DADOS!$A$2:$H$252,4,0)*H103,"")</f>
        <v>1.0847232</v>
      </c>
      <c r="J103" s="24">
        <v>0.0</v>
      </c>
      <c r="K103" s="25">
        <f>IFERROR(VLOOKUP(B103,DADOS!$A$2:$H$252,4,0)*J103,"")</f>
        <v>0</v>
      </c>
      <c r="L103" s="26">
        <f t="shared" si="3"/>
        <v>0</v>
      </c>
      <c r="M103" s="27"/>
      <c r="N103" s="30"/>
      <c r="O103" s="28"/>
      <c r="P103" s="28"/>
      <c r="Q103" s="28"/>
      <c r="R103" s="28"/>
      <c r="S103" s="28"/>
    </row>
    <row r="104">
      <c r="A104" s="17">
        <v>45364.0</v>
      </c>
      <c r="B104" s="18" t="s">
        <v>68</v>
      </c>
      <c r="C104" s="18" t="s">
        <v>19</v>
      </c>
      <c r="D104" s="19"/>
      <c r="E104" s="19"/>
      <c r="F104" s="20">
        <f t="shared" si="2"/>
        <v>0</v>
      </c>
      <c r="G104" s="21">
        <f>IFERROR(VLOOKUP(B104,DADOS!$A$2:$H$252,8,0),"")</f>
        <v>170</v>
      </c>
      <c r="H104" s="22">
        <v>7.0</v>
      </c>
      <c r="I104" s="23">
        <f>IFERROR(VLOOKUP(B104,DADOS!$A$2:$H$252,4,0)*H104,"")</f>
        <v>0.06741</v>
      </c>
      <c r="J104" s="24">
        <v>0.0</v>
      </c>
      <c r="K104" s="25">
        <f>IFERROR(VLOOKUP(B104,DADOS!$A$2:$H$252,4,0)*J104,"")</f>
        <v>0</v>
      </c>
      <c r="L104" s="26">
        <f t="shared" si="3"/>
        <v>0</v>
      </c>
      <c r="M104" s="27"/>
      <c r="N104" s="30"/>
      <c r="O104" s="28"/>
      <c r="P104" s="28"/>
      <c r="Q104" s="28"/>
      <c r="R104" s="28"/>
      <c r="S104" s="28"/>
    </row>
    <row r="105">
      <c r="A105" s="17">
        <v>45364.0</v>
      </c>
      <c r="B105" s="18" t="s">
        <v>37</v>
      </c>
      <c r="C105" s="18" t="s">
        <v>65</v>
      </c>
      <c r="D105" s="19"/>
      <c r="E105" s="19"/>
      <c r="F105" s="20">
        <f t="shared" si="2"/>
        <v>0</v>
      </c>
      <c r="G105" s="21" t="str">
        <f>IFERROR(VLOOKUP(B105,DADOS!$A$2:$H$252,8,0),"")</f>
        <v/>
      </c>
      <c r="H105" s="22">
        <v>8.0</v>
      </c>
      <c r="I105" s="23" t="str">
        <f>IFERROR(VLOOKUP(B105,DADOS!$A$2:$H$252,4,0)*H105,"")</f>
        <v/>
      </c>
      <c r="J105" s="24">
        <v>0.0</v>
      </c>
      <c r="K105" s="25" t="str">
        <f>IFERROR(VLOOKUP(B105,DADOS!$A$2:$H$252,4,0)*J105,"")</f>
        <v/>
      </c>
      <c r="L105" s="26" t="str">
        <f t="shared" si="3"/>
        <v/>
      </c>
      <c r="M105" s="27"/>
      <c r="N105" s="30"/>
      <c r="O105" s="28"/>
      <c r="P105" s="28"/>
      <c r="Q105" s="28"/>
      <c r="R105" s="28"/>
      <c r="S105" s="28"/>
    </row>
    <row r="106">
      <c r="A106" s="17">
        <v>45364.0</v>
      </c>
      <c r="B106" s="18" t="s">
        <v>43</v>
      </c>
      <c r="C106" s="18" t="s">
        <v>52</v>
      </c>
      <c r="D106" s="19"/>
      <c r="E106" s="19"/>
      <c r="F106" s="20">
        <f t="shared" si="2"/>
        <v>0</v>
      </c>
      <c r="G106" s="21" t="str">
        <f>IFERROR(VLOOKUP(B106,DADOS!$A$2:$H$252,8,0),"")</f>
        <v/>
      </c>
      <c r="H106" s="22">
        <v>41.0</v>
      </c>
      <c r="I106" s="23" t="str">
        <f>IFERROR(VLOOKUP(B106,DADOS!$A$2:$H$252,4,0)*H106,"")</f>
        <v/>
      </c>
      <c r="J106" s="24">
        <v>6.0</v>
      </c>
      <c r="K106" s="25" t="str">
        <f>IFERROR(VLOOKUP(B106,DADOS!$A$2:$H$252,4,0)*J106,"")</f>
        <v/>
      </c>
      <c r="L106" s="26" t="str">
        <f t="shared" si="3"/>
        <v/>
      </c>
      <c r="M106" s="27"/>
      <c r="N106" s="30"/>
      <c r="O106" s="28"/>
      <c r="P106" s="28"/>
      <c r="Q106" s="28"/>
      <c r="R106" s="28"/>
      <c r="S106" s="28"/>
    </row>
    <row r="107">
      <c r="A107" s="17">
        <v>45365.0</v>
      </c>
      <c r="B107" s="18" t="s">
        <v>31</v>
      </c>
      <c r="C107" s="18" t="s">
        <v>19</v>
      </c>
      <c r="D107" s="19"/>
      <c r="E107" s="19"/>
      <c r="F107" s="20">
        <f t="shared" si="2"/>
        <v>0</v>
      </c>
      <c r="G107" s="21">
        <f>IFERROR(VLOOKUP(B107,DADOS!$A$2:$H$252,8,0),"")</f>
        <v>10</v>
      </c>
      <c r="H107" s="22">
        <v>7.0</v>
      </c>
      <c r="I107" s="23">
        <f>IFERROR(VLOOKUP(B107,DADOS!$A$2:$H$252,4,0)*H107,"")</f>
        <v>0.9491328</v>
      </c>
      <c r="J107" s="24">
        <v>3.0</v>
      </c>
      <c r="K107" s="25">
        <f>IFERROR(VLOOKUP(B107,DADOS!$A$2:$H$252,4,0)*J107,"")</f>
        <v>0.4067712</v>
      </c>
      <c r="L107" s="26">
        <f t="shared" si="3"/>
        <v>0.4285714286</v>
      </c>
      <c r="M107" s="30" t="s">
        <v>39</v>
      </c>
      <c r="N107" s="33" t="s">
        <v>40</v>
      </c>
      <c r="O107" s="28"/>
      <c r="P107" s="28"/>
      <c r="Q107" s="28"/>
      <c r="R107" s="28"/>
      <c r="S107" s="28"/>
    </row>
    <row r="108">
      <c r="A108" s="17">
        <v>45365.0</v>
      </c>
      <c r="B108" s="18" t="s">
        <v>69</v>
      </c>
      <c r="C108" s="18" t="s">
        <v>19</v>
      </c>
      <c r="D108" s="19"/>
      <c r="E108" s="19"/>
      <c r="F108" s="20">
        <f t="shared" si="2"/>
        <v>0</v>
      </c>
      <c r="G108" s="21">
        <f>IFERROR(VLOOKUP(B108,DADOS!$A$2:$H$252,8,0),"")</f>
        <v>13</v>
      </c>
      <c r="H108" s="22">
        <v>10.0</v>
      </c>
      <c r="I108" s="23">
        <f>IFERROR(VLOOKUP(B108,DADOS!$A$2:$H$252,4,0)*H108,"")</f>
        <v>3.424</v>
      </c>
      <c r="J108" s="24">
        <v>0.0</v>
      </c>
      <c r="K108" s="25">
        <f>IFERROR(VLOOKUP(B108,DADOS!$A$2:$H$252,4,0)*J108,"")</f>
        <v>0</v>
      </c>
      <c r="L108" s="26">
        <f t="shared" si="3"/>
        <v>0</v>
      </c>
      <c r="M108" s="27"/>
      <c r="N108" s="30"/>
      <c r="O108" s="28"/>
      <c r="P108" s="28"/>
      <c r="Q108" s="28"/>
      <c r="R108" s="28"/>
      <c r="S108" s="28"/>
    </row>
    <row r="109">
      <c r="A109" s="17">
        <v>45365.0</v>
      </c>
      <c r="B109" s="18" t="s">
        <v>70</v>
      </c>
      <c r="C109" s="18" t="s">
        <v>19</v>
      </c>
      <c r="D109" s="19"/>
      <c r="E109" s="19"/>
      <c r="F109" s="20">
        <f t="shared" si="2"/>
        <v>0</v>
      </c>
      <c r="G109" s="21">
        <f>IFERROR(VLOOKUP(B109,DADOS!$A$2:$H$252,8,0),"")</f>
        <v>13</v>
      </c>
      <c r="H109" s="22">
        <v>10.0</v>
      </c>
      <c r="I109" s="23">
        <f>IFERROR(VLOOKUP(B109,DADOS!$A$2:$H$252,4,0)*H109,"")</f>
        <v>3.424</v>
      </c>
      <c r="J109" s="24">
        <v>0.0</v>
      </c>
      <c r="K109" s="25">
        <f>IFERROR(VLOOKUP(B109,DADOS!$A$2:$H$252,4,0)*J109,"")</f>
        <v>0</v>
      </c>
      <c r="L109" s="26">
        <f t="shared" si="3"/>
        <v>0</v>
      </c>
      <c r="M109" s="27"/>
      <c r="N109" s="30"/>
      <c r="O109" s="28"/>
      <c r="P109" s="28"/>
      <c r="Q109" s="28"/>
      <c r="R109" s="28"/>
      <c r="S109" s="28"/>
    </row>
    <row r="110">
      <c r="A110" s="17">
        <v>45365.0</v>
      </c>
      <c r="B110" s="18" t="s">
        <v>26</v>
      </c>
      <c r="C110" s="18" t="s">
        <v>19</v>
      </c>
      <c r="D110" s="19"/>
      <c r="E110" s="19"/>
      <c r="F110" s="20">
        <f t="shared" si="2"/>
        <v>0</v>
      </c>
      <c r="G110" s="21">
        <f>IFERROR(VLOOKUP(B110,DADOS!$A$2:$H$252,8,0),"")</f>
        <v>50</v>
      </c>
      <c r="H110" s="22">
        <v>14.0</v>
      </c>
      <c r="I110" s="23">
        <f>IFERROR(VLOOKUP(B110,DADOS!$A$2:$H$252,4,0)*H110,"")</f>
        <v>1.5950704</v>
      </c>
      <c r="J110" s="24">
        <v>0.0</v>
      </c>
      <c r="K110" s="25">
        <f>IFERROR(VLOOKUP(B110,DADOS!$A$2:$H$252,4,0)*J110,"")</f>
        <v>0</v>
      </c>
      <c r="L110" s="26">
        <f t="shared" si="3"/>
        <v>0</v>
      </c>
      <c r="M110" s="27"/>
      <c r="N110" s="30"/>
      <c r="O110" s="28"/>
      <c r="P110" s="28"/>
      <c r="Q110" s="28"/>
      <c r="R110" s="28"/>
      <c r="S110" s="28"/>
    </row>
    <row r="111">
      <c r="A111" s="17">
        <v>45365.0</v>
      </c>
      <c r="B111" s="18" t="s">
        <v>16</v>
      </c>
      <c r="C111" s="18" t="s">
        <v>65</v>
      </c>
      <c r="D111" s="19"/>
      <c r="E111" s="19"/>
      <c r="F111" s="20">
        <f t="shared" si="2"/>
        <v>0</v>
      </c>
      <c r="G111" s="21">
        <f>IFERROR(VLOOKUP(B111,DADOS!$A$2:$H$252,8,0),"")</f>
        <v>150</v>
      </c>
      <c r="H111" s="22">
        <v>411.0</v>
      </c>
      <c r="I111" s="23">
        <f>IFERROR(VLOOKUP(B111,DADOS!$A$2:$H$252,4,0)*H111,"")</f>
        <v>11.8913808</v>
      </c>
      <c r="J111" s="24">
        <v>0.0</v>
      </c>
      <c r="K111" s="25">
        <f>IFERROR(VLOOKUP(B111,DADOS!$A$2:$H$252,4,0)*J111,"")</f>
        <v>0</v>
      </c>
      <c r="L111" s="26">
        <f t="shared" si="3"/>
        <v>0</v>
      </c>
      <c r="M111" s="27"/>
      <c r="N111" s="30"/>
      <c r="O111" s="28"/>
      <c r="P111" s="28"/>
      <c r="Q111" s="28"/>
      <c r="R111" s="28"/>
      <c r="S111" s="28"/>
    </row>
    <row r="112">
      <c r="A112" s="17">
        <v>45365.0</v>
      </c>
      <c r="B112" s="18" t="s">
        <v>68</v>
      </c>
      <c r="C112" s="18" t="s">
        <v>65</v>
      </c>
      <c r="D112" s="19"/>
      <c r="E112" s="19"/>
      <c r="F112" s="20">
        <f t="shared" si="2"/>
        <v>0</v>
      </c>
      <c r="G112" s="21">
        <f>IFERROR(VLOOKUP(B112,DADOS!$A$2:$H$252,8,0),"")</f>
        <v>170</v>
      </c>
      <c r="H112" s="22">
        <v>141.0</v>
      </c>
      <c r="I112" s="23">
        <f>IFERROR(VLOOKUP(B112,DADOS!$A$2:$H$252,4,0)*H112,"")</f>
        <v>1.35783</v>
      </c>
      <c r="J112" s="24">
        <v>0.0</v>
      </c>
      <c r="K112" s="25">
        <f>IFERROR(VLOOKUP(B112,DADOS!$A$2:$H$252,4,0)*J112,"")</f>
        <v>0</v>
      </c>
      <c r="L112" s="26">
        <f t="shared" si="3"/>
        <v>0</v>
      </c>
      <c r="M112" s="27"/>
      <c r="N112" s="30"/>
      <c r="O112" s="28"/>
      <c r="P112" s="28"/>
      <c r="Q112" s="28"/>
      <c r="R112" s="28"/>
      <c r="S112" s="28"/>
    </row>
    <row r="113">
      <c r="A113" s="17">
        <v>45366.0</v>
      </c>
      <c r="B113" s="18" t="s">
        <v>16</v>
      </c>
      <c r="C113" s="18" t="s">
        <v>65</v>
      </c>
      <c r="D113" s="19"/>
      <c r="E113" s="19"/>
      <c r="F113" s="20">
        <f t="shared" si="2"/>
        <v>0</v>
      </c>
      <c r="G113" s="21">
        <f>IFERROR(VLOOKUP(B113,DADOS!$A$2:$H$252,8,0),"")</f>
        <v>150</v>
      </c>
      <c r="H113" s="22">
        <v>510.0</v>
      </c>
      <c r="I113" s="23">
        <f>IFERROR(VLOOKUP(B113,DADOS!$A$2:$H$252,4,0)*H113,"")</f>
        <v>14.755728</v>
      </c>
      <c r="J113" s="24">
        <v>0.0</v>
      </c>
      <c r="K113" s="25">
        <f>IFERROR(VLOOKUP(B113,DADOS!$A$2:$H$252,4,0)*J113,"")</f>
        <v>0</v>
      </c>
      <c r="L113" s="26">
        <f t="shared" si="3"/>
        <v>0</v>
      </c>
      <c r="M113" s="27"/>
      <c r="N113" s="30"/>
      <c r="O113" s="28"/>
      <c r="P113" s="28"/>
      <c r="Q113" s="28"/>
      <c r="R113" s="28"/>
      <c r="S113" s="28"/>
    </row>
    <row r="114">
      <c r="A114" s="17">
        <v>45367.0</v>
      </c>
      <c r="B114" s="18" t="s">
        <v>71</v>
      </c>
      <c r="C114" s="18" t="s">
        <v>23</v>
      </c>
      <c r="D114" s="19">
        <v>0.2916666666666667</v>
      </c>
      <c r="E114" s="19">
        <v>0.5277777777777778</v>
      </c>
      <c r="F114" s="20">
        <f t="shared" si="2"/>
        <v>0.2361111111</v>
      </c>
      <c r="G114" s="21">
        <f>IFERROR(VLOOKUP(B114,DADOS!$A$2:$H$252,8,0),"")</f>
        <v>7</v>
      </c>
      <c r="H114" s="22">
        <v>38.0</v>
      </c>
      <c r="I114" s="23">
        <f>IFERROR(VLOOKUP(B114,DADOS!$A$2:$H$252,4,0)*H114,"")</f>
        <v>53.2914356</v>
      </c>
      <c r="J114" s="24">
        <v>2.0</v>
      </c>
      <c r="K114" s="25">
        <f>IFERROR(VLOOKUP(B114,DADOS!$A$2:$H$252,4,0)*J114,"")</f>
        <v>2.8048124</v>
      </c>
      <c r="L114" s="26">
        <f t="shared" si="3"/>
        <v>0.05263157895</v>
      </c>
      <c r="M114" s="27"/>
      <c r="N114" s="30"/>
      <c r="O114" s="28"/>
      <c r="P114" s="28"/>
      <c r="Q114" s="28"/>
      <c r="R114" s="28"/>
      <c r="S114" s="28"/>
    </row>
    <row r="115">
      <c r="A115" s="34">
        <v>45369.0</v>
      </c>
      <c r="B115" s="18" t="s">
        <v>26</v>
      </c>
      <c r="C115" s="18" t="s">
        <v>19</v>
      </c>
      <c r="D115" s="19"/>
      <c r="E115" s="19"/>
      <c r="F115" s="20">
        <f t="shared" si="2"/>
        <v>0</v>
      </c>
      <c r="G115" s="21">
        <f>IFERROR(VLOOKUP(B115,DADOS!$A$2:$H$252,8,0),"")</f>
        <v>50</v>
      </c>
      <c r="H115" s="22">
        <v>15.0</v>
      </c>
      <c r="I115" s="23">
        <f>IFERROR(VLOOKUP(B115,DADOS!$A$2:$H$252,4,0)*H115,"")</f>
        <v>1.709004</v>
      </c>
      <c r="J115" s="24">
        <v>0.0</v>
      </c>
      <c r="K115" s="25">
        <f>IFERROR(VLOOKUP(B115,DADOS!$A$2:$H$252,4,0)*J115,"")</f>
        <v>0</v>
      </c>
      <c r="L115" s="26">
        <f t="shared" si="3"/>
        <v>0</v>
      </c>
      <c r="M115" s="27"/>
      <c r="N115" s="30"/>
      <c r="O115" s="28"/>
      <c r="P115" s="28"/>
      <c r="Q115" s="28"/>
      <c r="R115" s="28"/>
      <c r="S115" s="28"/>
    </row>
    <row r="116">
      <c r="A116" s="17">
        <v>45369.0</v>
      </c>
      <c r="B116" s="18" t="s">
        <v>72</v>
      </c>
      <c r="C116" s="18" t="s">
        <v>65</v>
      </c>
      <c r="D116" s="19">
        <v>0.5659722222222222</v>
      </c>
      <c r="E116" s="19">
        <v>0.7020833333333333</v>
      </c>
      <c r="F116" s="20">
        <f t="shared" si="2"/>
        <v>0.1361111111</v>
      </c>
      <c r="G116" s="21">
        <f>IFERROR(VLOOKUP(B116,DADOS!$A$2:$H$252,8,0),"")</f>
        <v>43</v>
      </c>
      <c r="H116" s="22">
        <v>128.0</v>
      </c>
      <c r="I116" s="23">
        <f>IFERROR(VLOOKUP(B116,DADOS!$A$2:$H$252,4,0)*H116,"")</f>
        <v>2.19136</v>
      </c>
      <c r="J116" s="24">
        <v>0.0</v>
      </c>
      <c r="K116" s="25">
        <f>IFERROR(VLOOKUP(B116,DADOS!$A$2:$H$252,4,0)*J116,"")</f>
        <v>0</v>
      </c>
      <c r="L116" s="26">
        <f t="shared" si="3"/>
        <v>0</v>
      </c>
      <c r="M116" s="27"/>
      <c r="N116" s="30"/>
      <c r="O116" s="28"/>
      <c r="P116" s="28"/>
      <c r="Q116" s="28"/>
      <c r="R116" s="28"/>
      <c r="S116" s="28"/>
    </row>
    <row r="117">
      <c r="A117" s="17">
        <v>45369.0</v>
      </c>
      <c r="B117" s="18" t="s">
        <v>25</v>
      </c>
      <c r="C117" s="18" t="s">
        <v>52</v>
      </c>
      <c r="D117" s="19"/>
      <c r="E117" s="19"/>
      <c r="F117" s="20">
        <f t="shared" si="2"/>
        <v>0</v>
      </c>
      <c r="G117" s="21">
        <f>IFERROR(VLOOKUP(B117,DADOS!$A$2:$H$252,8,0),"")</f>
        <v>40</v>
      </c>
      <c r="H117" s="22">
        <v>20.0</v>
      </c>
      <c r="I117" s="23">
        <f>IFERROR(VLOOKUP(B117,DADOS!$A$2:$H$252,4,0)*H117,"")</f>
        <v>2.07152</v>
      </c>
      <c r="J117" s="24">
        <v>0.0</v>
      </c>
      <c r="K117" s="25">
        <f>IFERROR(VLOOKUP(B117,DADOS!$A$2:$H$252,4,0)*J117,"")</f>
        <v>0</v>
      </c>
      <c r="L117" s="26">
        <f t="shared" si="3"/>
        <v>0</v>
      </c>
      <c r="M117" s="27"/>
      <c r="N117" s="30"/>
      <c r="O117" s="28"/>
      <c r="P117" s="28"/>
      <c r="Q117" s="28"/>
      <c r="R117" s="28"/>
      <c r="S117" s="28"/>
    </row>
    <row r="118">
      <c r="A118" s="17">
        <v>45369.0</v>
      </c>
      <c r="B118" s="18" t="s">
        <v>43</v>
      </c>
      <c r="C118" s="18" t="s">
        <v>52</v>
      </c>
      <c r="D118" s="19"/>
      <c r="E118" s="19"/>
      <c r="F118" s="20">
        <f t="shared" si="2"/>
        <v>0</v>
      </c>
      <c r="G118" s="21" t="str">
        <f>IFERROR(VLOOKUP(B118,DADOS!$A$2:$H$252,8,0),"")</f>
        <v/>
      </c>
      <c r="H118" s="22">
        <v>12.0</v>
      </c>
      <c r="I118" s="23" t="str">
        <f>IFERROR(VLOOKUP(B118,DADOS!$A$2:$H$252,4,0)*H118,"")</f>
        <v/>
      </c>
      <c r="J118" s="24">
        <v>3.0</v>
      </c>
      <c r="K118" s="25" t="str">
        <f>IFERROR(VLOOKUP(B118,DADOS!$A$2:$H$252,4,0)*J118,"")</f>
        <v/>
      </c>
      <c r="L118" s="26" t="str">
        <f t="shared" si="3"/>
        <v/>
      </c>
      <c r="M118" s="27"/>
      <c r="N118" s="30"/>
      <c r="O118" s="28"/>
      <c r="P118" s="28"/>
      <c r="Q118" s="28"/>
      <c r="R118" s="28"/>
      <c r="S118" s="28"/>
    </row>
    <row r="119">
      <c r="A119" s="17">
        <v>45369.0</v>
      </c>
      <c r="B119" s="18" t="s">
        <v>31</v>
      </c>
      <c r="C119" s="18" t="s">
        <v>52</v>
      </c>
      <c r="D119" s="19"/>
      <c r="E119" s="19"/>
      <c r="F119" s="20">
        <f t="shared" si="2"/>
        <v>0</v>
      </c>
      <c r="G119" s="21">
        <f>IFERROR(VLOOKUP(B119,DADOS!$A$2:$H$252,8,0),"")</f>
        <v>10</v>
      </c>
      <c r="H119" s="22">
        <v>3.0</v>
      </c>
      <c r="I119" s="23">
        <f>IFERROR(VLOOKUP(B119,DADOS!$A$2:$H$252,4,0)*H119,"")</f>
        <v>0.4067712</v>
      </c>
      <c r="J119" s="24">
        <v>0.0</v>
      </c>
      <c r="K119" s="25">
        <f>IFERROR(VLOOKUP(B119,DADOS!$A$2:$H$252,4,0)*J119,"")</f>
        <v>0</v>
      </c>
      <c r="L119" s="26">
        <f t="shared" si="3"/>
        <v>0</v>
      </c>
      <c r="M119" s="27"/>
      <c r="N119" s="30"/>
      <c r="O119" s="28"/>
      <c r="P119" s="28"/>
      <c r="Q119" s="28"/>
      <c r="R119" s="28"/>
      <c r="S119" s="28"/>
    </row>
    <row r="120">
      <c r="A120" s="17">
        <v>45369.0</v>
      </c>
      <c r="B120" s="18" t="s">
        <v>26</v>
      </c>
      <c r="C120" s="18" t="s">
        <v>52</v>
      </c>
      <c r="D120" s="19"/>
      <c r="E120" s="19"/>
      <c r="F120" s="20">
        <f t="shared" si="2"/>
        <v>0</v>
      </c>
      <c r="G120" s="21">
        <f>IFERROR(VLOOKUP(B120,DADOS!$A$2:$H$252,8,0),"")</f>
        <v>50</v>
      </c>
      <c r="H120" s="22">
        <v>5.0</v>
      </c>
      <c r="I120" s="23">
        <f>IFERROR(VLOOKUP(B120,DADOS!$A$2:$H$252,4,0)*H120,"")</f>
        <v>0.569668</v>
      </c>
      <c r="J120" s="24">
        <v>0.0</v>
      </c>
      <c r="K120" s="25">
        <f>IFERROR(VLOOKUP(B120,DADOS!$A$2:$H$252,4,0)*J120,"")</f>
        <v>0</v>
      </c>
      <c r="L120" s="26">
        <f t="shared" si="3"/>
        <v>0</v>
      </c>
      <c r="M120" s="27"/>
      <c r="N120" s="30"/>
      <c r="O120" s="28"/>
      <c r="P120" s="28"/>
      <c r="Q120" s="28"/>
      <c r="R120" s="28"/>
      <c r="S120" s="28"/>
    </row>
    <row r="121">
      <c r="A121" s="17">
        <v>45370.0</v>
      </c>
      <c r="B121" s="18" t="s">
        <v>73</v>
      </c>
      <c r="C121" s="18" t="s">
        <v>19</v>
      </c>
      <c r="D121" s="19"/>
      <c r="E121" s="19"/>
      <c r="F121" s="20">
        <f t="shared" si="2"/>
        <v>0</v>
      </c>
      <c r="G121" s="21">
        <f>IFERROR(VLOOKUP(B121,DADOS!$A$2:$H$252,8,0),"")</f>
        <v>37</v>
      </c>
      <c r="H121" s="22">
        <v>50.0</v>
      </c>
      <c r="I121" s="23">
        <f>IFERROR(VLOOKUP(B121,DADOS!$A$2:$H$252,4,0)*H121,"")</f>
        <v>3.8627</v>
      </c>
      <c r="J121" s="24">
        <v>8.0</v>
      </c>
      <c r="K121" s="25">
        <f>IFERROR(VLOOKUP(B121,DADOS!$A$2:$H$252,4,0)*J121,"")</f>
        <v>0.618032</v>
      </c>
      <c r="L121" s="26">
        <f t="shared" si="3"/>
        <v>0.16</v>
      </c>
      <c r="M121" s="27"/>
      <c r="N121" s="30"/>
      <c r="O121" s="28"/>
      <c r="P121" s="28"/>
      <c r="Q121" s="28"/>
      <c r="R121" s="28"/>
      <c r="S121" s="28"/>
    </row>
    <row r="122">
      <c r="A122" s="17">
        <v>45370.0</v>
      </c>
      <c r="B122" s="18" t="s">
        <v>72</v>
      </c>
      <c r="C122" s="18" t="s">
        <v>65</v>
      </c>
      <c r="D122" s="19"/>
      <c r="E122" s="19"/>
      <c r="F122" s="20">
        <f t="shared" si="2"/>
        <v>0</v>
      </c>
      <c r="G122" s="21">
        <f>IFERROR(VLOOKUP(B122,DADOS!$A$2:$H$252,8,0),"")</f>
        <v>43</v>
      </c>
      <c r="H122" s="22">
        <v>46.0</v>
      </c>
      <c r="I122" s="23">
        <f>IFERROR(VLOOKUP(B122,DADOS!$A$2:$H$252,4,0)*H122,"")</f>
        <v>0.78752</v>
      </c>
      <c r="J122" s="24">
        <v>3.0</v>
      </c>
      <c r="K122" s="25">
        <f>IFERROR(VLOOKUP(B122,DADOS!$A$2:$H$252,4,0)*J122,"")</f>
        <v>0.05136</v>
      </c>
      <c r="L122" s="26">
        <f t="shared" si="3"/>
        <v>0.0652173913</v>
      </c>
      <c r="M122" s="27"/>
      <c r="N122" s="30"/>
      <c r="O122" s="28"/>
      <c r="P122" s="28"/>
      <c r="Q122" s="28"/>
      <c r="R122" s="28"/>
      <c r="S122" s="28"/>
    </row>
    <row r="123">
      <c r="A123" s="17">
        <v>45370.0</v>
      </c>
      <c r="B123" s="18" t="s">
        <v>74</v>
      </c>
      <c r="C123" s="18" t="s">
        <v>65</v>
      </c>
      <c r="D123" s="19">
        <v>0.6145833333333334</v>
      </c>
      <c r="E123" s="19">
        <v>0.6888888888888889</v>
      </c>
      <c r="F123" s="20">
        <f t="shared" si="2"/>
        <v>0.07430555556</v>
      </c>
      <c r="G123" s="21">
        <f>IFERROR(VLOOKUP(B123,DADOS!$A$2:$H$252,8,0),"")</f>
        <v>60</v>
      </c>
      <c r="H123" s="22">
        <v>72.0</v>
      </c>
      <c r="I123" s="23">
        <f>IFERROR(VLOOKUP(B123,DADOS!$A$2:$H$252,4,0)*H123,"")</f>
        <v>99.84384</v>
      </c>
      <c r="J123" s="24">
        <v>0.0</v>
      </c>
      <c r="K123" s="25">
        <f>IFERROR(VLOOKUP(B123,DADOS!$A$2:$H$252,4,0)*J123,"")</f>
        <v>0</v>
      </c>
      <c r="L123" s="26">
        <f t="shared" si="3"/>
        <v>0</v>
      </c>
      <c r="M123" s="27"/>
      <c r="N123" s="30"/>
      <c r="O123" s="28"/>
      <c r="P123" s="28"/>
      <c r="Q123" s="28"/>
      <c r="R123" s="28"/>
      <c r="S123" s="28"/>
    </row>
    <row r="124">
      <c r="A124" s="17">
        <v>45370.0</v>
      </c>
      <c r="B124" s="18" t="s">
        <v>74</v>
      </c>
      <c r="C124" s="18" t="s">
        <v>65</v>
      </c>
      <c r="D124" s="19"/>
      <c r="E124" s="19"/>
      <c r="F124" s="20">
        <f t="shared" si="2"/>
        <v>0</v>
      </c>
      <c r="G124" s="21">
        <f>IFERROR(VLOOKUP(B124,DADOS!$A$2:$H$252,8,0),"")</f>
        <v>60</v>
      </c>
      <c r="H124" s="22">
        <v>53.0</v>
      </c>
      <c r="I124" s="23">
        <f>IFERROR(VLOOKUP(B124,DADOS!$A$2:$H$252,4,0)*H124,"")</f>
        <v>73.49616</v>
      </c>
      <c r="J124" s="24">
        <v>0.0</v>
      </c>
      <c r="K124" s="25">
        <f>IFERROR(VLOOKUP(B124,DADOS!$A$2:$H$252,4,0)*J124,"")</f>
        <v>0</v>
      </c>
      <c r="L124" s="26">
        <f t="shared" si="3"/>
        <v>0</v>
      </c>
      <c r="M124" s="27"/>
      <c r="N124" s="30"/>
      <c r="O124" s="28"/>
      <c r="P124" s="28"/>
      <c r="Q124" s="28"/>
      <c r="R124" s="28"/>
      <c r="S124" s="28"/>
    </row>
    <row r="125">
      <c r="A125" s="17">
        <v>45370.0</v>
      </c>
      <c r="B125" s="18" t="s">
        <v>25</v>
      </c>
      <c r="C125" s="18" t="s">
        <v>52</v>
      </c>
      <c r="D125" s="19"/>
      <c r="E125" s="19"/>
      <c r="F125" s="20">
        <f t="shared" si="2"/>
        <v>0</v>
      </c>
      <c r="G125" s="21">
        <f>IFERROR(VLOOKUP(B125,DADOS!$A$2:$H$252,8,0),"")</f>
        <v>40</v>
      </c>
      <c r="H125" s="22">
        <v>80.0</v>
      </c>
      <c r="I125" s="23">
        <f>IFERROR(VLOOKUP(B125,DADOS!$A$2:$H$252,4,0)*H125,"")</f>
        <v>8.28608</v>
      </c>
      <c r="J125" s="24">
        <v>0.0</v>
      </c>
      <c r="K125" s="25">
        <f>IFERROR(VLOOKUP(B125,DADOS!$A$2:$H$252,4,0)*J125,"")</f>
        <v>0</v>
      </c>
      <c r="L125" s="26">
        <f t="shared" si="3"/>
        <v>0</v>
      </c>
      <c r="M125" s="27"/>
      <c r="N125" s="30"/>
      <c r="O125" s="28"/>
      <c r="P125" s="28"/>
      <c r="Q125" s="28"/>
      <c r="R125" s="28"/>
      <c r="S125" s="28"/>
    </row>
    <row r="126">
      <c r="A126" s="17">
        <v>45370.0</v>
      </c>
      <c r="B126" s="18" t="s">
        <v>75</v>
      </c>
      <c r="C126" s="18" t="s">
        <v>52</v>
      </c>
      <c r="D126" s="19"/>
      <c r="E126" s="19"/>
      <c r="F126" s="20">
        <f t="shared" si="2"/>
        <v>0</v>
      </c>
      <c r="G126" s="21">
        <f>IFERROR(VLOOKUP(B126,DADOS!$A$2:$H$252,8,0),"")</f>
        <v>23</v>
      </c>
      <c r="H126" s="22">
        <v>10.0</v>
      </c>
      <c r="I126" s="23">
        <f>IFERROR(VLOOKUP(B126,DADOS!$A$2:$H$252,4,0)*H126,"")</f>
        <v>1.139336</v>
      </c>
      <c r="J126" s="24">
        <v>0.0</v>
      </c>
      <c r="K126" s="25">
        <f>IFERROR(VLOOKUP(B126,DADOS!$A$2:$H$252,4,0)*J126,"")</f>
        <v>0</v>
      </c>
      <c r="L126" s="26">
        <f t="shared" si="3"/>
        <v>0</v>
      </c>
      <c r="M126" s="27"/>
      <c r="N126" s="30"/>
      <c r="O126" s="28"/>
      <c r="P126" s="28"/>
      <c r="Q126" s="28"/>
      <c r="R126" s="28"/>
      <c r="S126" s="28"/>
    </row>
    <row r="127">
      <c r="A127" s="17">
        <v>45371.0</v>
      </c>
      <c r="B127" s="18" t="s">
        <v>73</v>
      </c>
      <c r="C127" s="18" t="s">
        <v>19</v>
      </c>
      <c r="D127" s="19"/>
      <c r="E127" s="19"/>
      <c r="F127" s="20">
        <f t="shared" si="2"/>
        <v>0</v>
      </c>
      <c r="G127" s="21">
        <f>IFERROR(VLOOKUP(B127,DADOS!$A$2:$H$252,8,0),"")</f>
        <v>37</v>
      </c>
      <c r="H127" s="22">
        <v>40.0</v>
      </c>
      <c r="I127" s="23">
        <f>IFERROR(VLOOKUP(B127,DADOS!$A$2:$H$252,4,0)*H127,"")</f>
        <v>3.09016</v>
      </c>
      <c r="J127" s="24">
        <v>2.0</v>
      </c>
      <c r="K127" s="25">
        <f>IFERROR(VLOOKUP(B127,DADOS!$A$2:$H$252,4,0)*J127,"")</f>
        <v>0.154508</v>
      </c>
      <c r="L127" s="26">
        <f t="shared" si="3"/>
        <v>0.05</v>
      </c>
      <c r="M127" s="27"/>
      <c r="N127" s="30"/>
      <c r="O127" s="28"/>
      <c r="P127" s="28"/>
      <c r="Q127" s="28"/>
      <c r="R127" s="28"/>
      <c r="S127" s="28"/>
    </row>
    <row r="128">
      <c r="A128" s="17">
        <v>45371.0</v>
      </c>
      <c r="B128" s="18" t="s">
        <v>26</v>
      </c>
      <c r="C128" s="18" t="s">
        <v>19</v>
      </c>
      <c r="D128" s="19"/>
      <c r="E128" s="19"/>
      <c r="F128" s="20">
        <f t="shared" si="2"/>
        <v>0</v>
      </c>
      <c r="G128" s="21">
        <f>IFERROR(VLOOKUP(B128,DADOS!$A$2:$H$252,8,0),"")</f>
        <v>50</v>
      </c>
      <c r="H128" s="22">
        <v>50.0</v>
      </c>
      <c r="I128" s="23">
        <f>IFERROR(VLOOKUP(B128,DADOS!$A$2:$H$252,4,0)*H128,"")</f>
        <v>5.69668</v>
      </c>
      <c r="J128" s="24">
        <v>0.0</v>
      </c>
      <c r="K128" s="25">
        <f>IFERROR(VLOOKUP(B128,DADOS!$A$2:$H$252,4,0)*J128,"")</f>
        <v>0</v>
      </c>
      <c r="L128" s="26">
        <f t="shared" si="3"/>
        <v>0</v>
      </c>
      <c r="M128" s="27"/>
      <c r="N128" s="30"/>
      <c r="O128" s="28"/>
      <c r="P128" s="28"/>
      <c r="Q128" s="28"/>
      <c r="R128" s="28"/>
      <c r="S128" s="28"/>
    </row>
    <row r="129">
      <c r="A129" s="17">
        <v>45371.0</v>
      </c>
      <c r="B129" s="18" t="s">
        <v>76</v>
      </c>
      <c r="C129" s="18" t="s">
        <v>65</v>
      </c>
      <c r="D129" s="19"/>
      <c r="E129" s="19"/>
      <c r="F129" s="20">
        <f t="shared" si="2"/>
        <v>0</v>
      </c>
      <c r="G129" s="21">
        <f>IFERROR(VLOOKUP(B129,DADOS!$A$2:$H$252,8,0),"")</f>
        <v>120</v>
      </c>
      <c r="H129" s="22">
        <v>185.0</v>
      </c>
      <c r="I129" s="23">
        <f>IFERROR(VLOOKUP(B129,DADOS!$A$2:$H$252,4,0)*H129,"")</f>
        <v>0.4810185</v>
      </c>
      <c r="J129" s="24">
        <v>4.0</v>
      </c>
      <c r="K129" s="25">
        <f>IFERROR(VLOOKUP(B129,DADOS!$A$2:$H$252,4,0)*J129,"")</f>
        <v>0.0104004</v>
      </c>
      <c r="L129" s="26">
        <f t="shared" si="3"/>
        <v>0.02162162162</v>
      </c>
      <c r="M129" s="27"/>
      <c r="N129" s="30"/>
      <c r="O129" s="28"/>
      <c r="P129" s="28"/>
      <c r="Q129" s="28"/>
      <c r="R129" s="28"/>
      <c r="S129" s="28"/>
    </row>
    <row r="130">
      <c r="A130" s="17">
        <v>45371.0</v>
      </c>
      <c r="B130" s="18" t="s">
        <v>77</v>
      </c>
      <c r="C130" s="18" t="s">
        <v>65</v>
      </c>
      <c r="D130" s="19"/>
      <c r="E130" s="19"/>
      <c r="F130" s="20">
        <f t="shared" si="2"/>
        <v>0</v>
      </c>
      <c r="G130" s="21">
        <f>IFERROR(VLOOKUP(B130,DADOS!$A$2:$H$252,8,0),"")</f>
        <v>120</v>
      </c>
      <c r="H130" s="22">
        <v>100.0</v>
      </c>
      <c r="I130" s="23">
        <f>IFERROR(VLOOKUP(B130,DADOS!$A$2:$H$252,4,0)*H130,"")</f>
        <v>0.963</v>
      </c>
      <c r="J130" s="24">
        <v>0.0</v>
      </c>
      <c r="K130" s="25">
        <f>IFERROR(VLOOKUP(B130,DADOS!$A$2:$H$252,4,0)*J130,"")</f>
        <v>0</v>
      </c>
      <c r="L130" s="26">
        <f t="shared" si="3"/>
        <v>0</v>
      </c>
      <c r="M130" s="27"/>
      <c r="N130" s="30"/>
      <c r="O130" s="28"/>
      <c r="P130" s="28"/>
      <c r="Q130" s="28"/>
      <c r="R130" s="28"/>
      <c r="S130" s="28"/>
    </row>
    <row r="131">
      <c r="A131" s="17">
        <v>45371.0</v>
      </c>
      <c r="B131" s="18" t="s">
        <v>74</v>
      </c>
      <c r="C131" s="18" t="s">
        <v>65</v>
      </c>
      <c r="D131" s="19"/>
      <c r="E131" s="19"/>
      <c r="F131" s="20">
        <f t="shared" si="2"/>
        <v>0</v>
      </c>
      <c r="G131" s="21">
        <f>IFERROR(VLOOKUP(B131,DADOS!$A$2:$H$252,8,0),"")</f>
        <v>60</v>
      </c>
      <c r="H131" s="22">
        <v>97.0</v>
      </c>
      <c r="I131" s="23">
        <f>IFERROR(VLOOKUP(B131,DADOS!$A$2:$H$252,4,0)*H131,"")</f>
        <v>134.51184</v>
      </c>
      <c r="J131" s="24">
        <v>0.0</v>
      </c>
      <c r="K131" s="25">
        <f>IFERROR(VLOOKUP(B131,DADOS!$A$2:$H$252,4,0)*J131,"")</f>
        <v>0</v>
      </c>
      <c r="L131" s="26">
        <f t="shared" si="3"/>
        <v>0</v>
      </c>
      <c r="M131" s="27"/>
      <c r="N131" s="30"/>
      <c r="O131" s="28"/>
      <c r="P131" s="28"/>
      <c r="Q131" s="28"/>
      <c r="R131" s="28"/>
      <c r="S131" s="28"/>
    </row>
    <row r="132">
      <c r="A132" s="17">
        <v>45371.0</v>
      </c>
      <c r="B132" s="18" t="s">
        <v>75</v>
      </c>
      <c r="C132" s="18" t="s">
        <v>52</v>
      </c>
      <c r="D132" s="19"/>
      <c r="E132" s="19"/>
      <c r="F132" s="20">
        <f t="shared" si="2"/>
        <v>0</v>
      </c>
      <c r="G132" s="21">
        <f>IFERROR(VLOOKUP(B132,DADOS!$A$2:$H$252,8,0),"")</f>
        <v>23</v>
      </c>
      <c r="H132" s="22">
        <v>45.0</v>
      </c>
      <c r="I132" s="23">
        <f>IFERROR(VLOOKUP(B132,DADOS!$A$2:$H$252,4,0)*H132,"")</f>
        <v>5.127012</v>
      </c>
      <c r="J132" s="24">
        <v>0.0</v>
      </c>
      <c r="K132" s="25">
        <f>IFERROR(VLOOKUP(B132,DADOS!$A$2:$H$252,4,0)*J132,"")</f>
        <v>0</v>
      </c>
      <c r="L132" s="26">
        <f t="shared" si="3"/>
        <v>0</v>
      </c>
      <c r="M132" s="27"/>
      <c r="N132" s="30"/>
      <c r="O132" s="28"/>
      <c r="P132" s="28"/>
      <c r="Q132" s="28"/>
      <c r="R132" s="28"/>
      <c r="S132" s="28"/>
    </row>
    <row r="133">
      <c r="A133" s="17">
        <v>45372.0</v>
      </c>
      <c r="B133" s="18" t="s">
        <v>69</v>
      </c>
      <c r="C133" s="18" t="s">
        <v>19</v>
      </c>
      <c r="D133" s="19"/>
      <c r="E133" s="19"/>
      <c r="F133" s="20">
        <f t="shared" si="2"/>
        <v>0</v>
      </c>
      <c r="G133" s="21">
        <f>IFERROR(VLOOKUP(B133,DADOS!$A$2:$H$252,8,0),"")</f>
        <v>13</v>
      </c>
      <c r="H133" s="22">
        <v>20.0</v>
      </c>
      <c r="I133" s="23">
        <f>IFERROR(VLOOKUP(B133,DADOS!$A$2:$H$252,4,0)*H133,"")</f>
        <v>6.848</v>
      </c>
      <c r="J133" s="24">
        <v>0.0</v>
      </c>
      <c r="K133" s="25">
        <f>IFERROR(VLOOKUP(B133,DADOS!$A$2:$H$252,4,0)*J133,"")</f>
        <v>0</v>
      </c>
      <c r="L133" s="26">
        <f t="shared" si="3"/>
        <v>0</v>
      </c>
      <c r="M133" s="27"/>
      <c r="N133" s="30"/>
      <c r="O133" s="28"/>
      <c r="P133" s="28"/>
      <c r="Q133" s="28"/>
      <c r="R133" s="28"/>
      <c r="S133" s="28"/>
    </row>
    <row r="134">
      <c r="A134" s="17">
        <v>45372.0</v>
      </c>
      <c r="B134" s="18" t="s">
        <v>70</v>
      </c>
      <c r="C134" s="18" t="s">
        <v>19</v>
      </c>
      <c r="D134" s="19"/>
      <c r="E134" s="19"/>
      <c r="F134" s="20">
        <f t="shared" si="2"/>
        <v>0</v>
      </c>
      <c r="G134" s="21">
        <f>IFERROR(VLOOKUP(B134,DADOS!$A$2:$H$252,8,0),"")</f>
        <v>13</v>
      </c>
      <c r="H134" s="22">
        <v>18.0</v>
      </c>
      <c r="I134" s="23">
        <f>IFERROR(VLOOKUP(B134,DADOS!$A$2:$H$252,4,0)*H134,"")</f>
        <v>6.1632</v>
      </c>
      <c r="J134" s="24">
        <v>2.0</v>
      </c>
      <c r="K134" s="25">
        <f>IFERROR(VLOOKUP(B134,DADOS!$A$2:$H$252,4,0)*J134,"")</f>
        <v>0.6848</v>
      </c>
      <c r="L134" s="26">
        <f t="shared" si="3"/>
        <v>0.1111111111</v>
      </c>
      <c r="M134" s="27"/>
      <c r="N134" s="30"/>
      <c r="O134" s="28"/>
      <c r="P134" s="28"/>
      <c r="Q134" s="28"/>
      <c r="R134" s="28"/>
      <c r="S134" s="28"/>
    </row>
    <row r="135">
      <c r="A135" s="17">
        <v>45372.0</v>
      </c>
      <c r="B135" s="18" t="s">
        <v>78</v>
      </c>
      <c r="C135" s="18" t="s">
        <v>19</v>
      </c>
      <c r="D135" s="19"/>
      <c r="E135" s="19"/>
      <c r="F135" s="20">
        <f t="shared" si="2"/>
        <v>0</v>
      </c>
      <c r="G135" s="21">
        <f>IFERROR(VLOOKUP(B135,DADOS!$A$2:$H$252,8,0),"")</f>
        <v>25</v>
      </c>
      <c r="H135" s="22">
        <v>28.0</v>
      </c>
      <c r="I135" s="23">
        <f>IFERROR(VLOOKUP(B135,DADOS!$A$2:$H$252,4,0)*H135,"")</f>
        <v>9.113832</v>
      </c>
      <c r="J135" s="24">
        <v>2.0</v>
      </c>
      <c r="K135" s="25">
        <f>IFERROR(VLOOKUP(B135,DADOS!$A$2:$H$252,4,0)*J135,"")</f>
        <v>0.650988</v>
      </c>
      <c r="L135" s="26">
        <f t="shared" si="3"/>
        <v>0.07142857143</v>
      </c>
      <c r="M135" s="27"/>
      <c r="N135" s="30"/>
      <c r="O135" s="28"/>
      <c r="P135" s="28"/>
      <c r="Q135" s="28"/>
      <c r="R135" s="28"/>
      <c r="S135" s="28"/>
    </row>
    <row r="136">
      <c r="A136" s="17">
        <v>45372.0</v>
      </c>
      <c r="B136" s="18" t="s">
        <v>79</v>
      </c>
      <c r="C136" s="18" t="s">
        <v>65</v>
      </c>
      <c r="D136" s="19"/>
      <c r="E136" s="19"/>
      <c r="F136" s="20">
        <f t="shared" si="2"/>
        <v>0</v>
      </c>
      <c r="G136" s="21">
        <f>IFERROR(VLOOKUP(B136,DADOS!$A$2:$H$252,8,0),"")</f>
        <v>87</v>
      </c>
      <c r="H136" s="22">
        <v>200.0</v>
      </c>
      <c r="I136" s="23">
        <f>IFERROR(VLOOKUP(B136,DADOS!$A$2:$H$252,4,0)*H136,"")</f>
        <v>3.424</v>
      </c>
      <c r="J136" s="24">
        <v>10.0</v>
      </c>
      <c r="K136" s="25">
        <f>IFERROR(VLOOKUP(B136,DADOS!$A$2:$H$252,4,0)*J136,"")</f>
        <v>0.1712</v>
      </c>
      <c r="L136" s="26">
        <f t="shared" si="3"/>
        <v>0.05</v>
      </c>
      <c r="M136" s="27"/>
      <c r="N136" s="30"/>
      <c r="O136" s="28"/>
      <c r="P136" s="28"/>
      <c r="Q136" s="28"/>
      <c r="R136" s="28"/>
      <c r="S136" s="28"/>
    </row>
    <row r="137">
      <c r="A137" s="17">
        <v>45372.0</v>
      </c>
      <c r="B137" s="18" t="s">
        <v>78</v>
      </c>
      <c r="C137" s="18" t="s">
        <v>52</v>
      </c>
      <c r="D137" s="19"/>
      <c r="E137" s="19"/>
      <c r="F137" s="20">
        <f t="shared" si="2"/>
        <v>0</v>
      </c>
      <c r="G137" s="21">
        <f>IFERROR(VLOOKUP(B137,DADOS!$A$2:$H$252,8,0),"")</f>
        <v>25</v>
      </c>
      <c r="H137" s="22">
        <v>17.0</v>
      </c>
      <c r="I137" s="23">
        <f>IFERROR(VLOOKUP(B137,DADOS!$A$2:$H$252,4,0)*H137,"")</f>
        <v>5.533398</v>
      </c>
      <c r="J137" s="24">
        <v>2.0</v>
      </c>
      <c r="K137" s="25">
        <f>IFERROR(VLOOKUP(B137,DADOS!$A$2:$H$252,4,0)*J137,"")</f>
        <v>0.650988</v>
      </c>
      <c r="L137" s="26">
        <f t="shared" si="3"/>
        <v>0.1176470588</v>
      </c>
      <c r="M137" s="27"/>
      <c r="N137" s="30"/>
      <c r="O137" s="28"/>
      <c r="P137" s="28"/>
      <c r="Q137" s="28"/>
      <c r="R137" s="28"/>
      <c r="S137" s="28"/>
    </row>
    <row r="138">
      <c r="A138" s="17">
        <v>45372.0</v>
      </c>
      <c r="B138" s="18" t="s">
        <v>75</v>
      </c>
      <c r="C138" s="18" t="s">
        <v>52</v>
      </c>
      <c r="D138" s="19"/>
      <c r="E138" s="19"/>
      <c r="F138" s="20">
        <f t="shared" si="2"/>
        <v>0</v>
      </c>
      <c r="G138" s="21">
        <f>IFERROR(VLOOKUP(B138,DADOS!$A$2:$H$252,8,0),"")</f>
        <v>23</v>
      </c>
      <c r="H138" s="22">
        <v>50.0</v>
      </c>
      <c r="I138" s="23">
        <f>IFERROR(VLOOKUP(B138,DADOS!$A$2:$H$252,4,0)*H138,"")</f>
        <v>5.69668</v>
      </c>
      <c r="J138" s="24">
        <v>0.0</v>
      </c>
      <c r="K138" s="25">
        <f>IFERROR(VLOOKUP(B138,DADOS!$A$2:$H$252,4,0)*J138,"")</f>
        <v>0</v>
      </c>
      <c r="L138" s="26">
        <f t="shared" si="3"/>
        <v>0</v>
      </c>
      <c r="M138" s="27"/>
      <c r="N138" s="30"/>
      <c r="O138" s="28"/>
      <c r="P138" s="28"/>
      <c r="Q138" s="28"/>
      <c r="R138" s="28"/>
      <c r="S138" s="28"/>
    </row>
    <row r="139">
      <c r="A139" s="17">
        <v>45372.0</v>
      </c>
      <c r="B139" s="18" t="s">
        <v>51</v>
      </c>
      <c r="C139" s="18" t="s">
        <v>52</v>
      </c>
      <c r="D139" s="19"/>
      <c r="E139" s="19"/>
      <c r="F139" s="20">
        <f t="shared" si="2"/>
        <v>0</v>
      </c>
      <c r="G139" s="21">
        <f>IFERROR(VLOOKUP(B139,DADOS!$A$2:$H$252,8,0),"")</f>
        <v>28</v>
      </c>
      <c r="H139" s="22">
        <v>6.0</v>
      </c>
      <c r="I139" s="23">
        <f>IFERROR(VLOOKUP(B139,DADOS!$A$2:$H$252,4,0)*H139,"")</f>
        <v>0.6836016</v>
      </c>
      <c r="J139" s="24">
        <v>0.0</v>
      </c>
      <c r="K139" s="25">
        <f>IFERROR(VLOOKUP(B139,DADOS!$A$2:$H$252,4,0)*J139,"")</f>
        <v>0</v>
      </c>
      <c r="L139" s="26">
        <f t="shared" si="3"/>
        <v>0</v>
      </c>
      <c r="M139" s="27"/>
      <c r="N139" s="30"/>
      <c r="O139" s="28"/>
      <c r="P139" s="28"/>
      <c r="Q139" s="28"/>
      <c r="R139" s="28"/>
      <c r="S139" s="28"/>
    </row>
    <row r="140">
      <c r="A140" s="17">
        <v>45373.0</v>
      </c>
      <c r="B140" s="18" t="s">
        <v>79</v>
      </c>
      <c r="C140" s="18" t="s">
        <v>65</v>
      </c>
      <c r="D140" s="19"/>
      <c r="E140" s="19"/>
      <c r="F140" s="20">
        <f t="shared" si="2"/>
        <v>0</v>
      </c>
      <c r="G140" s="21">
        <f>IFERROR(VLOOKUP(B140,DADOS!$A$2:$H$252,8,0),"")</f>
        <v>87</v>
      </c>
      <c r="H140" s="22">
        <v>160.0</v>
      </c>
      <c r="I140" s="23">
        <f>IFERROR(VLOOKUP(B140,DADOS!$A$2:$H$252,4,0)*H140,"")</f>
        <v>2.7392</v>
      </c>
      <c r="J140" s="24">
        <v>10.0</v>
      </c>
      <c r="K140" s="25">
        <f>IFERROR(VLOOKUP(B140,DADOS!$A$2:$H$252,4,0)*J140,"")</f>
        <v>0.1712</v>
      </c>
      <c r="L140" s="26">
        <f t="shared" si="3"/>
        <v>0.0625</v>
      </c>
      <c r="M140" s="27"/>
      <c r="N140" s="30"/>
      <c r="O140" s="28"/>
      <c r="P140" s="28"/>
      <c r="Q140" s="28"/>
      <c r="R140" s="28"/>
      <c r="S140" s="28"/>
    </row>
    <row r="141">
      <c r="A141" s="17">
        <v>45373.0</v>
      </c>
      <c r="B141" s="18" t="s">
        <v>51</v>
      </c>
      <c r="C141" s="18" t="s">
        <v>52</v>
      </c>
      <c r="D141" s="19"/>
      <c r="E141" s="19"/>
      <c r="F141" s="20">
        <f t="shared" si="2"/>
        <v>0</v>
      </c>
      <c r="G141" s="21">
        <f>IFERROR(VLOOKUP(B141,DADOS!$A$2:$H$252,8,0),"")</f>
        <v>28</v>
      </c>
      <c r="H141" s="22">
        <v>45.0</v>
      </c>
      <c r="I141" s="23">
        <f>IFERROR(VLOOKUP(B141,DADOS!$A$2:$H$252,4,0)*H141,"")</f>
        <v>5.127012</v>
      </c>
      <c r="J141" s="24">
        <v>2.0</v>
      </c>
      <c r="K141" s="25">
        <f>IFERROR(VLOOKUP(B141,DADOS!$A$2:$H$252,4,0)*J141,"")</f>
        <v>0.2278672</v>
      </c>
      <c r="L141" s="26">
        <f t="shared" si="3"/>
        <v>0.04444444444</v>
      </c>
      <c r="M141" s="27"/>
      <c r="N141" s="30"/>
      <c r="O141" s="28"/>
      <c r="P141" s="28"/>
      <c r="Q141" s="28"/>
      <c r="R141" s="28"/>
      <c r="S141" s="28"/>
    </row>
    <row r="142">
      <c r="A142" s="17">
        <v>45376.0</v>
      </c>
      <c r="B142" s="18" t="s">
        <v>51</v>
      </c>
      <c r="C142" s="18" t="s">
        <v>52</v>
      </c>
      <c r="D142" s="19"/>
      <c r="E142" s="19"/>
      <c r="F142" s="20">
        <f t="shared" si="2"/>
        <v>0</v>
      </c>
      <c r="G142" s="21">
        <f>IFERROR(VLOOKUP(B142,DADOS!$A$2:$H$252,8,0),"")</f>
        <v>28</v>
      </c>
      <c r="H142" s="22">
        <v>64.0</v>
      </c>
      <c r="I142" s="23">
        <f>IFERROR(VLOOKUP(B142,DADOS!$A$2:$H$252,4,0)*H142,"")</f>
        <v>7.2917504</v>
      </c>
      <c r="J142" s="24">
        <v>7.0</v>
      </c>
      <c r="K142" s="25">
        <f>IFERROR(VLOOKUP(B142,DADOS!$A$2:$H$252,4,0)*J142,"")</f>
        <v>0.7975352</v>
      </c>
      <c r="L142" s="26">
        <f t="shared" si="3"/>
        <v>0.109375</v>
      </c>
      <c r="M142" s="27"/>
      <c r="N142" s="30"/>
      <c r="O142" s="28"/>
      <c r="P142" s="28"/>
      <c r="Q142" s="28"/>
      <c r="R142" s="28"/>
      <c r="S142" s="28"/>
    </row>
    <row r="143">
      <c r="A143" s="17">
        <v>45376.0</v>
      </c>
      <c r="B143" s="18" t="s">
        <v>58</v>
      </c>
      <c r="C143" s="18" t="s">
        <v>52</v>
      </c>
      <c r="D143" s="19"/>
      <c r="E143" s="19"/>
      <c r="F143" s="20">
        <f t="shared" si="2"/>
        <v>0</v>
      </c>
      <c r="G143" s="21">
        <f>IFERROR(VLOOKUP(B143,DADOS!$A$2:$H$252,8,0),"")</f>
        <v>31</v>
      </c>
      <c r="H143" s="22">
        <v>69.0</v>
      </c>
      <c r="I143" s="23">
        <f>IFERROR(VLOOKUP(B143,DADOS!$A$2:$H$252,4,0)*H143,"")</f>
        <v>7.8614184</v>
      </c>
      <c r="J143" s="24">
        <v>1.0</v>
      </c>
      <c r="K143" s="25">
        <f>IFERROR(VLOOKUP(B143,DADOS!$A$2:$H$252,4,0)*J143,"")</f>
        <v>0.1139336</v>
      </c>
      <c r="L143" s="26">
        <f t="shared" si="3"/>
        <v>0.01449275362</v>
      </c>
      <c r="M143" s="27"/>
      <c r="N143" s="30"/>
      <c r="O143" s="28"/>
      <c r="P143" s="28"/>
      <c r="Q143" s="28"/>
      <c r="R143" s="28"/>
      <c r="S143" s="28"/>
    </row>
    <row r="144">
      <c r="A144" s="17">
        <v>45377.0</v>
      </c>
      <c r="B144" s="18" t="s">
        <v>58</v>
      </c>
      <c r="C144" s="18" t="s">
        <v>52</v>
      </c>
      <c r="D144" s="19"/>
      <c r="E144" s="19"/>
      <c r="F144" s="20">
        <f t="shared" si="2"/>
        <v>0</v>
      </c>
      <c r="G144" s="21">
        <f>IFERROR(VLOOKUP(B144,DADOS!$A$2:$H$252,8,0),"")</f>
        <v>31</v>
      </c>
      <c r="H144" s="22">
        <v>52.0</v>
      </c>
      <c r="I144" s="23">
        <f>IFERROR(VLOOKUP(B144,DADOS!$A$2:$H$252,4,0)*H144,"")</f>
        <v>5.9245472</v>
      </c>
      <c r="J144" s="24">
        <v>1.0</v>
      </c>
      <c r="K144" s="25">
        <f>IFERROR(VLOOKUP(B144,DADOS!$A$2:$H$252,4,0)*J144,"")</f>
        <v>0.1139336</v>
      </c>
      <c r="L144" s="26">
        <f t="shared" si="3"/>
        <v>0.01923076923</v>
      </c>
      <c r="M144" s="27"/>
      <c r="N144" s="30"/>
      <c r="O144" s="28"/>
      <c r="P144" s="28"/>
      <c r="Q144" s="28"/>
      <c r="R144" s="28"/>
      <c r="S144" s="28"/>
    </row>
    <row r="145">
      <c r="A145" s="17">
        <v>45377.0</v>
      </c>
      <c r="B145" s="18" t="s">
        <v>20</v>
      </c>
      <c r="C145" s="18" t="s">
        <v>52</v>
      </c>
      <c r="D145" s="19"/>
      <c r="E145" s="19"/>
      <c r="F145" s="20">
        <f t="shared" si="2"/>
        <v>0</v>
      </c>
      <c r="G145" s="21" t="str">
        <f>IFERROR(VLOOKUP(B145,DADOS!$A$2:$H$252,8,0),"")</f>
        <v/>
      </c>
      <c r="H145" s="22">
        <v>69.0</v>
      </c>
      <c r="I145" s="23" t="str">
        <f>IFERROR(VLOOKUP(B145,DADOS!$A$2:$H$252,4,0)*H145,"")</f>
        <v/>
      </c>
      <c r="J145" s="24">
        <v>0.0</v>
      </c>
      <c r="K145" s="25" t="str">
        <f>IFERROR(VLOOKUP(B145,DADOS!$A$2:$H$252,4,0)*J145,"")</f>
        <v/>
      </c>
      <c r="L145" s="26" t="str">
        <f t="shared" si="3"/>
        <v/>
      </c>
      <c r="M145" s="27"/>
      <c r="N145" s="30"/>
      <c r="O145" s="28"/>
      <c r="P145" s="28"/>
      <c r="Q145" s="28"/>
      <c r="R145" s="28"/>
      <c r="S145" s="28"/>
    </row>
    <row r="146">
      <c r="A146" s="17">
        <v>45377.0</v>
      </c>
      <c r="B146" s="18" t="s">
        <v>27</v>
      </c>
      <c r="C146" s="18" t="s">
        <v>80</v>
      </c>
      <c r="D146" s="19"/>
      <c r="E146" s="19"/>
      <c r="F146" s="20">
        <f t="shared" si="2"/>
        <v>0</v>
      </c>
      <c r="G146" s="21"/>
      <c r="H146" s="22"/>
      <c r="I146" s="23">
        <f>IFERROR(VLOOKUP(B146,DADOS!$A$2:$H$252,4,0)*H146,"")</f>
        <v>0</v>
      </c>
      <c r="J146" s="24">
        <v>30.0</v>
      </c>
      <c r="K146" s="25">
        <f>IFERROR(VLOOKUP(B146,DADOS!$A$2:$H$252,4,0)*J146,"")</f>
        <v>0.5136</v>
      </c>
      <c r="L146" s="26">
        <f t="shared" si="3"/>
        <v>0.01712</v>
      </c>
      <c r="M146" s="30" t="s">
        <v>39</v>
      </c>
      <c r="N146" s="33" t="s">
        <v>40</v>
      </c>
      <c r="O146" s="28"/>
      <c r="P146" s="28"/>
      <c r="Q146" s="28"/>
      <c r="R146" s="28"/>
      <c r="S146" s="28"/>
    </row>
    <row r="147">
      <c r="A147" s="17">
        <v>45377.0</v>
      </c>
      <c r="B147" s="18" t="s">
        <v>58</v>
      </c>
      <c r="C147" s="18" t="s">
        <v>80</v>
      </c>
      <c r="D147" s="19"/>
      <c r="E147" s="19"/>
      <c r="F147" s="20">
        <f t="shared" si="2"/>
        <v>0</v>
      </c>
      <c r="G147" s="21">
        <f>IFERROR(VLOOKUP(B147,DADOS!$A$2:$H$252,8,0),"")</f>
        <v>31</v>
      </c>
      <c r="H147" s="22"/>
      <c r="I147" s="23">
        <f>IFERROR(VLOOKUP(B147,DADOS!$A$2:$H$252,4,0)*H147,"")</f>
        <v>0</v>
      </c>
      <c r="J147" s="24">
        <v>4.0</v>
      </c>
      <c r="K147" s="25">
        <f>IFERROR(VLOOKUP(B147,DADOS!$A$2:$H$252,4,0)*J147,"")</f>
        <v>0.4557344</v>
      </c>
      <c r="L147" s="26">
        <f t="shared" si="3"/>
        <v>0.1139336</v>
      </c>
      <c r="M147" s="30" t="s">
        <v>39</v>
      </c>
      <c r="N147" s="33" t="s">
        <v>81</v>
      </c>
      <c r="O147" s="28"/>
      <c r="P147" s="28"/>
      <c r="Q147" s="28"/>
      <c r="R147" s="28"/>
      <c r="S147" s="28"/>
    </row>
    <row r="148">
      <c r="A148" s="17">
        <v>45377.0</v>
      </c>
      <c r="B148" s="18" t="s">
        <v>82</v>
      </c>
      <c r="C148" s="18" t="s">
        <v>80</v>
      </c>
      <c r="D148" s="19"/>
      <c r="E148" s="19"/>
      <c r="F148" s="20">
        <f t="shared" si="2"/>
        <v>0</v>
      </c>
      <c r="G148" s="21" t="str">
        <f>IFERROR(VLOOKUP(B148,DADOS!$A$2:$H$252,8,0),"")</f>
        <v/>
      </c>
      <c r="H148" s="22"/>
      <c r="I148" s="23">
        <f>IFERROR(VLOOKUP(B148,DADOS!$A$2:$H$252,4,0)*H148,"")</f>
        <v>0</v>
      </c>
      <c r="J148" s="24">
        <v>30.0</v>
      </c>
      <c r="K148" s="25">
        <f>IFERROR(VLOOKUP(B148,DADOS!$A$2:$H$252,4,0)*J148,"")</f>
        <v>30.04839193</v>
      </c>
      <c r="L148" s="26">
        <f t="shared" si="3"/>
        <v>1.001613064</v>
      </c>
      <c r="M148" s="30" t="s">
        <v>39</v>
      </c>
      <c r="N148" s="30"/>
      <c r="O148" s="28"/>
      <c r="P148" s="28"/>
      <c r="Q148" s="28"/>
      <c r="R148" s="28"/>
      <c r="S148" s="28"/>
    </row>
    <row r="149">
      <c r="A149" s="17">
        <v>45379.0</v>
      </c>
      <c r="B149" s="18" t="s">
        <v>35</v>
      </c>
      <c r="C149" s="18" t="s">
        <v>52</v>
      </c>
      <c r="D149" s="19"/>
      <c r="E149" s="19"/>
      <c r="F149" s="20">
        <f t="shared" si="2"/>
        <v>0</v>
      </c>
      <c r="G149" s="21">
        <f>IFERROR(VLOOKUP(B149,DADOS!$A$2:$H$252,8,0),"")</f>
        <v>30</v>
      </c>
      <c r="H149" s="22">
        <v>86.0</v>
      </c>
      <c r="I149" s="23">
        <f>IFERROR(VLOOKUP(B149,DADOS!$A$2:$H$252,4,0)*H149,"")</f>
        <v>14.7581676</v>
      </c>
      <c r="J149" s="24">
        <v>0.0</v>
      </c>
      <c r="K149" s="25">
        <f>IFERROR(VLOOKUP(B149,DADOS!$A$2:$H$252,4,0)*J149,"")</f>
        <v>0</v>
      </c>
      <c r="L149" s="26">
        <f t="shared" si="3"/>
        <v>0</v>
      </c>
      <c r="M149" s="27"/>
      <c r="N149" s="30"/>
      <c r="O149" s="28"/>
      <c r="P149" s="28"/>
      <c r="Q149" s="28"/>
      <c r="R149" s="28"/>
      <c r="S149" s="28"/>
    </row>
    <row r="150">
      <c r="A150" s="17">
        <v>45379.0</v>
      </c>
      <c r="B150" s="18" t="s">
        <v>20</v>
      </c>
      <c r="C150" s="18" t="s">
        <v>52</v>
      </c>
      <c r="D150" s="19"/>
      <c r="E150" s="19"/>
      <c r="F150" s="20">
        <f t="shared" si="2"/>
        <v>0</v>
      </c>
      <c r="G150" s="21" t="str">
        <f>IFERROR(VLOOKUP(B150,DADOS!$A$2:$H$252,8,0),"")</f>
        <v/>
      </c>
      <c r="H150" s="22">
        <v>85.0</v>
      </c>
      <c r="I150" s="23" t="str">
        <f>IFERROR(VLOOKUP(B150,DADOS!$A$2:$H$252,4,0)*H150,"")</f>
        <v/>
      </c>
      <c r="J150" s="24">
        <v>0.0</v>
      </c>
      <c r="K150" s="25" t="str">
        <f>IFERROR(VLOOKUP(B150,DADOS!$A$2:$H$252,4,0)*J150,"")</f>
        <v/>
      </c>
      <c r="L150" s="26" t="str">
        <f t="shared" si="3"/>
        <v/>
      </c>
      <c r="M150" s="27"/>
      <c r="N150" s="30"/>
      <c r="O150" s="28"/>
      <c r="P150" s="28"/>
      <c r="Q150" s="28"/>
      <c r="R150" s="28"/>
      <c r="S150" s="28"/>
    </row>
    <row r="151">
      <c r="A151" s="17">
        <v>45383.0</v>
      </c>
      <c r="B151" s="18" t="s">
        <v>26</v>
      </c>
      <c r="C151" s="18" t="s">
        <v>19</v>
      </c>
      <c r="D151" s="19"/>
      <c r="E151" s="19"/>
      <c r="F151" s="20">
        <f t="shared" si="2"/>
        <v>0</v>
      </c>
      <c r="G151" s="21">
        <f>IFERROR(VLOOKUP(B151,DADOS!$A$2:$H$252,8,0),"")</f>
        <v>50</v>
      </c>
      <c r="H151" s="22">
        <v>29.0</v>
      </c>
      <c r="I151" s="23">
        <f>IFERROR(VLOOKUP(B151,DADOS!$A$2:$H$252,4,0)*H151,"")</f>
        <v>3.3040744</v>
      </c>
      <c r="J151" s="24">
        <v>1.0</v>
      </c>
      <c r="K151" s="25">
        <f>IFERROR(VLOOKUP(B151,DADOS!$A$2:$H$252,4,0)*J151,"")</f>
        <v>0.1139336</v>
      </c>
      <c r="L151" s="26">
        <f t="shared" si="3"/>
        <v>0.03448275862</v>
      </c>
      <c r="M151" s="30" t="s">
        <v>39</v>
      </c>
      <c r="N151" s="30"/>
      <c r="O151" s="28"/>
      <c r="P151" s="28"/>
      <c r="Q151" s="28"/>
      <c r="R151" s="28"/>
      <c r="S151" s="28"/>
    </row>
    <row r="152">
      <c r="A152" s="17">
        <v>45383.0</v>
      </c>
      <c r="B152" s="18" t="s">
        <v>35</v>
      </c>
      <c r="C152" s="18" t="s">
        <v>52</v>
      </c>
      <c r="D152" s="19"/>
      <c r="E152" s="19"/>
      <c r="F152" s="20">
        <f t="shared" si="2"/>
        <v>0</v>
      </c>
      <c r="G152" s="21">
        <f>IFERROR(VLOOKUP(B152,DADOS!$A$2:$H$252,8,0),"")</f>
        <v>30</v>
      </c>
      <c r="H152" s="22">
        <v>35.0</v>
      </c>
      <c r="I152" s="23">
        <f>IFERROR(VLOOKUP(B152,DADOS!$A$2:$H$252,4,0)*H152,"")</f>
        <v>6.006231</v>
      </c>
      <c r="J152" s="24">
        <v>0.0</v>
      </c>
      <c r="K152" s="25">
        <f>IFERROR(VLOOKUP(B152,DADOS!$A$2:$H$252,4,0)*J152,"")</f>
        <v>0</v>
      </c>
      <c r="L152" s="26">
        <f t="shared" si="3"/>
        <v>0</v>
      </c>
      <c r="M152" s="27"/>
      <c r="N152" s="30"/>
      <c r="O152" s="28"/>
      <c r="P152" s="28"/>
      <c r="Q152" s="28"/>
      <c r="R152" s="28"/>
      <c r="S152" s="28"/>
    </row>
    <row r="153">
      <c r="A153" s="17">
        <v>45383.0</v>
      </c>
      <c r="B153" s="18" t="s">
        <v>18</v>
      </c>
      <c r="C153" s="18" t="s">
        <v>52</v>
      </c>
      <c r="D153" s="19"/>
      <c r="E153" s="19"/>
      <c r="F153" s="20">
        <f t="shared" si="2"/>
        <v>0</v>
      </c>
      <c r="G153" s="21">
        <f>IFERROR(VLOOKUP(B153,DADOS!$A$2:$H$252,8,0),"")</f>
        <v>21</v>
      </c>
      <c r="H153" s="22">
        <v>52.0</v>
      </c>
      <c r="I153" s="23">
        <f>IFERROR(VLOOKUP(B153,DADOS!$A$2:$H$252,4,0)*H153,"")</f>
        <v>15.234232</v>
      </c>
      <c r="J153" s="24">
        <v>0.0</v>
      </c>
      <c r="K153" s="25">
        <f>IFERROR(VLOOKUP(B153,DADOS!$A$2:$H$252,4,0)*J153,"")</f>
        <v>0</v>
      </c>
      <c r="L153" s="26">
        <f t="shared" si="3"/>
        <v>0</v>
      </c>
      <c r="M153" s="27"/>
      <c r="N153" s="30"/>
      <c r="O153" s="28"/>
      <c r="P153" s="28"/>
      <c r="Q153" s="28"/>
      <c r="R153" s="28"/>
      <c r="S153" s="28"/>
    </row>
    <row r="154">
      <c r="A154" s="17">
        <v>45384.0</v>
      </c>
      <c r="B154" s="18" t="s">
        <v>24</v>
      </c>
      <c r="C154" s="18" t="s">
        <v>80</v>
      </c>
      <c r="D154" s="19"/>
      <c r="E154" s="19"/>
      <c r="F154" s="20">
        <f t="shared" si="2"/>
        <v>0</v>
      </c>
      <c r="G154" s="21">
        <f>IFERROR(VLOOKUP(B154,DADOS!$A$2:$H$252,8,0),"")</f>
        <v>37</v>
      </c>
      <c r="H154" s="22"/>
      <c r="I154" s="23">
        <f>IFERROR(VLOOKUP(B154,DADOS!$A$2:$H$252,4,0)*H154,"")</f>
        <v>0</v>
      </c>
      <c r="J154" s="24">
        <v>1.0</v>
      </c>
      <c r="K154" s="25">
        <f>IFERROR(VLOOKUP(B154,DADOS!$A$2:$H$252,4,0)*J154,"")</f>
        <v>0.1139336</v>
      </c>
      <c r="L154" s="26">
        <f t="shared" si="3"/>
        <v>0.1139336</v>
      </c>
      <c r="M154" s="30" t="s">
        <v>83</v>
      </c>
      <c r="N154" s="33" t="s">
        <v>84</v>
      </c>
      <c r="O154" s="28"/>
      <c r="P154" s="28"/>
      <c r="Q154" s="28"/>
      <c r="R154" s="28"/>
      <c r="S154" s="28"/>
    </row>
    <row r="155">
      <c r="A155" s="17">
        <v>45384.0</v>
      </c>
      <c r="B155" s="18" t="s">
        <v>16</v>
      </c>
      <c r="C155" s="18" t="s">
        <v>80</v>
      </c>
      <c r="D155" s="19"/>
      <c r="E155" s="19"/>
      <c r="F155" s="20">
        <f t="shared" si="2"/>
        <v>0</v>
      </c>
      <c r="G155" s="21">
        <f>IFERROR(VLOOKUP(B155,DADOS!$A$2:$H$252,8,0),"")</f>
        <v>150</v>
      </c>
      <c r="H155" s="22"/>
      <c r="I155" s="23">
        <f>IFERROR(VLOOKUP(B155,DADOS!$A$2:$H$252,4,0)*H155,"")</f>
        <v>0</v>
      </c>
      <c r="J155" s="24">
        <v>1.0</v>
      </c>
      <c r="K155" s="25">
        <f>IFERROR(VLOOKUP(B155,DADOS!$A$2:$H$252,4,0)*J155,"")</f>
        <v>0.0289328</v>
      </c>
      <c r="L155" s="26">
        <f t="shared" si="3"/>
        <v>0.0289328</v>
      </c>
      <c r="M155" s="30" t="s">
        <v>83</v>
      </c>
      <c r="N155" s="33" t="s">
        <v>85</v>
      </c>
      <c r="O155" s="28"/>
      <c r="P155" s="28"/>
      <c r="Q155" s="28"/>
      <c r="R155" s="28"/>
      <c r="S155" s="28"/>
    </row>
    <row r="156">
      <c r="A156" s="17">
        <v>45384.0</v>
      </c>
      <c r="B156" s="18" t="s">
        <v>48</v>
      </c>
      <c r="C156" s="18" t="s">
        <v>80</v>
      </c>
      <c r="D156" s="19"/>
      <c r="E156" s="19"/>
      <c r="F156" s="20">
        <f t="shared" si="2"/>
        <v>0</v>
      </c>
      <c r="G156" s="21">
        <f>IFERROR(VLOOKUP(B156,DADOS!$A$2:$H$252,8,0),"")</f>
        <v>6</v>
      </c>
      <c r="H156" s="22"/>
      <c r="I156" s="23">
        <f>IFERROR(VLOOKUP(B156,DADOS!$A$2:$H$252,4,0)*H156,"")</f>
        <v>0</v>
      </c>
      <c r="J156" s="24">
        <v>7.0</v>
      </c>
      <c r="K156" s="25">
        <f>IFERROR(VLOOKUP(B156,DADOS!$A$2:$H$252,4,0)*J156,"")</f>
        <v>0.7975352</v>
      </c>
      <c r="L156" s="26">
        <f t="shared" si="3"/>
        <v>0.1139336</v>
      </c>
      <c r="M156" s="30" t="s">
        <v>39</v>
      </c>
      <c r="N156" s="33" t="s">
        <v>86</v>
      </c>
      <c r="O156" s="28"/>
      <c r="P156" s="28"/>
      <c r="Q156" s="28"/>
      <c r="R156" s="28"/>
      <c r="S156" s="28"/>
    </row>
    <row r="157">
      <c r="A157" s="17">
        <v>45384.0</v>
      </c>
      <c r="B157" s="18" t="s">
        <v>37</v>
      </c>
      <c r="C157" s="18" t="s">
        <v>80</v>
      </c>
      <c r="D157" s="19"/>
      <c r="E157" s="19"/>
      <c r="F157" s="20">
        <f t="shared" si="2"/>
        <v>0</v>
      </c>
      <c r="G157" s="21" t="str">
        <f>IFERROR(VLOOKUP(B157,DADOS!$A$2:$H$252,8,0),"")</f>
        <v/>
      </c>
      <c r="H157" s="22"/>
      <c r="I157" s="23" t="str">
        <f>IFERROR(VLOOKUP(B157,DADOS!$A$2:$H$252,4,0)*H157,"")</f>
        <v/>
      </c>
      <c r="J157" s="24">
        <v>1.0</v>
      </c>
      <c r="K157" s="25" t="str">
        <f>IFERROR(VLOOKUP(B157,DADOS!$A$2:$H$252,4,0)*J157,"")</f>
        <v/>
      </c>
      <c r="L157" s="26">
        <f t="shared" si="3"/>
        <v>0</v>
      </c>
      <c r="M157" s="30" t="s">
        <v>83</v>
      </c>
      <c r="N157" s="33" t="s">
        <v>87</v>
      </c>
      <c r="O157" s="28"/>
      <c r="P157" s="28"/>
      <c r="Q157" s="28"/>
      <c r="R157" s="28"/>
      <c r="S157" s="28"/>
    </row>
    <row r="158">
      <c r="A158" s="17">
        <v>45384.0</v>
      </c>
      <c r="B158" s="18" t="s">
        <v>72</v>
      </c>
      <c r="C158" s="18" t="s">
        <v>80</v>
      </c>
      <c r="D158" s="19"/>
      <c r="E158" s="19"/>
      <c r="F158" s="20">
        <f t="shared" si="2"/>
        <v>0</v>
      </c>
      <c r="G158" s="21">
        <f>IFERROR(VLOOKUP(B158,DADOS!$A$2:$H$252,8,0),"")</f>
        <v>43</v>
      </c>
      <c r="H158" s="22"/>
      <c r="I158" s="23">
        <f>IFERROR(VLOOKUP(B158,DADOS!$A$2:$H$252,4,0)*H158,"")</f>
        <v>0</v>
      </c>
      <c r="J158" s="24">
        <v>1.0</v>
      </c>
      <c r="K158" s="25">
        <f>IFERROR(VLOOKUP(B158,DADOS!$A$2:$H$252,4,0)*J158,"")</f>
        <v>0.01712</v>
      </c>
      <c r="L158" s="26">
        <f t="shared" si="3"/>
        <v>0.01712</v>
      </c>
      <c r="M158" s="30" t="s">
        <v>83</v>
      </c>
      <c r="N158" s="33" t="s">
        <v>88</v>
      </c>
      <c r="O158" s="28"/>
      <c r="P158" s="28"/>
      <c r="Q158" s="28"/>
      <c r="R158" s="28"/>
      <c r="S158" s="28"/>
    </row>
    <row r="159">
      <c r="A159" s="17">
        <v>45384.0</v>
      </c>
      <c r="B159" s="18" t="s">
        <v>47</v>
      </c>
      <c r="C159" s="18" t="s">
        <v>80</v>
      </c>
      <c r="D159" s="19"/>
      <c r="E159" s="19"/>
      <c r="F159" s="20">
        <f t="shared" si="2"/>
        <v>0</v>
      </c>
      <c r="G159" s="21">
        <f>IFERROR(VLOOKUP(B159,DADOS!$A$2:$H$252,8,0),"")</f>
        <v>35</v>
      </c>
      <c r="H159" s="22">
        <v>2.0</v>
      </c>
      <c r="I159" s="23">
        <f>IFERROR(VLOOKUP(B159,DADOS!$A$2:$H$252,4,0)*H159,"")</f>
        <v>0.2278672</v>
      </c>
      <c r="J159" s="24">
        <v>2.0</v>
      </c>
      <c r="K159" s="25">
        <f>IFERROR(VLOOKUP(B159,DADOS!$A$2:$H$252,4,0)*J159,"")</f>
        <v>0.2278672</v>
      </c>
      <c r="L159" s="26">
        <f t="shared" si="3"/>
        <v>0.1139336</v>
      </c>
      <c r="M159" s="30" t="s">
        <v>39</v>
      </c>
      <c r="N159" s="33" t="s">
        <v>89</v>
      </c>
      <c r="O159" s="28"/>
      <c r="P159" s="28"/>
      <c r="Q159" s="28"/>
      <c r="R159" s="28"/>
      <c r="S159" s="28"/>
    </row>
    <row r="160">
      <c r="A160" s="17">
        <v>45384.0</v>
      </c>
      <c r="B160" s="18" t="s">
        <v>49</v>
      </c>
      <c r="C160" s="18" t="s">
        <v>80</v>
      </c>
      <c r="D160" s="19"/>
      <c r="E160" s="19"/>
      <c r="F160" s="20">
        <f t="shared" si="2"/>
        <v>0</v>
      </c>
      <c r="G160" s="21">
        <f>IFERROR(VLOOKUP(B160,DADOS!$A$2:$H$252,8,0),"")</f>
        <v>42</v>
      </c>
      <c r="H160" s="22"/>
      <c r="I160" s="23">
        <f>IFERROR(VLOOKUP(B160,DADOS!$A$2:$H$252,4,0)*H160,"")</f>
        <v>0</v>
      </c>
      <c r="J160" s="24">
        <v>1.0</v>
      </c>
      <c r="K160" s="25">
        <f>IFERROR(VLOOKUP(B160,DADOS!$A$2:$H$252,4,0)*J160,"")</f>
        <v>0.0680306</v>
      </c>
      <c r="L160" s="26">
        <f t="shared" si="3"/>
        <v>0.0680306</v>
      </c>
      <c r="M160" s="30" t="s">
        <v>83</v>
      </c>
      <c r="N160" s="33" t="s">
        <v>89</v>
      </c>
      <c r="O160" s="28"/>
      <c r="P160" s="28"/>
      <c r="Q160" s="28"/>
      <c r="R160" s="28"/>
      <c r="S160" s="28"/>
    </row>
    <row r="161">
      <c r="A161" s="17">
        <v>45385.0</v>
      </c>
      <c r="B161" s="18" t="s">
        <v>27</v>
      </c>
      <c r="C161" s="18" t="s">
        <v>17</v>
      </c>
      <c r="D161" s="19">
        <v>0.3541666666666667</v>
      </c>
      <c r="E161" s="19">
        <v>0.7222222222222222</v>
      </c>
      <c r="F161" s="20">
        <f t="shared" si="2"/>
        <v>0.3680555556</v>
      </c>
      <c r="G161" s="21">
        <f>IFERROR(VLOOKUP(B161,DADOS!$A$2:$H$252,8,0),"")</f>
        <v>30</v>
      </c>
      <c r="H161" s="22">
        <v>229.0</v>
      </c>
      <c r="I161" s="23">
        <f>IFERROR(VLOOKUP(B161,DADOS!$A$2:$H$252,4,0)*H161,"")</f>
        <v>3.92048</v>
      </c>
      <c r="J161" s="24">
        <v>12.0</v>
      </c>
      <c r="K161" s="25">
        <f>IFERROR(VLOOKUP(B161,DADOS!$A$2:$H$252,4,0)*J161,"")</f>
        <v>0.20544</v>
      </c>
      <c r="L161" s="26">
        <f t="shared" si="3"/>
        <v>0.05240174672</v>
      </c>
      <c r="M161" s="30" t="s">
        <v>39</v>
      </c>
      <c r="N161" s="33" t="s">
        <v>46</v>
      </c>
      <c r="O161" s="28"/>
      <c r="P161" s="28"/>
      <c r="Q161" s="28"/>
      <c r="R161" s="28"/>
      <c r="S161" s="28"/>
    </row>
    <row r="162">
      <c r="A162" s="17">
        <v>45386.0</v>
      </c>
      <c r="B162" s="18" t="s">
        <v>27</v>
      </c>
      <c r="C162" s="18" t="s">
        <v>17</v>
      </c>
      <c r="D162" s="19"/>
      <c r="E162" s="19"/>
      <c r="F162" s="20">
        <f t="shared" si="2"/>
        <v>0</v>
      </c>
      <c r="G162" s="21">
        <f>IFERROR(VLOOKUP(B162,DADOS!$A$2:$H$252,8,0),"")</f>
        <v>30</v>
      </c>
      <c r="H162" s="22">
        <v>44.0</v>
      </c>
      <c r="I162" s="23">
        <f>IFERROR(VLOOKUP(B162,DADOS!$A$2:$H$252,4,0)*H162,"")</f>
        <v>0.75328</v>
      </c>
      <c r="J162" s="24">
        <v>4.0</v>
      </c>
      <c r="K162" s="25">
        <f>IFERROR(VLOOKUP(B162,DADOS!$A$2:$H$252,4,0)*J162,"")</f>
        <v>0.06848</v>
      </c>
      <c r="L162" s="26">
        <f t="shared" si="3"/>
        <v>0.09090909091</v>
      </c>
      <c r="M162" s="27"/>
      <c r="N162" s="30"/>
      <c r="O162" s="28"/>
      <c r="P162" s="28"/>
      <c r="Q162" s="28"/>
      <c r="R162" s="28"/>
      <c r="S162" s="28"/>
    </row>
    <row r="163">
      <c r="A163" s="17">
        <v>45386.0</v>
      </c>
      <c r="B163" s="18" t="s">
        <v>72</v>
      </c>
      <c r="C163" s="18" t="s">
        <v>17</v>
      </c>
      <c r="D163" s="19"/>
      <c r="E163" s="19"/>
      <c r="F163" s="20">
        <f t="shared" si="2"/>
        <v>0</v>
      </c>
      <c r="G163" s="21">
        <f>IFERROR(VLOOKUP(B163,DADOS!$A$2:$H$252,8,0),"")</f>
        <v>43</v>
      </c>
      <c r="H163" s="22">
        <v>46.0</v>
      </c>
      <c r="I163" s="23">
        <f>IFERROR(VLOOKUP(B163,DADOS!$A$2:$H$252,4,0)*H163,"")</f>
        <v>0.78752</v>
      </c>
      <c r="J163" s="24">
        <v>0.0</v>
      </c>
      <c r="K163" s="25">
        <f>IFERROR(VLOOKUP(B163,DADOS!$A$2:$H$252,4,0)*J163,"")</f>
        <v>0</v>
      </c>
      <c r="L163" s="26">
        <f t="shared" si="3"/>
        <v>0</v>
      </c>
      <c r="M163" s="27"/>
      <c r="N163" s="30"/>
      <c r="O163" s="28"/>
      <c r="P163" s="28"/>
      <c r="Q163" s="28"/>
      <c r="R163" s="28"/>
      <c r="S163" s="28"/>
    </row>
    <row r="164">
      <c r="A164" s="17">
        <v>45386.0</v>
      </c>
      <c r="B164" s="18" t="s">
        <v>26</v>
      </c>
      <c r="C164" s="18" t="s">
        <v>19</v>
      </c>
      <c r="D164" s="19"/>
      <c r="E164" s="19"/>
      <c r="F164" s="20">
        <f t="shared" si="2"/>
        <v>0</v>
      </c>
      <c r="G164" s="21">
        <f>IFERROR(VLOOKUP(B164,DADOS!$A$2:$H$252,8,0),"")</f>
        <v>50</v>
      </c>
      <c r="H164" s="22">
        <v>26.0</v>
      </c>
      <c r="I164" s="23">
        <f>IFERROR(VLOOKUP(B164,DADOS!$A$2:$H$252,4,0)*H164,"")</f>
        <v>2.9622736</v>
      </c>
      <c r="J164" s="24">
        <v>1.0</v>
      </c>
      <c r="K164" s="25">
        <f>IFERROR(VLOOKUP(B164,DADOS!$A$2:$H$252,4,0)*J164,"")</f>
        <v>0.1139336</v>
      </c>
      <c r="L164" s="26">
        <f t="shared" si="3"/>
        <v>0.03846153846</v>
      </c>
      <c r="M164" s="27"/>
      <c r="N164" s="30"/>
      <c r="O164" s="28"/>
      <c r="P164" s="28"/>
      <c r="Q164" s="28"/>
      <c r="R164" s="28"/>
      <c r="S164" s="28"/>
    </row>
    <row r="165">
      <c r="A165" s="17">
        <v>45386.0</v>
      </c>
      <c r="B165" s="18" t="s">
        <v>25</v>
      </c>
      <c r="C165" s="18" t="s">
        <v>52</v>
      </c>
      <c r="D165" s="19"/>
      <c r="E165" s="19"/>
      <c r="F165" s="20">
        <f t="shared" si="2"/>
        <v>0</v>
      </c>
      <c r="G165" s="21">
        <f>IFERROR(VLOOKUP(B165,DADOS!$A$2:$H$252,8,0),"")</f>
        <v>40</v>
      </c>
      <c r="H165" s="22">
        <v>27.0</v>
      </c>
      <c r="I165" s="23">
        <f>IFERROR(VLOOKUP(B165,DADOS!$A$2:$H$252,4,0)*H165,"")</f>
        <v>2.796552</v>
      </c>
      <c r="J165" s="24">
        <v>0.0</v>
      </c>
      <c r="K165" s="25">
        <f>IFERROR(VLOOKUP(B165,DADOS!$A$2:$H$252,4,0)*J165,"")</f>
        <v>0</v>
      </c>
      <c r="L165" s="26">
        <f t="shared" si="3"/>
        <v>0</v>
      </c>
      <c r="M165" s="27"/>
      <c r="N165" s="30"/>
      <c r="O165" s="28"/>
      <c r="P165" s="28"/>
      <c r="Q165" s="28"/>
      <c r="R165" s="28"/>
      <c r="S165" s="28"/>
    </row>
    <row r="166">
      <c r="A166" s="17">
        <v>45386.0</v>
      </c>
      <c r="B166" s="18" t="s">
        <v>54</v>
      </c>
      <c r="C166" s="18" t="s">
        <v>52</v>
      </c>
      <c r="D166" s="19"/>
      <c r="E166" s="19"/>
      <c r="F166" s="20">
        <f t="shared" si="2"/>
        <v>0</v>
      </c>
      <c r="G166" s="21" t="str">
        <f>IFERROR(VLOOKUP(B166,DADOS!$A$2:$H$252,8,0),"")</f>
        <v/>
      </c>
      <c r="H166" s="22">
        <v>6.0</v>
      </c>
      <c r="I166" s="23">
        <f>IFERROR(VLOOKUP(B166,DADOS!$A$2:$H$252,4,0)*H166,"")</f>
        <v>8.4144372</v>
      </c>
      <c r="J166" s="24">
        <v>0.0</v>
      </c>
      <c r="K166" s="25">
        <f>IFERROR(VLOOKUP(B166,DADOS!$A$2:$H$252,4,0)*J166,"")</f>
        <v>0</v>
      </c>
      <c r="L166" s="26">
        <f t="shared" si="3"/>
        <v>0</v>
      </c>
      <c r="M166" s="27"/>
      <c r="N166" s="30"/>
      <c r="O166" s="28"/>
      <c r="P166" s="28"/>
      <c r="Q166" s="28"/>
      <c r="R166" s="28"/>
      <c r="S166" s="28"/>
    </row>
    <row r="167">
      <c r="A167" s="17">
        <v>45386.0</v>
      </c>
      <c r="B167" s="18" t="s">
        <v>33</v>
      </c>
      <c r="C167" s="18" t="s">
        <v>52</v>
      </c>
      <c r="D167" s="19"/>
      <c r="E167" s="19"/>
      <c r="F167" s="20">
        <f t="shared" si="2"/>
        <v>0</v>
      </c>
      <c r="G167" s="21">
        <f>IFERROR(VLOOKUP(B167,DADOS!$A$2:$H$252,8,0),"")</f>
        <v>7</v>
      </c>
      <c r="H167" s="22">
        <v>5.0</v>
      </c>
      <c r="I167" s="23">
        <f>IFERROR(VLOOKUP(B167,DADOS!$A$2:$H$252,4,0)*H167,"")</f>
        <v>7.012031</v>
      </c>
      <c r="J167" s="24">
        <v>0.0</v>
      </c>
      <c r="K167" s="25">
        <f>IFERROR(VLOOKUP(B167,DADOS!$A$2:$H$252,4,0)*J167,"")</f>
        <v>0</v>
      </c>
      <c r="L167" s="26">
        <f t="shared" si="3"/>
        <v>0</v>
      </c>
      <c r="M167" s="27"/>
      <c r="N167" s="30"/>
      <c r="O167" s="28"/>
      <c r="P167" s="28"/>
      <c r="Q167" s="28"/>
      <c r="R167" s="28"/>
      <c r="S167" s="28"/>
    </row>
    <row r="168">
      <c r="A168" s="17">
        <v>45386.0</v>
      </c>
      <c r="B168" s="18" t="s">
        <v>72</v>
      </c>
      <c r="C168" s="18" t="s">
        <v>80</v>
      </c>
      <c r="D168" s="19"/>
      <c r="E168" s="19"/>
      <c r="F168" s="20">
        <f t="shared" si="2"/>
        <v>0</v>
      </c>
      <c r="G168" s="21">
        <f>IFERROR(VLOOKUP(B168,DADOS!$A$2:$H$252,8,0),"")</f>
        <v>43</v>
      </c>
      <c r="H168" s="35"/>
      <c r="I168" s="23">
        <f>IFERROR(VLOOKUP(B168,DADOS!$A$2:$H$252,4,0)*H168,"")</f>
        <v>0</v>
      </c>
      <c r="J168" s="24">
        <v>8.0</v>
      </c>
      <c r="K168" s="25">
        <f>IFERROR(VLOOKUP(B168,DADOS!$A$2:$H$252,4,0)*J168,"")</f>
        <v>0.13696</v>
      </c>
      <c r="L168" s="26">
        <f t="shared" si="3"/>
        <v>0.01712</v>
      </c>
      <c r="M168" s="30" t="s">
        <v>39</v>
      </c>
      <c r="N168" s="33" t="s">
        <v>90</v>
      </c>
      <c r="O168" s="28"/>
      <c r="P168" s="28"/>
      <c r="Q168" s="28"/>
      <c r="R168" s="28"/>
      <c r="S168" s="28"/>
    </row>
    <row r="169">
      <c r="A169" s="17">
        <v>45386.0</v>
      </c>
      <c r="B169" s="18" t="s">
        <v>27</v>
      </c>
      <c r="C169" s="18" t="s">
        <v>80</v>
      </c>
      <c r="D169" s="19"/>
      <c r="E169" s="19"/>
      <c r="F169" s="20">
        <f t="shared" si="2"/>
        <v>0</v>
      </c>
      <c r="G169" s="21">
        <f>IFERROR(VLOOKUP(B169,DADOS!$A$2:$H$252,8,0),"")</f>
        <v>30</v>
      </c>
      <c r="H169" s="35"/>
      <c r="I169" s="23">
        <f>IFERROR(VLOOKUP(B169,DADOS!$A$2:$H$252,4,0)*H169,"")</f>
        <v>0</v>
      </c>
      <c r="J169" s="24">
        <v>15.0</v>
      </c>
      <c r="K169" s="25">
        <f>IFERROR(VLOOKUP(B169,DADOS!$A$2:$H$252,4,0)*J169,"")</f>
        <v>0.2568</v>
      </c>
      <c r="L169" s="26">
        <f t="shared" si="3"/>
        <v>0.01712</v>
      </c>
      <c r="M169" s="30" t="s">
        <v>39</v>
      </c>
      <c r="N169" s="33" t="s">
        <v>91</v>
      </c>
      <c r="O169" s="28"/>
      <c r="P169" s="28"/>
      <c r="Q169" s="28"/>
      <c r="R169" s="28"/>
      <c r="S169" s="28"/>
    </row>
    <row r="170">
      <c r="A170" s="17">
        <v>45387.0</v>
      </c>
      <c r="B170" s="18" t="s">
        <v>72</v>
      </c>
      <c r="C170" s="18" t="s">
        <v>17</v>
      </c>
      <c r="D170" s="19"/>
      <c r="E170" s="19"/>
      <c r="F170" s="20">
        <f t="shared" si="2"/>
        <v>0</v>
      </c>
      <c r="G170" s="21">
        <f>IFERROR(VLOOKUP(B170,DADOS!$A$2:$H$252,8,0),"")</f>
        <v>43</v>
      </c>
      <c r="H170" s="22">
        <v>306.0</v>
      </c>
      <c r="I170" s="23">
        <f>IFERROR(VLOOKUP(B170,DADOS!$A$2:$H$252,4,0)*H170,"")</f>
        <v>5.23872</v>
      </c>
      <c r="J170" s="24">
        <v>5.0</v>
      </c>
      <c r="K170" s="25">
        <f>IFERROR(VLOOKUP(B170,DADOS!$A$2:$H$252,4,0)*J170,"")</f>
        <v>0.0856</v>
      </c>
      <c r="L170" s="26">
        <f t="shared" si="3"/>
        <v>0.01633986928</v>
      </c>
      <c r="M170" s="27"/>
      <c r="N170" s="30"/>
      <c r="O170" s="28"/>
      <c r="P170" s="28"/>
      <c r="Q170" s="28"/>
      <c r="R170" s="28"/>
      <c r="S170" s="28"/>
    </row>
    <row r="171">
      <c r="A171" s="17">
        <v>45387.0</v>
      </c>
      <c r="B171" s="18" t="s">
        <v>25</v>
      </c>
      <c r="C171" s="18" t="s">
        <v>19</v>
      </c>
      <c r="D171" s="19"/>
      <c r="E171" s="19"/>
      <c r="F171" s="20">
        <f t="shared" si="2"/>
        <v>0</v>
      </c>
      <c r="G171" s="21">
        <f>IFERROR(VLOOKUP(B171,DADOS!$A$2:$H$252,8,0),"")</f>
        <v>40</v>
      </c>
      <c r="H171" s="22">
        <v>24.0</v>
      </c>
      <c r="I171" s="23">
        <f>IFERROR(VLOOKUP(B171,DADOS!$A$2:$H$252,4,0)*H171,"")</f>
        <v>2.485824</v>
      </c>
      <c r="J171" s="24">
        <v>1.0</v>
      </c>
      <c r="K171" s="25">
        <f>IFERROR(VLOOKUP(B171,DADOS!$A$2:$H$252,4,0)*J171,"")</f>
        <v>0.103576</v>
      </c>
      <c r="L171" s="26">
        <f t="shared" si="3"/>
        <v>0.04166666667</v>
      </c>
      <c r="M171" s="27"/>
      <c r="N171" s="30"/>
      <c r="O171" s="28"/>
      <c r="P171" s="28"/>
      <c r="Q171" s="28"/>
      <c r="R171" s="28"/>
      <c r="S171" s="28"/>
    </row>
    <row r="172">
      <c r="A172" s="17">
        <v>45387.0</v>
      </c>
      <c r="B172" s="18" t="s">
        <v>26</v>
      </c>
      <c r="C172" s="18" t="s">
        <v>19</v>
      </c>
      <c r="D172" s="19"/>
      <c r="E172" s="19"/>
      <c r="F172" s="20">
        <f t="shared" si="2"/>
        <v>0</v>
      </c>
      <c r="G172" s="21">
        <f>IFERROR(VLOOKUP(B172,DADOS!$A$2:$H$252,8,0),"")</f>
        <v>50</v>
      </c>
      <c r="H172" s="22">
        <v>23.0</v>
      </c>
      <c r="I172" s="23">
        <f>IFERROR(VLOOKUP(B172,DADOS!$A$2:$H$252,4,0)*H172,"")</f>
        <v>2.6204728</v>
      </c>
      <c r="J172" s="24">
        <v>1.0</v>
      </c>
      <c r="K172" s="25">
        <f>IFERROR(VLOOKUP(B172,DADOS!$A$2:$H$252,4,0)*J172,"")</f>
        <v>0.1139336</v>
      </c>
      <c r="L172" s="26">
        <f t="shared" si="3"/>
        <v>0.04347826087</v>
      </c>
      <c r="M172" s="27"/>
      <c r="N172" s="30"/>
      <c r="O172" s="28"/>
      <c r="P172" s="28"/>
      <c r="Q172" s="28"/>
      <c r="R172" s="28"/>
      <c r="S172" s="28"/>
    </row>
    <row r="173">
      <c r="A173" s="17">
        <v>45388.0</v>
      </c>
      <c r="B173" s="18" t="s">
        <v>54</v>
      </c>
      <c r="C173" s="18" t="s">
        <v>23</v>
      </c>
      <c r="D173" s="19"/>
      <c r="E173" s="19"/>
      <c r="F173" s="20">
        <f t="shared" si="2"/>
        <v>0</v>
      </c>
      <c r="G173" s="21" t="str">
        <f>IFERROR(VLOOKUP(B173,DADOS!$A$2:$H$252,8,0),"")</f>
        <v/>
      </c>
      <c r="H173" s="22">
        <v>40.0</v>
      </c>
      <c r="I173" s="23">
        <f>IFERROR(VLOOKUP(B173,DADOS!$A$2:$H$252,4,0)*H173,"")</f>
        <v>56.096248</v>
      </c>
      <c r="J173" s="24">
        <v>0.0</v>
      </c>
      <c r="K173" s="25">
        <f>IFERROR(VLOOKUP(B173,DADOS!$A$2:$H$252,4,0)*J173,"")</f>
        <v>0</v>
      </c>
      <c r="L173" s="26">
        <f t="shared" si="3"/>
        <v>0</v>
      </c>
      <c r="M173" s="27"/>
      <c r="N173" s="30"/>
      <c r="O173" s="28"/>
      <c r="P173" s="28"/>
      <c r="Q173" s="28"/>
      <c r="R173" s="28"/>
      <c r="S173" s="28"/>
    </row>
    <row r="174">
      <c r="A174" s="17">
        <v>45388.0</v>
      </c>
      <c r="B174" s="18" t="s">
        <v>33</v>
      </c>
      <c r="C174" s="18" t="s">
        <v>23</v>
      </c>
      <c r="D174" s="19"/>
      <c r="E174" s="19"/>
      <c r="F174" s="20">
        <f t="shared" si="2"/>
        <v>0</v>
      </c>
      <c r="G174" s="21">
        <f>IFERROR(VLOOKUP(B174,DADOS!$A$2:$H$252,8,0),"")</f>
        <v>7</v>
      </c>
      <c r="H174" s="22">
        <v>39.0</v>
      </c>
      <c r="I174" s="23">
        <f>IFERROR(VLOOKUP(B174,DADOS!$A$2:$H$252,4,0)*H174,"")</f>
        <v>54.6938418</v>
      </c>
      <c r="J174" s="24">
        <v>1.0</v>
      </c>
      <c r="K174" s="25">
        <f>IFERROR(VLOOKUP(B174,DADOS!$A$2:$H$252,4,0)*J174,"")</f>
        <v>1.4024062</v>
      </c>
      <c r="L174" s="26">
        <f t="shared" si="3"/>
        <v>0.02564102564</v>
      </c>
      <c r="M174" s="27"/>
      <c r="N174" s="30"/>
      <c r="O174" s="28"/>
      <c r="P174" s="28"/>
      <c r="Q174" s="28"/>
      <c r="R174" s="28"/>
      <c r="S174" s="28"/>
    </row>
    <row r="175">
      <c r="A175" s="17">
        <v>45390.0</v>
      </c>
      <c r="B175" s="18" t="s">
        <v>92</v>
      </c>
      <c r="C175" s="18" t="s">
        <v>17</v>
      </c>
      <c r="D175" s="19">
        <v>0.3472222222222222</v>
      </c>
      <c r="E175" s="19">
        <v>0.6666666666666666</v>
      </c>
      <c r="F175" s="20">
        <f t="shared" si="2"/>
        <v>0.3194444444</v>
      </c>
      <c r="G175" s="21">
        <f>IFERROR(VLOOKUP(B175,DADOS!$A$2:$H$252,8,0),"")</f>
        <v>100</v>
      </c>
      <c r="H175" s="22">
        <v>310.0</v>
      </c>
      <c r="I175" s="23">
        <f>IFERROR(VLOOKUP(B175,DADOS!$A$2:$H$252,4,0)*H175,"")</f>
        <v>7.848022</v>
      </c>
      <c r="J175" s="24">
        <v>0.0</v>
      </c>
      <c r="K175" s="25">
        <f>IFERROR(VLOOKUP(B175,DADOS!$A$2:$H$252,4,0)*J175,"")</f>
        <v>0</v>
      </c>
      <c r="L175" s="26">
        <f t="shared" si="3"/>
        <v>0</v>
      </c>
      <c r="M175" s="27"/>
      <c r="N175" s="30"/>
      <c r="O175" s="28"/>
      <c r="P175" s="28"/>
      <c r="Q175" s="28"/>
      <c r="R175" s="28"/>
      <c r="S175" s="28"/>
    </row>
    <row r="176">
      <c r="A176" s="17">
        <v>45390.0</v>
      </c>
      <c r="B176" s="18" t="s">
        <v>25</v>
      </c>
      <c r="C176" s="18" t="s">
        <v>19</v>
      </c>
      <c r="D176" s="19">
        <v>0.3506944444444444</v>
      </c>
      <c r="E176" s="19">
        <v>0.4534722222222222</v>
      </c>
      <c r="F176" s="20">
        <f t="shared" si="2"/>
        <v>0.1027777778</v>
      </c>
      <c r="G176" s="21">
        <f>IFERROR(VLOOKUP(B176,DADOS!$A$2:$H$252,8,0),"")</f>
        <v>40</v>
      </c>
      <c r="H176" s="22">
        <v>99.0</v>
      </c>
      <c r="I176" s="23">
        <f>IFERROR(VLOOKUP(B176,DADOS!$A$2:$H$252,4,0)*H176,"")</f>
        <v>10.254024</v>
      </c>
      <c r="J176" s="24">
        <v>1.0</v>
      </c>
      <c r="K176" s="25">
        <f>IFERROR(VLOOKUP(B176,DADOS!$A$2:$H$252,4,0)*J176,"")</f>
        <v>0.103576</v>
      </c>
      <c r="L176" s="26">
        <f t="shared" si="3"/>
        <v>0.0101010101</v>
      </c>
      <c r="M176" s="27"/>
      <c r="N176" s="30"/>
      <c r="O176" s="28"/>
      <c r="P176" s="28"/>
      <c r="Q176" s="28"/>
      <c r="R176" s="28"/>
      <c r="S176" s="28"/>
    </row>
    <row r="177">
      <c r="A177" s="17">
        <v>45390.0</v>
      </c>
      <c r="B177" s="18" t="s">
        <v>26</v>
      </c>
      <c r="C177" s="18" t="s">
        <v>19</v>
      </c>
      <c r="D177" s="19">
        <v>0.4548611111111111</v>
      </c>
      <c r="E177" s="19">
        <v>0.4965277777777778</v>
      </c>
      <c r="F177" s="20">
        <f t="shared" si="2"/>
        <v>0.04166666667</v>
      </c>
      <c r="G177" s="21">
        <f>IFERROR(VLOOKUP(B177,DADOS!$A$2:$H$252,8,0),"")</f>
        <v>50</v>
      </c>
      <c r="H177" s="22">
        <v>59.0</v>
      </c>
      <c r="I177" s="23">
        <f>IFERROR(VLOOKUP(B177,DADOS!$A$2:$H$252,4,0)*H177,"")</f>
        <v>6.7220824</v>
      </c>
      <c r="J177" s="24">
        <v>4.0</v>
      </c>
      <c r="K177" s="25">
        <f>IFERROR(VLOOKUP(B177,DADOS!$A$2:$H$252,4,0)*J177,"")</f>
        <v>0.4557344</v>
      </c>
      <c r="L177" s="26">
        <f t="shared" si="3"/>
        <v>0.06779661017</v>
      </c>
      <c r="M177" s="27"/>
      <c r="N177" s="30"/>
      <c r="O177" s="28"/>
      <c r="P177" s="28"/>
      <c r="Q177" s="28"/>
      <c r="R177" s="28"/>
      <c r="S177" s="28"/>
    </row>
    <row r="178">
      <c r="A178" s="17">
        <v>45390.0</v>
      </c>
      <c r="B178" s="18" t="s">
        <v>26</v>
      </c>
      <c r="C178" s="18" t="s">
        <v>19</v>
      </c>
      <c r="D178" s="19"/>
      <c r="E178" s="19"/>
      <c r="F178" s="20">
        <f t="shared" si="2"/>
        <v>0</v>
      </c>
      <c r="G178" s="21">
        <f>IFERROR(VLOOKUP(B178,DADOS!$A$2:$H$252,8,0),"")</f>
        <v>50</v>
      </c>
      <c r="H178" s="22">
        <v>36.0</v>
      </c>
      <c r="I178" s="23">
        <f>IFERROR(VLOOKUP(B178,DADOS!$A$2:$H$252,4,0)*H178,"")</f>
        <v>4.1016096</v>
      </c>
      <c r="J178" s="24">
        <v>0.0</v>
      </c>
      <c r="K178" s="25">
        <f>IFERROR(VLOOKUP(B178,DADOS!$A$2:$H$252,4,0)*J178,"")</f>
        <v>0</v>
      </c>
      <c r="L178" s="26">
        <f t="shared" si="3"/>
        <v>0</v>
      </c>
      <c r="M178" s="27"/>
      <c r="N178" s="30"/>
      <c r="O178" s="28"/>
      <c r="P178" s="28"/>
      <c r="Q178" s="28"/>
      <c r="R178" s="28"/>
      <c r="S178" s="28"/>
    </row>
    <row r="179">
      <c r="A179" s="17">
        <v>45391.0</v>
      </c>
      <c r="B179" s="18" t="s">
        <v>92</v>
      </c>
      <c r="C179" s="18" t="s">
        <v>17</v>
      </c>
      <c r="D179" s="19">
        <v>0.325</v>
      </c>
      <c r="E179" s="19">
        <v>0.4097222222222222</v>
      </c>
      <c r="F179" s="20">
        <f t="shared" si="2"/>
        <v>0.08472222222</v>
      </c>
      <c r="G179" s="21">
        <f>IFERROR(VLOOKUP(B179,DADOS!$A$2:$H$252,8,0),"")</f>
        <v>100</v>
      </c>
      <c r="H179" s="22">
        <v>200.0</v>
      </c>
      <c r="I179" s="23">
        <f>IFERROR(VLOOKUP(B179,DADOS!$A$2:$H$252,4,0)*H179,"")</f>
        <v>5.06324</v>
      </c>
      <c r="J179" s="36"/>
      <c r="K179" s="25">
        <f>IFERROR(VLOOKUP(B179,DADOS!$A$2:$H$252,4,0)*J179,"")</f>
        <v>0</v>
      </c>
      <c r="L179" s="26">
        <f t="shared" si="3"/>
        <v>0</v>
      </c>
      <c r="M179" s="27"/>
      <c r="N179" s="30"/>
      <c r="O179" s="28"/>
      <c r="P179" s="28"/>
      <c r="Q179" s="28"/>
      <c r="R179" s="28"/>
      <c r="S179" s="28"/>
    </row>
    <row r="180">
      <c r="A180" s="17">
        <v>45391.0</v>
      </c>
      <c r="B180" s="18" t="s">
        <v>18</v>
      </c>
      <c r="C180" s="18" t="s">
        <v>19</v>
      </c>
      <c r="D180" s="19">
        <v>0.3263888888888889</v>
      </c>
      <c r="E180" s="19">
        <v>0.3993055555555556</v>
      </c>
      <c r="F180" s="20">
        <f t="shared" si="2"/>
        <v>0.07291666667</v>
      </c>
      <c r="G180" s="21">
        <f>IFERROR(VLOOKUP(B180,DADOS!$A$2:$H$252,8,0),"")</f>
        <v>21</v>
      </c>
      <c r="H180" s="22">
        <v>48.0</v>
      </c>
      <c r="I180" s="23">
        <f>IFERROR(VLOOKUP(B180,DADOS!$A$2:$H$252,4,0)*H180,"")</f>
        <v>14.062368</v>
      </c>
      <c r="J180" s="24">
        <v>0.0</v>
      </c>
      <c r="K180" s="25">
        <f>IFERROR(VLOOKUP(B180,DADOS!$A$2:$H$252,4,0)*J180,"")</f>
        <v>0</v>
      </c>
      <c r="L180" s="26">
        <f t="shared" si="3"/>
        <v>0</v>
      </c>
      <c r="M180" s="27"/>
      <c r="N180" s="30"/>
      <c r="O180" s="28"/>
      <c r="P180" s="28"/>
      <c r="Q180" s="28"/>
      <c r="R180" s="28"/>
      <c r="S180" s="28"/>
    </row>
    <row r="181">
      <c r="A181" s="17">
        <v>45391.0</v>
      </c>
      <c r="B181" s="18" t="s">
        <v>93</v>
      </c>
      <c r="C181" s="18" t="s">
        <v>19</v>
      </c>
      <c r="D181" s="19">
        <v>0.40694444444444444</v>
      </c>
      <c r="E181" s="19">
        <v>0.46597222222222223</v>
      </c>
      <c r="F181" s="20">
        <f t="shared" si="2"/>
        <v>0.05902777778</v>
      </c>
      <c r="G181" s="21" t="str">
        <f>IFERROR(VLOOKUP(B181,DADOS!$A$2:$H$252,8,0),"")</f>
        <v/>
      </c>
      <c r="H181" s="22">
        <v>61.0</v>
      </c>
      <c r="I181" s="23" t="str">
        <f>IFERROR(VLOOKUP(B181,DADOS!$A$2:$H$252,4,0)*H181,"")</f>
        <v/>
      </c>
      <c r="J181" s="24">
        <v>0.0</v>
      </c>
      <c r="K181" s="25" t="str">
        <f>IFERROR(VLOOKUP(B181,DADOS!$A$2:$H$252,4,0)*J181,"")</f>
        <v/>
      </c>
      <c r="L181" s="26" t="str">
        <f t="shared" si="3"/>
        <v/>
      </c>
      <c r="M181" s="27"/>
      <c r="N181" s="30"/>
      <c r="O181" s="28"/>
      <c r="P181" s="28"/>
      <c r="Q181" s="28"/>
      <c r="R181" s="28"/>
      <c r="S181" s="28"/>
    </row>
    <row r="182">
      <c r="A182" s="17">
        <v>45392.0</v>
      </c>
      <c r="B182" s="18" t="s">
        <v>27</v>
      </c>
      <c r="C182" s="18" t="s">
        <v>17</v>
      </c>
      <c r="D182" s="19"/>
      <c r="E182" s="19"/>
      <c r="F182" s="20">
        <f t="shared" si="2"/>
        <v>0</v>
      </c>
      <c r="G182" s="21">
        <f>IFERROR(VLOOKUP(B182,DADOS!$A$2:$H$252,8,0),"")</f>
        <v>30</v>
      </c>
      <c r="H182" s="22">
        <v>163.0</v>
      </c>
      <c r="I182" s="23">
        <f>IFERROR(VLOOKUP(B182,DADOS!$A$2:$H$252,4,0)*H182,"")</f>
        <v>2.79056</v>
      </c>
      <c r="J182" s="24">
        <v>17.0</v>
      </c>
      <c r="K182" s="25">
        <f>IFERROR(VLOOKUP(B182,DADOS!$A$2:$H$252,4,0)*J182,"")</f>
        <v>0.29104</v>
      </c>
      <c r="L182" s="26">
        <f t="shared" si="3"/>
        <v>0.1042944785</v>
      </c>
      <c r="M182" s="30" t="s">
        <v>39</v>
      </c>
      <c r="N182" s="33" t="s">
        <v>40</v>
      </c>
      <c r="O182" s="28"/>
      <c r="P182" s="28"/>
      <c r="Q182" s="28"/>
      <c r="R182" s="28"/>
      <c r="S182" s="28"/>
    </row>
    <row r="183">
      <c r="A183" s="17">
        <v>45392.0</v>
      </c>
      <c r="B183" s="18" t="s">
        <v>21</v>
      </c>
      <c r="C183" s="18" t="s">
        <v>19</v>
      </c>
      <c r="D183" s="19"/>
      <c r="E183" s="19"/>
      <c r="F183" s="20">
        <f t="shared" si="2"/>
        <v>0</v>
      </c>
      <c r="G183" s="21">
        <f>IFERROR(VLOOKUP(B183,DADOS!$A$2:$H$252,8,0),"")</f>
        <v>33</v>
      </c>
      <c r="H183" s="22">
        <v>3.0</v>
      </c>
      <c r="I183" s="23">
        <f>IFERROR(VLOOKUP(B183,DADOS!$A$2:$H$252,4,0)*H183,"")</f>
        <v>0.3418008</v>
      </c>
      <c r="J183" s="24">
        <v>4.0</v>
      </c>
      <c r="K183" s="25">
        <f>IFERROR(VLOOKUP(B183,DADOS!$A$2:$H$252,4,0)*J183,"")</f>
        <v>0.4557344</v>
      </c>
      <c r="L183" s="26">
        <f t="shared" si="3"/>
        <v>1.333333333</v>
      </c>
      <c r="M183" s="27"/>
      <c r="N183" s="30"/>
      <c r="O183" s="28"/>
      <c r="P183" s="28"/>
      <c r="Q183" s="28"/>
      <c r="R183" s="28"/>
      <c r="S183" s="28"/>
    </row>
    <row r="184">
      <c r="A184" s="17">
        <v>45392.0</v>
      </c>
      <c r="B184" s="18" t="s">
        <v>24</v>
      </c>
      <c r="C184" s="18" t="s">
        <v>19</v>
      </c>
      <c r="D184" s="19"/>
      <c r="E184" s="19"/>
      <c r="F184" s="20">
        <f t="shared" si="2"/>
        <v>0</v>
      </c>
      <c r="G184" s="21">
        <f>IFERROR(VLOOKUP(B184,DADOS!$A$2:$H$252,8,0),"")</f>
        <v>37</v>
      </c>
      <c r="H184" s="22">
        <v>1.0</v>
      </c>
      <c r="I184" s="23">
        <f>IFERROR(VLOOKUP(B184,DADOS!$A$2:$H$252,4,0)*H184,"")</f>
        <v>0.1139336</v>
      </c>
      <c r="J184" s="36"/>
      <c r="K184" s="25">
        <f>IFERROR(VLOOKUP(B184,DADOS!$A$2:$H$252,4,0)*J184,"")</f>
        <v>0</v>
      </c>
      <c r="L184" s="26">
        <f t="shared" si="3"/>
        <v>0</v>
      </c>
      <c r="M184" s="27"/>
      <c r="N184" s="30"/>
      <c r="O184" s="28"/>
      <c r="P184" s="28"/>
      <c r="Q184" s="28"/>
      <c r="R184" s="28"/>
      <c r="S184" s="28"/>
    </row>
    <row r="185">
      <c r="A185" s="17">
        <v>45393.0</v>
      </c>
      <c r="B185" s="18" t="s">
        <v>27</v>
      </c>
      <c r="C185" s="18" t="s">
        <v>17</v>
      </c>
      <c r="D185" s="19">
        <v>0.3611111111111111</v>
      </c>
      <c r="E185" s="19">
        <v>0.6527777777777778</v>
      </c>
      <c r="F185" s="20">
        <f t="shared" si="2"/>
        <v>0.2916666667</v>
      </c>
      <c r="G185" s="21">
        <f>IFERROR(VLOOKUP(B185,DADOS!$A$2:$H$252,8,0),"")</f>
        <v>30</v>
      </c>
      <c r="H185" s="22">
        <v>174.0</v>
      </c>
      <c r="I185" s="23">
        <f>IFERROR(VLOOKUP(B185,DADOS!$A$2:$H$252,4,0)*H185,"")</f>
        <v>2.97888</v>
      </c>
      <c r="J185" s="24">
        <v>11.0</v>
      </c>
      <c r="K185" s="25">
        <f>IFERROR(VLOOKUP(B185,DADOS!$A$2:$H$252,4,0)*J185,"")</f>
        <v>0.18832</v>
      </c>
      <c r="L185" s="26">
        <f t="shared" si="3"/>
        <v>0.0632183908</v>
      </c>
      <c r="M185" s="27"/>
      <c r="N185" s="30"/>
      <c r="O185" s="28"/>
      <c r="P185" s="28"/>
      <c r="Q185" s="28"/>
      <c r="R185" s="28"/>
      <c r="S185" s="28"/>
    </row>
    <row r="186">
      <c r="A186" s="17">
        <v>45393.0</v>
      </c>
      <c r="B186" s="18" t="s">
        <v>21</v>
      </c>
      <c r="C186" s="18" t="s">
        <v>19</v>
      </c>
      <c r="D186" s="19">
        <v>0.36041666666666666</v>
      </c>
      <c r="E186" s="19">
        <v>0.38055555555555554</v>
      </c>
      <c r="F186" s="20">
        <f t="shared" si="2"/>
        <v>0.02013888889</v>
      </c>
      <c r="G186" s="21">
        <f>IFERROR(VLOOKUP(B186,DADOS!$A$2:$H$252,8,0),"")</f>
        <v>33</v>
      </c>
      <c r="H186" s="22">
        <v>17.0</v>
      </c>
      <c r="I186" s="23">
        <f>IFERROR(VLOOKUP(B186,DADOS!$A$2:$H$252,4,0)*H186,"")</f>
        <v>1.9368712</v>
      </c>
      <c r="J186" s="24">
        <v>1.0</v>
      </c>
      <c r="K186" s="25">
        <f>IFERROR(VLOOKUP(B186,DADOS!$A$2:$H$252,4,0)*J186,"")</f>
        <v>0.1139336</v>
      </c>
      <c r="L186" s="26">
        <f t="shared" si="3"/>
        <v>0.05882352941</v>
      </c>
      <c r="M186" s="27"/>
      <c r="N186" s="30"/>
      <c r="O186" s="28"/>
      <c r="P186" s="28"/>
      <c r="Q186" s="28"/>
      <c r="R186" s="28"/>
      <c r="S186" s="28"/>
    </row>
    <row r="187">
      <c r="A187" s="17">
        <v>45393.0</v>
      </c>
      <c r="B187" s="18" t="s">
        <v>24</v>
      </c>
      <c r="C187" s="18" t="s">
        <v>19</v>
      </c>
      <c r="D187" s="19">
        <v>0.3909722222222222</v>
      </c>
      <c r="E187" s="19">
        <v>0.45</v>
      </c>
      <c r="F187" s="20">
        <f t="shared" si="2"/>
        <v>0.05902777778</v>
      </c>
      <c r="G187" s="21">
        <f>IFERROR(VLOOKUP(B187,DADOS!$A$2:$H$252,8,0),"")</f>
        <v>37</v>
      </c>
      <c r="H187" s="22">
        <v>40.0</v>
      </c>
      <c r="I187" s="23">
        <f>IFERROR(VLOOKUP(B187,DADOS!$A$2:$H$252,4,0)*H187,"")</f>
        <v>4.557344</v>
      </c>
      <c r="J187" s="24">
        <v>1.0</v>
      </c>
      <c r="K187" s="25">
        <f>IFERROR(VLOOKUP(B187,DADOS!$A$2:$H$252,4,0)*J187,"")</f>
        <v>0.1139336</v>
      </c>
      <c r="L187" s="26">
        <f t="shared" si="3"/>
        <v>0.025</v>
      </c>
      <c r="M187" s="27"/>
      <c r="N187" s="30"/>
      <c r="O187" s="28"/>
      <c r="P187" s="28"/>
      <c r="Q187" s="28"/>
      <c r="R187" s="28"/>
      <c r="S187" s="28"/>
    </row>
    <row r="188">
      <c r="A188" s="17">
        <v>45394.0</v>
      </c>
      <c r="B188" s="18" t="s">
        <v>94</v>
      </c>
      <c r="C188" s="18" t="s">
        <v>17</v>
      </c>
      <c r="D188" s="19">
        <v>0.6013888888888889</v>
      </c>
      <c r="E188" s="19">
        <v>0.65</v>
      </c>
      <c r="F188" s="20">
        <f t="shared" si="2"/>
        <v>0.04861111111</v>
      </c>
      <c r="G188" s="21">
        <f>IFERROR(VLOOKUP(B188,DADOS!$A$2:$H$252,8,0),"")</f>
        <v>100</v>
      </c>
      <c r="H188" s="22">
        <v>64.0</v>
      </c>
      <c r="I188" s="23">
        <f>IFERROR(VLOOKUP(B188,DADOS!$A$2:$H$252,4,0)*H188,"")</f>
        <v>2.4159744</v>
      </c>
      <c r="J188" s="24">
        <v>5.0</v>
      </c>
      <c r="K188" s="25">
        <f>IFERROR(VLOOKUP(B188,DADOS!$A$2:$H$252,4,0)*J188,"")</f>
        <v>0.188748</v>
      </c>
      <c r="L188" s="26">
        <f t="shared" si="3"/>
        <v>0.078125</v>
      </c>
      <c r="M188" s="30" t="s">
        <v>39</v>
      </c>
      <c r="N188" s="33" t="s">
        <v>40</v>
      </c>
      <c r="O188" s="28"/>
      <c r="P188" s="28"/>
      <c r="Q188" s="28"/>
      <c r="R188" s="28"/>
      <c r="S188" s="28"/>
    </row>
    <row r="189">
      <c r="A189" s="17">
        <v>45394.0</v>
      </c>
      <c r="B189" s="18" t="s">
        <v>57</v>
      </c>
      <c r="C189" s="18" t="s">
        <v>17</v>
      </c>
      <c r="D189" s="19">
        <v>0.3423611111111111</v>
      </c>
      <c r="E189" s="19">
        <v>0.43472222222222223</v>
      </c>
      <c r="F189" s="20">
        <f t="shared" si="2"/>
        <v>0.09236111111</v>
      </c>
      <c r="G189" s="21">
        <f>IFERROR(VLOOKUP(B189,DADOS!$A$2:$H$252,8,0),"")</f>
        <v>100</v>
      </c>
      <c r="H189" s="22">
        <v>208.0</v>
      </c>
      <c r="I189" s="23">
        <f>IFERROR(VLOOKUP(B189,DADOS!$A$2:$H$252,4,0)*H189,"")</f>
        <v>3.56096</v>
      </c>
      <c r="J189" s="36"/>
      <c r="K189" s="25">
        <f>IFERROR(VLOOKUP(B189,DADOS!$A$2:$H$252,4,0)*J189,"")</f>
        <v>0</v>
      </c>
      <c r="L189" s="26">
        <f t="shared" si="3"/>
        <v>0</v>
      </c>
      <c r="M189" s="27"/>
      <c r="N189" s="30"/>
      <c r="O189" s="28"/>
      <c r="P189" s="28"/>
      <c r="Q189" s="28"/>
      <c r="R189" s="28"/>
      <c r="S189" s="28"/>
    </row>
    <row r="190">
      <c r="A190" s="17">
        <v>45394.0</v>
      </c>
      <c r="B190" s="18" t="s">
        <v>95</v>
      </c>
      <c r="C190" s="18" t="s">
        <v>17</v>
      </c>
      <c r="D190" s="19">
        <v>0.4652777777777778</v>
      </c>
      <c r="E190" s="19">
        <v>0.4965277777777778</v>
      </c>
      <c r="F190" s="20">
        <f t="shared" si="2"/>
        <v>0.03125</v>
      </c>
      <c r="G190" s="21" t="str">
        <f>IFERROR(VLOOKUP(B190,DADOS!$A$2:$H$252,8,0),"")</f>
        <v/>
      </c>
      <c r="H190" s="22">
        <v>81.0</v>
      </c>
      <c r="I190" s="23" t="str">
        <f>IFERROR(VLOOKUP(B190,DADOS!$A$2:$H$252,4,0)*H190,"")</f>
        <v/>
      </c>
      <c r="J190" s="36"/>
      <c r="K190" s="25" t="str">
        <f>IFERROR(VLOOKUP(B190,DADOS!$A$2:$H$252,4,0)*J190,"")</f>
        <v/>
      </c>
      <c r="L190" s="26" t="str">
        <f t="shared" si="3"/>
        <v/>
      </c>
      <c r="M190" s="27"/>
      <c r="N190" s="30"/>
      <c r="O190" s="28"/>
      <c r="P190" s="28"/>
      <c r="Q190" s="28"/>
      <c r="R190" s="28"/>
      <c r="S190" s="28"/>
    </row>
    <row r="191">
      <c r="A191" s="17">
        <v>45394.0</v>
      </c>
      <c r="B191" s="18" t="s">
        <v>95</v>
      </c>
      <c r="C191" s="18" t="s">
        <v>17</v>
      </c>
      <c r="D191" s="19">
        <v>0.5486111111111112</v>
      </c>
      <c r="E191" s="19">
        <v>0.5701388888888889</v>
      </c>
      <c r="F191" s="20">
        <f t="shared" si="2"/>
        <v>0.02152777778</v>
      </c>
      <c r="G191" s="21" t="str">
        <f>IFERROR(VLOOKUP(B191,DADOS!$A$2:$H$252,8,0),"")</f>
        <v/>
      </c>
      <c r="H191" s="22">
        <v>65.0</v>
      </c>
      <c r="I191" s="23" t="str">
        <f>IFERROR(VLOOKUP(B191,DADOS!$A$2:$H$252,4,0)*H191,"")</f>
        <v/>
      </c>
      <c r="J191" s="24"/>
      <c r="K191" s="25" t="str">
        <f>IFERROR(VLOOKUP(B191,DADOS!$A$2:$H$252,4,0)*J191,"")</f>
        <v/>
      </c>
      <c r="L191" s="26" t="str">
        <f t="shared" si="3"/>
        <v/>
      </c>
      <c r="M191" s="27"/>
      <c r="N191" s="30"/>
      <c r="O191" s="28"/>
      <c r="P191" s="28"/>
      <c r="Q191" s="28"/>
      <c r="R191" s="28"/>
      <c r="S191" s="28"/>
    </row>
    <row r="192">
      <c r="A192" s="17">
        <v>45394.0</v>
      </c>
      <c r="B192" s="18" t="s">
        <v>24</v>
      </c>
      <c r="C192" s="18" t="s">
        <v>19</v>
      </c>
      <c r="D192" s="19">
        <v>0.4166666666666667</v>
      </c>
      <c r="E192" s="19">
        <v>0.4423611111111111</v>
      </c>
      <c r="F192" s="20">
        <f t="shared" si="2"/>
        <v>0.02569444444</v>
      </c>
      <c r="G192" s="21">
        <f>IFERROR(VLOOKUP(B192,DADOS!$A$2:$H$252,8,0),"")</f>
        <v>37</v>
      </c>
      <c r="H192" s="22">
        <v>19.0</v>
      </c>
      <c r="I192" s="23">
        <f>IFERROR(VLOOKUP(B192,DADOS!$A$2:$H$252,4,0)*H192,"")</f>
        <v>2.1647384</v>
      </c>
      <c r="J192" s="24">
        <v>1.0</v>
      </c>
      <c r="K192" s="25">
        <f>IFERROR(VLOOKUP(B192,DADOS!$A$2:$H$252,4,0)*J192,"")</f>
        <v>0.1139336</v>
      </c>
      <c r="L192" s="26">
        <f t="shared" si="3"/>
        <v>0.05263157895</v>
      </c>
      <c r="M192" s="27"/>
      <c r="N192" s="30"/>
      <c r="O192" s="28"/>
      <c r="P192" s="28"/>
      <c r="Q192" s="28"/>
      <c r="R192" s="28"/>
      <c r="S192" s="28"/>
    </row>
    <row r="193">
      <c r="A193" s="17">
        <v>45395.0</v>
      </c>
      <c r="B193" s="18" t="s">
        <v>54</v>
      </c>
      <c r="C193" s="18" t="s">
        <v>23</v>
      </c>
      <c r="D193" s="19"/>
      <c r="E193" s="19"/>
      <c r="F193" s="20">
        <f t="shared" si="2"/>
        <v>0</v>
      </c>
      <c r="G193" s="21" t="str">
        <f>IFERROR(VLOOKUP(B193,DADOS!$A$2:$H$252,8,0),"")</f>
        <v/>
      </c>
      <c r="H193" s="22">
        <v>38.0</v>
      </c>
      <c r="I193" s="23">
        <f>IFERROR(VLOOKUP(B193,DADOS!$A$2:$H$252,4,0)*H193,"")</f>
        <v>53.2914356</v>
      </c>
      <c r="J193" s="36"/>
      <c r="K193" s="25">
        <f>IFERROR(VLOOKUP(B193,DADOS!$A$2:$H$252,4,0)*J193,"")</f>
        <v>0</v>
      </c>
      <c r="L193" s="26">
        <f t="shared" si="3"/>
        <v>0</v>
      </c>
      <c r="M193" s="27"/>
      <c r="N193" s="30"/>
      <c r="O193" s="28"/>
      <c r="P193" s="28"/>
      <c r="Q193" s="28"/>
      <c r="R193" s="28"/>
      <c r="S193" s="28"/>
    </row>
    <row r="194">
      <c r="A194" s="17">
        <v>45395.0</v>
      </c>
      <c r="B194" s="18" t="s">
        <v>33</v>
      </c>
      <c r="C194" s="18" t="s">
        <v>23</v>
      </c>
      <c r="D194" s="19"/>
      <c r="E194" s="19"/>
      <c r="F194" s="20">
        <f t="shared" si="2"/>
        <v>0</v>
      </c>
      <c r="G194" s="21">
        <f>IFERROR(VLOOKUP(B194,DADOS!$A$2:$H$252,8,0),"")</f>
        <v>7</v>
      </c>
      <c r="H194" s="22">
        <v>38.0</v>
      </c>
      <c r="I194" s="23">
        <f>IFERROR(VLOOKUP(B194,DADOS!$A$2:$H$252,4,0)*H194,"")</f>
        <v>53.2914356</v>
      </c>
      <c r="J194" s="36"/>
      <c r="K194" s="25">
        <f>IFERROR(VLOOKUP(B194,DADOS!$A$2:$H$252,4,0)*J194,"")</f>
        <v>0</v>
      </c>
      <c r="L194" s="26">
        <f t="shared" si="3"/>
        <v>0</v>
      </c>
      <c r="M194" s="27"/>
      <c r="N194" s="30"/>
      <c r="O194" s="28"/>
      <c r="P194" s="28"/>
      <c r="Q194" s="28"/>
      <c r="R194" s="28"/>
      <c r="S194" s="28"/>
    </row>
    <row r="195">
      <c r="A195" s="17">
        <v>45397.0</v>
      </c>
      <c r="B195" s="18" t="s">
        <v>94</v>
      </c>
      <c r="C195" s="18" t="s">
        <v>17</v>
      </c>
      <c r="D195" s="19">
        <v>0.5486111111111112</v>
      </c>
      <c r="E195" s="19">
        <v>0.6402777777777777</v>
      </c>
      <c r="F195" s="20">
        <f t="shared" si="2"/>
        <v>0.09166666667</v>
      </c>
      <c r="G195" s="21">
        <f>IFERROR(VLOOKUP(B195,DADOS!$A$2:$H$252,8,0),"")</f>
        <v>100</v>
      </c>
      <c r="H195" s="22">
        <v>108.0</v>
      </c>
      <c r="I195" s="23">
        <f>IFERROR(VLOOKUP(B195,DADOS!$A$2:$H$252,4,0)*H195,"")</f>
        <v>4.0769568</v>
      </c>
      <c r="J195" s="36"/>
      <c r="K195" s="25">
        <f>IFERROR(VLOOKUP(B195,DADOS!$A$2:$H$252,4,0)*J195,"")</f>
        <v>0</v>
      </c>
      <c r="L195" s="26">
        <f t="shared" si="3"/>
        <v>0</v>
      </c>
      <c r="M195" s="27"/>
      <c r="N195" s="30"/>
      <c r="O195" s="28"/>
      <c r="P195" s="28"/>
      <c r="Q195" s="28"/>
      <c r="R195" s="28"/>
      <c r="S195" s="28"/>
    </row>
    <row r="196">
      <c r="A196" s="17">
        <v>45397.0</v>
      </c>
      <c r="B196" s="18" t="s">
        <v>94</v>
      </c>
      <c r="C196" s="18" t="s">
        <v>17</v>
      </c>
      <c r="D196" s="19">
        <v>0.6805555555555556</v>
      </c>
      <c r="E196" s="19">
        <v>0.7152777777777778</v>
      </c>
      <c r="F196" s="20">
        <f t="shared" si="2"/>
        <v>0.03472222222</v>
      </c>
      <c r="G196" s="21">
        <f>IFERROR(VLOOKUP(B196,DADOS!$A$2:$H$252,8,0),"")</f>
        <v>100</v>
      </c>
      <c r="H196" s="22">
        <v>45.0</v>
      </c>
      <c r="I196" s="23">
        <f>IFERROR(VLOOKUP(B196,DADOS!$A$2:$H$252,4,0)*H196,"")</f>
        <v>1.698732</v>
      </c>
      <c r="J196" s="36"/>
      <c r="K196" s="25">
        <f>IFERROR(VLOOKUP(B196,DADOS!$A$2:$H$252,4,0)*J196,"")</f>
        <v>0</v>
      </c>
      <c r="L196" s="26">
        <f t="shared" si="3"/>
        <v>0</v>
      </c>
      <c r="M196" s="27"/>
      <c r="N196" s="30"/>
      <c r="O196" s="28"/>
      <c r="P196" s="28"/>
      <c r="Q196" s="28"/>
      <c r="R196" s="28"/>
      <c r="S196" s="28"/>
    </row>
    <row r="197">
      <c r="A197" s="17">
        <v>45397.0</v>
      </c>
      <c r="B197" s="18" t="s">
        <v>49</v>
      </c>
      <c r="C197" s="18" t="s">
        <v>19</v>
      </c>
      <c r="D197" s="19"/>
      <c r="E197" s="19"/>
      <c r="F197" s="20">
        <f t="shared" si="2"/>
        <v>0</v>
      </c>
      <c r="G197" s="21">
        <f>IFERROR(VLOOKUP(B197,DADOS!$A$2:$H$252,8,0),"")</f>
        <v>42</v>
      </c>
      <c r="H197" s="22">
        <v>37.0</v>
      </c>
      <c r="I197" s="23">
        <f>IFERROR(VLOOKUP(B197,DADOS!$A$2:$H$252,4,0)*H197,"")</f>
        <v>2.5171322</v>
      </c>
      <c r="J197" s="24">
        <v>2.0</v>
      </c>
      <c r="K197" s="25">
        <f>IFERROR(VLOOKUP(B197,DADOS!$A$2:$H$252,4,0)*J197,"")</f>
        <v>0.1360612</v>
      </c>
      <c r="L197" s="26">
        <f t="shared" si="3"/>
        <v>0.05405405405</v>
      </c>
      <c r="M197" s="27"/>
      <c r="N197" s="30"/>
      <c r="O197" s="28"/>
      <c r="P197" s="28"/>
      <c r="Q197" s="28"/>
      <c r="R197" s="28"/>
      <c r="S197" s="28"/>
    </row>
    <row r="198">
      <c r="A198" s="17">
        <v>45397.0</v>
      </c>
      <c r="B198" s="18" t="s">
        <v>96</v>
      </c>
      <c r="C198" s="18" t="s">
        <v>97</v>
      </c>
      <c r="D198" s="19"/>
      <c r="E198" s="19"/>
      <c r="F198" s="20">
        <f t="shared" si="2"/>
        <v>0</v>
      </c>
      <c r="G198" s="21">
        <f>IFERROR(VLOOKUP(B198,DADOS!$A$2:$H$252,8,0),"")</f>
        <v>27</v>
      </c>
      <c r="H198" s="22">
        <v>40.0</v>
      </c>
      <c r="I198" s="23">
        <f>IFERROR(VLOOKUP(B198,DADOS!$A$2:$H$252,4,0)*H198,"")</f>
        <v>3.7664</v>
      </c>
      <c r="J198" s="24">
        <v>5.0</v>
      </c>
      <c r="K198" s="25">
        <f>IFERROR(VLOOKUP(B198,DADOS!$A$2:$H$252,4,0)*J198,"")</f>
        <v>0.4708</v>
      </c>
      <c r="L198" s="26">
        <f t="shared" si="3"/>
        <v>0.125</v>
      </c>
      <c r="M198" s="27"/>
      <c r="N198" s="30"/>
      <c r="O198" s="28"/>
      <c r="P198" s="28"/>
      <c r="Q198" s="28"/>
      <c r="R198" s="28"/>
      <c r="S198" s="28"/>
    </row>
    <row r="199">
      <c r="A199" s="17">
        <v>45398.0</v>
      </c>
      <c r="B199" s="18" t="s">
        <v>98</v>
      </c>
      <c r="C199" s="18" t="s">
        <v>17</v>
      </c>
      <c r="D199" s="19">
        <v>0.34375</v>
      </c>
      <c r="E199" s="19">
        <v>0.4340277777777778</v>
      </c>
      <c r="F199" s="20">
        <f t="shared" si="2"/>
        <v>0.09027777778</v>
      </c>
      <c r="G199" s="21">
        <f>IFERROR(VLOOKUP(B199,DADOS!$A$2:$H$252,8,0),"")</f>
        <v>100</v>
      </c>
      <c r="H199" s="22">
        <v>114.0</v>
      </c>
      <c r="I199" s="23">
        <f>IFERROR(VLOOKUP(B199,DADOS!$A$2:$H$252,4,0)*H199,"")</f>
        <v>30.73896</v>
      </c>
      <c r="J199" s="36"/>
      <c r="K199" s="25">
        <f>IFERROR(VLOOKUP(B199,DADOS!$A$2:$H$252,4,0)*J199,"")</f>
        <v>0</v>
      </c>
      <c r="L199" s="26">
        <f t="shared" si="3"/>
        <v>0</v>
      </c>
      <c r="M199" s="27"/>
      <c r="N199" s="30"/>
      <c r="O199" s="28"/>
      <c r="P199" s="28"/>
      <c r="Q199" s="28"/>
      <c r="R199" s="28"/>
      <c r="S199" s="28"/>
    </row>
    <row r="200">
      <c r="A200" s="17">
        <v>45398.0</v>
      </c>
      <c r="B200" s="18" t="s">
        <v>16</v>
      </c>
      <c r="C200" s="18" t="s">
        <v>17</v>
      </c>
      <c r="D200" s="19">
        <v>0.5618055555555556</v>
      </c>
      <c r="E200" s="19">
        <v>0.69375</v>
      </c>
      <c r="F200" s="20">
        <f t="shared" si="2"/>
        <v>0.1319444444</v>
      </c>
      <c r="G200" s="21">
        <f>IFERROR(VLOOKUP(B200,DADOS!$A$2:$H$252,8,0),"")</f>
        <v>150</v>
      </c>
      <c r="H200" s="22">
        <v>573.0</v>
      </c>
      <c r="I200" s="23">
        <f>IFERROR(VLOOKUP(B200,DADOS!$A$2:$H$252,4,0)*H200,"")</f>
        <v>16.5784944</v>
      </c>
      <c r="J200" s="36"/>
      <c r="K200" s="25">
        <f>IFERROR(VLOOKUP(B200,DADOS!$A$2:$H$252,4,0)*J200,"")</f>
        <v>0</v>
      </c>
      <c r="L200" s="26">
        <f t="shared" si="3"/>
        <v>0</v>
      </c>
      <c r="M200" s="27"/>
      <c r="N200" s="30"/>
      <c r="O200" s="28"/>
      <c r="P200" s="28"/>
      <c r="Q200" s="28"/>
      <c r="R200" s="28"/>
      <c r="S200" s="28"/>
    </row>
    <row r="201">
      <c r="A201" s="17">
        <v>45398.0</v>
      </c>
      <c r="B201" s="18" t="s">
        <v>49</v>
      </c>
      <c r="C201" s="18" t="s">
        <v>97</v>
      </c>
      <c r="D201" s="19"/>
      <c r="E201" s="19"/>
      <c r="F201" s="20">
        <f t="shared" si="2"/>
        <v>0</v>
      </c>
      <c r="G201" s="21">
        <f>IFERROR(VLOOKUP(B201,DADOS!$A$2:$H$252,8,0),"")</f>
        <v>42</v>
      </c>
      <c r="H201" s="22">
        <v>115.0</v>
      </c>
      <c r="I201" s="23">
        <f>IFERROR(VLOOKUP(B201,DADOS!$A$2:$H$252,4,0)*H201,"")</f>
        <v>7.823519</v>
      </c>
      <c r="J201" s="36"/>
      <c r="K201" s="25">
        <f>IFERROR(VLOOKUP(B201,DADOS!$A$2:$H$252,4,0)*J201,"")</f>
        <v>0</v>
      </c>
      <c r="L201" s="26">
        <f t="shared" si="3"/>
        <v>0</v>
      </c>
      <c r="M201" s="27"/>
      <c r="N201" s="30"/>
      <c r="O201" s="28"/>
      <c r="P201" s="28"/>
      <c r="Q201" s="28"/>
      <c r="R201" s="28"/>
      <c r="S201" s="28"/>
    </row>
    <row r="202">
      <c r="A202" s="17">
        <v>45399.0</v>
      </c>
      <c r="B202" s="18" t="s">
        <v>16</v>
      </c>
      <c r="C202" s="18" t="s">
        <v>17</v>
      </c>
      <c r="D202" s="19">
        <v>0.3263888888888889</v>
      </c>
      <c r="E202" s="19">
        <v>0.49583333333333335</v>
      </c>
      <c r="F202" s="20">
        <f t="shared" si="2"/>
        <v>0.1694444444</v>
      </c>
      <c r="G202" s="21">
        <f>IFERROR(VLOOKUP(B202,DADOS!$A$2:$H$252,8,0),"")</f>
        <v>150</v>
      </c>
      <c r="H202" s="22">
        <v>753.0</v>
      </c>
      <c r="I202" s="23">
        <f>IFERROR(VLOOKUP(B202,DADOS!$A$2:$H$252,4,0)*H202,"")</f>
        <v>21.7863984</v>
      </c>
      <c r="J202" s="36"/>
      <c r="K202" s="25">
        <f>IFERROR(VLOOKUP(B202,DADOS!$A$2:$H$252,4,0)*J202,"")</f>
        <v>0</v>
      </c>
      <c r="L202" s="26">
        <f t="shared" si="3"/>
        <v>0</v>
      </c>
      <c r="M202" s="27"/>
      <c r="N202" s="30"/>
      <c r="O202" s="28"/>
      <c r="P202" s="28"/>
      <c r="Q202" s="28"/>
      <c r="R202" s="28"/>
      <c r="S202" s="28"/>
    </row>
    <row r="203">
      <c r="A203" s="17">
        <v>45399.0</v>
      </c>
      <c r="B203" s="18" t="s">
        <v>16</v>
      </c>
      <c r="C203" s="18" t="s">
        <v>17</v>
      </c>
      <c r="D203" s="19">
        <v>0.5791666666666667</v>
      </c>
      <c r="E203" s="19">
        <v>0.5930555555555556</v>
      </c>
      <c r="F203" s="20">
        <f t="shared" si="2"/>
        <v>0.01388888889</v>
      </c>
      <c r="G203" s="21">
        <f>IFERROR(VLOOKUP(B203,DADOS!$A$2:$H$252,8,0),"")</f>
        <v>150</v>
      </c>
      <c r="H203" s="22">
        <v>58.0</v>
      </c>
      <c r="I203" s="23">
        <f>IFERROR(VLOOKUP(B203,DADOS!$A$2:$H$252,4,0)*H203,"")</f>
        <v>1.6781024</v>
      </c>
      <c r="J203" s="36"/>
      <c r="K203" s="25">
        <f>IFERROR(VLOOKUP(B203,DADOS!$A$2:$H$252,4,0)*J203,"")</f>
        <v>0</v>
      </c>
      <c r="L203" s="26">
        <f t="shared" si="3"/>
        <v>0</v>
      </c>
      <c r="M203" s="27"/>
      <c r="N203" s="30"/>
      <c r="O203" s="28"/>
      <c r="P203" s="28"/>
      <c r="Q203" s="28"/>
      <c r="R203" s="28"/>
      <c r="S203" s="28"/>
    </row>
    <row r="204">
      <c r="A204" s="17">
        <v>45399.0</v>
      </c>
      <c r="B204" s="18" t="s">
        <v>16</v>
      </c>
      <c r="C204" s="18" t="s">
        <v>17</v>
      </c>
      <c r="D204" s="19">
        <v>0.6493055555555556</v>
      </c>
      <c r="E204" s="19">
        <v>0.71875</v>
      </c>
      <c r="F204" s="20">
        <f t="shared" si="2"/>
        <v>0.06944444444</v>
      </c>
      <c r="G204" s="21">
        <f>IFERROR(VLOOKUP(B204,DADOS!$A$2:$H$252,8,0),"")</f>
        <v>150</v>
      </c>
      <c r="H204" s="22">
        <v>327.0</v>
      </c>
      <c r="I204" s="23">
        <f>IFERROR(VLOOKUP(B204,DADOS!$A$2:$H$252,4,0)*H204,"")</f>
        <v>9.4610256</v>
      </c>
      <c r="J204" s="36"/>
      <c r="K204" s="25">
        <f>IFERROR(VLOOKUP(B204,DADOS!$A$2:$H$252,4,0)*J204,"")</f>
        <v>0</v>
      </c>
      <c r="L204" s="26">
        <f t="shared" si="3"/>
        <v>0</v>
      </c>
      <c r="M204" s="27"/>
      <c r="N204" s="30"/>
      <c r="O204" s="28"/>
      <c r="P204" s="28"/>
      <c r="Q204" s="28"/>
      <c r="R204" s="28"/>
      <c r="S204" s="28"/>
    </row>
    <row r="205">
      <c r="A205" s="17">
        <v>45400.0</v>
      </c>
      <c r="B205" s="18" t="s">
        <v>37</v>
      </c>
      <c r="C205" s="18" t="s">
        <v>17</v>
      </c>
      <c r="D205" s="19">
        <v>0.6583333333333333</v>
      </c>
      <c r="E205" s="19">
        <v>0.7173611111111111</v>
      </c>
      <c r="F205" s="20">
        <f t="shared" si="2"/>
        <v>0.05902777778</v>
      </c>
      <c r="G205" s="21" t="str">
        <f>IFERROR(VLOOKUP(B205,DADOS!$A$2:$H$252,8,0),"")</f>
        <v/>
      </c>
      <c r="H205" s="22">
        <v>92.0</v>
      </c>
      <c r="I205" s="23" t="str">
        <f>IFERROR(VLOOKUP(B205,DADOS!$A$2:$H$252,4,0)*H205,"")</f>
        <v/>
      </c>
      <c r="J205" s="24">
        <v>1.0</v>
      </c>
      <c r="K205" s="25" t="str">
        <f>IFERROR(VLOOKUP(B205,DADOS!$A$2:$H$252,4,0)*J205,"")</f>
        <v/>
      </c>
      <c r="L205" s="26" t="str">
        <f t="shared" si="3"/>
        <v/>
      </c>
      <c r="M205" s="27"/>
      <c r="N205" s="30"/>
      <c r="O205" s="28"/>
      <c r="P205" s="28"/>
      <c r="Q205" s="28"/>
      <c r="R205" s="28"/>
      <c r="S205" s="28"/>
    </row>
    <row r="206">
      <c r="A206" s="17">
        <v>45400.0</v>
      </c>
      <c r="B206" s="18" t="s">
        <v>48</v>
      </c>
      <c r="C206" s="18" t="s">
        <v>19</v>
      </c>
      <c r="D206" s="19"/>
      <c r="E206" s="19"/>
      <c r="F206" s="20">
        <f t="shared" si="2"/>
        <v>0</v>
      </c>
      <c r="G206" s="21">
        <f>IFERROR(VLOOKUP(B206,DADOS!$A$2:$H$252,8,0),"")</f>
        <v>6</v>
      </c>
      <c r="H206" s="22">
        <v>20.0</v>
      </c>
      <c r="I206" s="23">
        <f>IFERROR(VLOOKUP(B206,DADOS!$A$2:$H$252,4,0)*H206,"")</f>
        <v>2.278672</v>
      </c>
      <c r="J206" s="36"/>
      <c r="K206" s="25">
        <f>IFERROR(VLOOKUP(B206,DADOS!$A$2:$H$252,4,0)*J206,"")</f>
        <v>0</v>
      </c>
      <c r="L206" s="26">
        <f t="shared" si="3"/>
        <v>0</v>
      </c>
      <c r="M206" s="27"/>
      <c r="N206" s="30"/>
      <c r="O206" s="28"/>
      <c r="P206" s="28"/>
      <c r="Q206" s="28"/>
      <c r="R206" s="28"/>
      <c r="S206" s="28"/>
    </row>
    <row r="207">
      <c r="A207" s="17">
        <v>45400.0</v>
      </c>
      <c r="B207" s="18" t="s">
        <v>99</v>
      </c>
      <c r="C207" s="18" t="s">
        <v>97</v>
      </c>
      <c r="D207" s="19"/>
      <c r="E207" s="19"/>
      <c r="F207" s="20">
        <f t="shared" si="2"/>
        <v>0</v>
      </c>
      <c r="G207" s="21">
        <f>IFERROR(VLOOKUP(B207,DADOS!$A$2:$H$252,8,0),"")</f>
        <v>26</v>
      </c>
      <c r="H207" s="22">
        <v>46.0</v>
      </c>
      <c r="I207" s="23">
        <f>IFERROR(VLOOKUP(B207,DADOS!$A$2:$H$252,4,0)*H207,"")</f>
        <v>4.33136</v>
      </c>
      <c r="J207" s="36"/>
      <c r="K207" s="25">
        <f>IFERROR(VLOOKUP(B207,DADOS!$A$2:$H$252,4,0)*J207,"")</f>
        <v>0</v>
      </c>
      <c r="L207" s="26">
        <f t="shared" si="3"/>
        <v>0</v>
      </c>
      <c r="M207" s="30" t="s">
        <v>39</v>
      </c>
      <c r="N207" s="30"/>
      <c r="O207" s="28"/>
      <c r="P207" s="28"/>
      <c r="Q207" s="28"/>
      <c r="R207" s="28"/>
      <c r="S207" s="28"/>
    </row>
    <row r="208">
      <c r="A208" s="17">
        <v>45400.0</v>
      </c>
      <c r="B208" s="18" t="s">
        <v>100</v>
      </c>
      <c r="C208" s="18"/>
      <c r="D208" s="19"/>
      <c r="E208" s="19"/>
      <c r="F208" s="20">
        <f t="shared" si="2"/>
        <v>0</v>
      </c>
      <c r="G208" s="21">
        <f>IFERROR(VLOOKUP(B208,DADOS!$A$2:$H$252,8,0),"")</f>
        <v>15</v>
      </c>
      <c r="H208" s="35"/>
      <c r="I208" s="23">
        <f>IFERROR(VLOOKUP(B208,DADOS!$A$2:$H$252,4,0)*H208,"")</f>
        <v>0</v>
      </c>
      <c r="J208" s="24">
        <v>1.0</v>
      </c>
      <c r="K208" s="25">
        <f>IFERROR(VLOOKUP(B208,DADOS!$A$2:$H$252,4,0)*J208,"")</f>
        <v>0.1479168</v>
      </c>
      <c r="L208" s="26" t="str">
        <f t="shared" si="3"/>
        <v/>
      </c>
      <c r="M208" s="30" t="s">
        <v>39</v>
      </c>
      <c r="N208" s="33" t="s">
        <v>84</v>
      </c>
      <c r="O208" s="28"/>
      <c r="P208" s="28"/>
      <c r="Q208" s="28"/>
      <c r="R208" s="28"/>
      <c r="S208" s="28"/>
    </row>
    <row r="209">
      <c r="A209" s="17">
        <v>45400.0</v>
      </c>
      <c r="B209" s="18" t="s">
        <v>101</v>
      </c>
      <c r="C209" s="18"/>
      <c r="D209" s="19"/>
      <c r="E209" s="19"/>
      <c r="F209" s="20">
        <f t="shared" si="2"/>
        <v>0</v>
      </c>
      <c r="G209" s="21" t="str">
        <f>IFERROR(VLOOKUP(B209,DADOS!$A$2:$H$252,8,0),"")</f>
        <v/>
      </c>
      <c r="H209" s="35"/>
      <c r="I209" s="23">
        <f>IFERROR(VLOOKUP(B209,DADOS!$A$2:$H$252,4,0)*H209,"")</f>
        <v>0</v>
      </c>
      <c r="J209" s="24">
        <v>6.0</v>
      </c>
      <c r="K209" s="25">
        <f>IFERROR(VLOOKUP(B209,DADOS!$A$2:$H$252,4,0)*J209,"")</f>
        <v>0.9547824</v>
      </c>
      <c r="L209" s="26" t="str">
        <f t="shared" si="3"/>
        <v/>
      </c>
      <c r="M209" s="30" t="s">
        <v>39</v>
      </c>
      <c r="N209" s="33" t="s">
        <v>102</v>
      </c>
      <c r="O209" s="28"/>
      <c r="P209" s="28"/>
      <c r="Q209" s="28"/>
      <c r="R209" s="28"/>
      <c r="S209" s="28"/>
    </row>
    <row r="210">
      <c r="A210" s="17">
        <v>45400.0</v>
      </c>
      <c r="B210" s="18" t="s">
        <v>49</v>
      </c>
      <c r="C210" s="18"/>
      <c r="D210" s="19"/>
      <c r="E210" s="19"/>
      <c r="F210" s="20">
        <f t="shared" si="2"/>
        <v>0</v>
      </c>
      <c r="G210" s="21">
        <f>IFERROR(VLOOKUP(B210,DADOS!$A$2:$H$252,8,0),"")</f>
        <v>42</v>
      </c>
      <c r="H210" s="35"/>
      <c r="I210" s="23">
        <f>IFERROR(VLOOKUP(B210,DADOS!$A$2:$H$252,4,0)*H210,"")</f>
        <v>0</v>
      </c>
      <c r="J210" s="24">
        <v>1.0</v>
      </c>
      <c r="K210" s="25">
        <f>IFERROR(VLOOKUP(B210,DADOS!$A$2:$H$252,4,0)*J210,"")</f>
        <v>0.0680306</v>
      </c>
      <c r="L210" s="26" t="str">
        <f t="shared" si="3"/>
        <v/>
      </c>
      <c r="M210" s="30" t="s">
        <v>103</v>
      </c>
      <c r="N210" s="33" t="s">
        <v>104</v>
      </c>
      <c r="O210" s="28"/>
      <c r="P210" s="28"/>
      <c r="Q210" s="28"/>
      <c r="R210" s="28"/>
      <c r="S210" s="28"/>
    </row>
    <row r="211">
      <c r="A211" s="17">
        <v>45400.0</v>
      </c>
      <c r="B211" s="18" t="s">
        <v>105</v>
      </c>
      <c r="C211" s="18"/>
      <c r="D211" s="19"/>
      <c r="E211" s="19"/>
      <c r="F211" s="20">
        <f t="shared" si="2"/>
        <v>0</v>
      </c>
      <c r="G211" s="21">
        <f>IFERROR(VLOOKUP(B211,DADOS!$A$2:$H$252,8,0),"")</f>
        <v>18</v>
      </c>
      <c r="H211" s="35"/>
      <c r="I211" s="23">
        <f>IFERROR(VLOOKUP(B211,DADOS!$A$2:$H$252,4,0)*H211,"")</f>
        <v>0</v>
      </c>
      <c r="J211" s="24">
        <v>1.0</v>
      </c>
      <c r="K211" s="25">
        <f>IFERROR(VLOOKUP(B211,DADOS!$A$2:$H$252,4,0)*J211,"")</f>
        <v>0.0849794</v>
      </c>
      <c r="L211" s="26" t="str">
        <f t="shared" si="3"/>
        <v/>
      </c>
      <c r="M211" s="30" t="s">
        <v>39</v>
      </c>
      <c r="N211" s="33" t="s">
        <v>86</v>
      </c>
      <c r="O211" s="28"/>
      <c r="P211" s="28"/>
      <c r="Q211" s="28"/>
      <c r="R211" s="28"/>
      <c r="S211" s="28"/>
    </row>
    <row r="212">
      <c r="A212" s="17">
        <v>45400.0</v>
      </c>
      <c r="B212" s="18" t="s">
        <v>24</v>
      </c>
      <c r="C212" s="18"/>
      <c r="D212" s="19"/>
      <c r="E212" s="19"/>
      <c r="F212" s="20">
        <f t="shared" si="2"/>
        <v>0</v>
      </c>
      <c r="G212" s="21">
        <f>IFERROR(VLOOKUP(B212,DADOS!$A$2:$H$252,8,0),"")</f>
        <v>37</v>
      </c>
      <c r="H212" s="35"/>
      <c r="I212" s="23">
        <f>IFERROR(VLOOKUP(B212,DADOS!$A$2:$H$252,4,0)*H212,"")</f>
        <v>0</v>
      </c>
      <c r="J212" s="24">
        <v>1.0</v>
      </c>
      <c r="K212" s="25">
        <f>IFERROR(VLOOKUP(B212,DADOS!$A$2:$H$252,4,0)*J212,"")</f>
        <v>0.1139336</v>
      </c>
      <c r="L212" s="26" t="str">
        <f t="shared" si="3"/>
        <v/>
      </c>
      <c r="M212" s="30" t="s">
        <v>39</v>
      </c>
      <c r="N212" s="33" t="s">
        <v>86</v>
      </c>
      <c r="O212" s="28"/>
      <c r="P212" s="28"/>
      <c r="Q212" s="28"/>
      <c r="R212" s="28"/>
      <c r="S212" s="28"/>
    </row>
    <row r="213">
      <c r="A213" s="17">
        <v>45400.0</v>
      </c>
      <c r="B213" s="18" t="s">
        <v>48</v>
      </c>
      <c r="C213" s="18"/>
      <c r="D213" s="19"/>
      <c r="E213" s="19"/>
      <c r="F213" s="20">
        <f t="shared" si="2"/>
        <v>0</v>
      </c>
      <c r="G213" s="21">
        <f>IFERROR(VLOOKUP(B213,DADOS!$A$2:$H$252,8,0),"")</f>
        <v>6</v>
      </c>
      <c r="H213" s="35"/>
      <c r="I213" s="23">
        <f>IFERROR(VLOOKUP(B213,DADOS!$A$2:$H$252,4,0)*H213,"")</f>
        <v>0</v>
      </c>
      <c r="J213" s="24">
        <v>8.0</v>
      </c>
      <c r="K213" s="25">
        <f>IFERROR(VLOOKUP(B213,DADOS!$A$2:$H$252,4,0)*J213,"")</f>
        <v>0.9114688</v>
      </c>
      <c r="L213" s="26" t="str">
        <f t="shared" si="3"/>
        <v/>
      </c>
      <c r="M213" s="30" t="s">
        <v>39</v>
      </c>
      <c r="N213" s="33" t="s">
        <v>106</v>
      </c>
      <c r="O213" s="28"/>
      <c r="P213" s="28"/>
      <c r="Q213" s="28"/>
      <c r="R213" s="28"/>
      <c r="S213" s="28"/>
    </row>
    <row r="214">
      <c r="A214" s="17">
        <v>45400.0</v>
      </c>
      <c r="B214" s="18" t="s">
        <v>26</v>
      </c>
      <c r="C214" s="18"/>
      <c r="D214" s="19"/>
      <c r="E214" s="19"/>
      <c r="F214" s="20">
        <f t="shared" si="2"/>
        <v>0</v>
      </c>
      <c r="G214" s="21">
        <f>IFERROR(VLOOKUP(B214,DADOS!$A$2:$H$252,8,0),"")</f>
        <v>50</v>
      </c>
      <c r="H214" s="35"/>
      <c r="I214" s="23">
        <f>IFERROR(VLOOKUP(B214,DADOS!$A$2:$H$252,4,0)*H214,"")</f>
        <v>0</v>
      </c>
      <c r="J214" s="24">
        <v>1.0</v>
      </c>
      <c r="K214" s="25">
        <f>IFERROR(VLOOKUP(B214,DADOS!$A$2:$H$252,4,0)*J214,"")</f>
        <v>0.1139336</v>
      </c>
      <c r="L214" s="26" t="str">
        <f t="shared" si="3"/>
        <v/>
      </c>
      <c r="M214" s="30" t="s">
        <v>83</v>
      </c>
      <c r="N214" s="33" t="s">
        <v>88</v>
      </c>
      <c r="O214" s="28"/>
      <c r="P214" s="28"/>
      <c r="Q214" s="28"/>
      <c r="R214" s="28"/>
      <c r="S214" s="28"/>
    </row>
    <row r="215">
      <c r="A215" s="17">
        <v>45400.0</v>
      </c>
      <c r="B215" s="18" t="s">
        <v>107</v>
      </c>
      <c r="C215" s="18"/>
      <c r="D215" s="19"/>
      <c r="E215" s="19"/>
      <c r="F215" s="20">
        <f t="shared" si="2"/>
        <v>0</v>
      </c>
      <c r="G215" s="21" t="str">
        <f>IFERROR(VLOOKUP(B215,DADOS!$A$2:$H$252,8,0),"")</f>
        <v/>
      </c>
      <c r="H215" s="35"/>
      <c r="I215" s="23" t="str">
        <f>IFERROR(VLOOKUP(B215,DADOS!$A$2:$H$252,4,0)*H215,"")</f>
        <v/>
      </c>
      <c r="J215" s="24">
        <v>1.0</v>
      </c>
      <c r="K215" s="25" t="str">
        <f>IFERROR(VLOOKUP(B215,DADOS!$A$2:$H$252,4,0)*J215,"")</f>
        <v/>
      </c>
      <c r="L215" s="26" t="str">
        <f t="shared" si="3"/>
        <v/>
      </c>
      <c r="M215" s="30" t="s">
        <v>83</v>
      </c>
      <c r="N215" s="33" t="s">
        <v>88</v>
      </c>
      <c r="O215" s="28"/>
      <c r="P215" s="28"/>
      <c r="Q215" s="28"/>
      <c r="R215" s="28"/>
      <c r="S215" s="28"/>
    </row>
    <row r="216">
      <c r="A216" s="17">
        <v>45400.0</v>
      </c>
      <c r="B216" s="18" t="s">
        <v>108</v>
      </c>
      <c r="C216" s="18"/>
      <c r="D216" s="19"/>
      <c r="E216" s="19"/>
      <c r="F216" s="20">
        <f t="shared" si="2"/>
        <v>0</v>
      </c>
      <c r="G216" s="21" t="str">
        <f>IFERROR(VLOOKUP(B216,DADOS!$A$2:$H$252,8,0),"")</f>
        <v/>
      </c>
      <c r="H216" s="35"/>
      <c r="I216" s="23" t="str">
        <f>IFERROR(VLOOKUP(B216,DADOS!$A$2:$H$252,4,0)*H216,"")</f>
        <v/>
      </c>
      <c r="J216" s="24">
        <v>2.0</v>
      </c>
      <c r="K216" s="25" t="str">
        <f>IFERROR(VLOOKUP(B216,DADOS!$A$2:$H$252,4,0)*J216,"")</f>
        <v/>
      </c>
      <c r="L216" s="26" t="str">
        <f t="shared" si="3"/>
        <v/>
      </c>
      <c r="M216" s="30" t="s">
        <v>83</v>
      </c>
      <c r="N216" s="33" t="s">
        <v>88</v>
      </c>
      <c r="O216" s="28"/>
      <c r="P216" s="28"/>
      <c r="Q216" s="28"/>
      <c r="R216" s="28"/>
      <c r="S216" s="28"/>
    </row>
    <row r="217">
      <c r="A217" s="17">
        <v>45400.0</v>
      </c>
      <c r="B217" s="18" t="s">
        <v>109</v>
      </c>
      <c r="C217" s="18"/>
      <c r="D217" s="19"/>
      <c r="E217" s="19"/>
      <c r="F217" s="20">
        <f t="shared" si="2"/>
        <v>0</v>
      </c>
      <c r="G217" s="21" t="str">
        <f>IFERROR(VLOOKUP(B217,DADOS!$A$2:$H$252,8,0),"")</f>
        <v/>
      </c>
      <c r="H217" s="35"/>
      <c r="I217" s="23" t="str">
        <f>IFERROR(VLOOKUP(B217,DADOS!$A$2:$H$252,4,0)*H217,"")</f>
        <v/>
      </c>
      <c r="J217" s="24">
        <v>1.0</v>
      </c>
      <c r="K217" s="25" t="str">
        <f>IFERROR(VLOOKUP(B217,DADOS!$A$2:$H$252,4,0)*J217,"")</f>
        <v/>
      </c>
      <c r="L217" s="26" t="str">
        <f t="shared" si="3"/>
        <v/>
      </c>
      <c r="M217" s="30" t="s">
        <v>83</v>
      </c>
      <c r="N217" s="33" t="s">
        <v>88</v>
      </c>
      <c r="O217" s="28"/>
      <c r="P217" s="28"/>
      <c r="Q217" s="28"/>
      <c r="R217" s="28"/>
      <c r="S217" s="28"/>
    </row>
    <row r="218">
      <c r="A218" s="17">
        <v>45400.0</v>
      </c>
      <c r="B218" s="18" t="s">
        <v>18</v>
      </c>
      <c r="C218" s="18"/>
      <c r="D218" s="19"/>
      <c r="E218" s="19"/>
      <c r="F218" s="20">
        <f t="shared" si="2"/>
        <v>0</v>
      </c>
      <c r="G218" s="21">
        <f>IFERROR(VLOOKUP(B218,DADOS!$A$2:$H$252,8,0),"")</f>
        <v>21</v>
      </c>
      <c r="H218" s="35"/>
      <c r="I218" s="23">
        <f>IFERROR(VLOOKUP(B218,DADOS!$A$2:$H$252,4,0)*H218,"")</f>
        <v>0</v>
      </c>
      <c r="J218" s="24">
        <v>1.0</v>
      </c>
      <c r="K218" s="25">
        <f>IFERROR(VLOOKUP(B218,DADOS!$A$2:$H$252,4,0)*J218,"")</f>
        <v>0.292966</v>
      </c>
      <c r="L218" s="26" t="str">
        <f t="shared" si="3"/>
        <v/>
      </c>
      <c r="M218" s="30" t="s">
        <v>83</v>
      </c>
      <c r="N218" s="33" t="s">
        <v>88</v>
      </c>
      <c r="O218" s="28"/>
      <c r="P218" s="28"/>
      <c r="Q218" s="28"/>
      <c r="R218" s="28"/>
      <c r="S218" s="28"/>
    </row>
    <row r="219">
      <c r="A219" s="17">
        <v>45400.0</v>
      </c>
      <c r="B219" s="18" t="s">
        <v>41</v>
      </c>
      <c r="C219" s="18"/>
      <c r="D219" s="19"/>
      <c r="E219" s="19"/>
      <c r="F219" s="20">
        <f t="shared" si="2"/>
        <v>0</v>
      </c>
      <c r="G219" s="21">
        <f>IFERROR(VLOOKUP(B219,DADOS!$A$2:$H$252,8,0),"")</f>
        <v>14</v>
      </c>
      <c r="H219" s="35"/>
      <c r="I219" s="23">
        <f>IFERROR(VLOOKUP(B219,DADOS!$A$2:$H$252,4,0)*H219,"")</f>
        <v>0</v>
      </c>
      <c r="J219" s="24">
        <v>1.0</v>
      </c>
      <c r="K219" s="25">
        <f>IFERROR(VLOOKUP(B219,DADOS!$A$2:$H$252,4,0)*J219,"")</f>
        <v>0.277344</v>
      </c>
      <c r="L219" s="26" t="str">
        <f t="shared" si="3"/>
        <v/>
      </c>
      <c r="M219" s="30" t="s">
        <v>110</v>
      </c>
      <c r="N219" s="33" t="s">
        <v>111</v>
      </c>
      <c r="O219" s="28"/>
      <c r="P219" s="28"/>
      <c r="Q219" s="28"/>
      <c r="R219" s="28"/>
      <c r="S219" s="28"/>
    </row>
    <row r="220">
      <c r="A220" s="17">
        <v>45400.0</v>
      </c>
      <c r="B220" s="18" t="s">
        <v>99</v>
      </c>
      <c r="C220" s="18"/>
      <c r="D220" s="19"/>
      <c r="E220" s="19"/>
      <c r="F220" s="20">
        <f t="shared" si="2"/>
        <v>0</v>
      </c>
      <c r="G220" s="21">
        <f>IFERROR(VLOOKUP(B220,DADOS!$A$2:$H$252,8,0),"")</f>
        <v>26</v>
      </c>
      <c r="H220" s="35"/>
      <c r="I220" s="23">
        <f>IFERROR(VLOOKUP(B220,DADOS!$A$2:$H$252,4,0)*H220,"")</f>
        <v>0</v>
      </c>
      <c r="J220" s="24">
        <v>2.0</v>
      </c>
      <c r="K220" s="25">
        <f>IFERROR(VLOOKUP(B220,DADOS!$A$2:$H$252,4,0)*J220,"")</f>
        <v>0.18832</v>
      </c>
      <c r="L220" s="26" t="str">
        <f t="shared" si="3"/>
        <v/>
      </c>
      <c r="M220" s="30" t="s">
        <v>39</v>
      </c>
      <c r="N220" s="30"/>
      <c r="O220" s="28"/>
      <c r="P220" s="28"/>
      <c r="Q220" s="28"/>
      <c r="R220" s="28"/>
      <c r="S220" s="28"/>
    </row>
    <row r="221">
      <c r="A221" s="17">
        <v>45400.0</v>
      </c>
      <c r="B221" s="18" t="s">
        <v>49</v>
      </c>
      <c r="C221" s="18"/>
      <c r="D221" s="19"/>
      <c r="E221" s="19"/>
      <c r="F221" s="20">
        <f t="shared" si="2"/>
        <v>0</v>
      </c>
      <c r="G221" s="21">
        <f>IFERROR(VLOOKUP(B221,DADOS!$A$2:$H$252,8,0),"")</f>
        <v>42</v>
      </c>
      <c r="H221" s="35"/>
      <c r="I221" s="23">
        <f>IFERROR(VLOOKUP(B221,DADOS!$A$2:$H$252,4,0)*H221,"")</f>
        <v>0</v>
      </c>
      <c r="J221" s="24">
        <v>14.0</v>
      </c>
      <c r="K221" s="25">
        <f>IFERROR(VLOOKUP(B221,DADOS!$A$2:$H$252,4,0)*J221,"")</f>
        <v>0.9524284</v>
      </c>
      <c r="L221" s="26" t="str">
        <f t="shared" si="3"/>
        <v/>
      </c>
      <c r="M221" s="30" t="s">
        <v>39</v>
      </c>
      <c r="N221" s="30"/>
      <c r="O221" s="28"/>
      <c r="P221" s="28"/>
      <c r="Q221" s="28"/>
      <c r="R221" s="28"/>
      <c r="S221" s="28"/>
    </row>
    <row r="222">
      <c r="A222" s="17">
        <v>45400.0</v>
      </c>
      <c r="B222" s="18" t="s">
        <v>98</v>
      </c>
      <c r="C222" s="18"/>
      <c r="D222" s="19"/>
      <c r="E222" s="19"/>
      <c r="F222" s="20">
        <f t="shared" si="2"/>
        <v>0</v>
      </c>
      <c r="G222" s="21">
        <f>IFERROR(VLOOKUP(B222,DADOS!$A$2:$H$252,8,0),"")</f>
        <v>100</v>
      </c>
      <c r="H222" s="35"/>
      <c r="I222" s="23">
        <f>IFERROR(VLOOKUP(B222,DADOS!$A$2:$H$252,4,0)*H222,"")</f>
        <v>0</v>
      </c>
      <c r="J222" s="24">
        <v>2.0</v>
      </c>
      <c r="K222" s="25">
        <f>IFERROR(VLOOKUP(B222,DADOS!$A$2:$H$252,4,0)*J222,"")</f>
        <v>0.53928</v>
      </c>
      <c r="L222" s="26" t="str">
        <f t="shared" si="3"/>
        <v/>
      </c>
      <c r="M222" s="30" t="s">
        <v>39</v>
      </c>
      <c r="N222" s="30"/>
      <c r="O222" s="28"/>
      <c r="P222" s="28"/>
      <c r="Q222" s="28"/>
      <c r="R222" s="28"/>
      <c r="S222" s="28"/>
    </row>
    <row r="223">
      <c r="A223" s="17">
        <v>45401.0</v>
      </c>
      <c r="B223" s="18" t="s">
        <v>37</v>
      </c>
      <c r="C223" s="18" t="s">
        <v>17</v>
      </c>
      <c r="D223" s="19">
        <v>0.32013888888888886</v>
      </c>
      <c r="E223" s="19">
        <v>0.3923611111111111</v>
      </c>
      <c r="F223" s="20">
        <f t="shared" si="2"/>
        <v>0.07222222222</v>
      </c>
      <c r="G223" s="21" t="str">
        <f>IFERROR(VLOOKUP(B223,DADOS!$A$2:$H$252,8,0),"")</f>
        <v/>
      </c>
      <c r="H223" s="22">
        <v>157.0</v>
      </c>
      <c r="I223" s="23" t="str">
        <f>IFERROR(VLOOKUP(B223,DADOS!$A$2:$H$252,4,0)*H223,"")</f>
        <v/>
      </c>
      <c r="J223" s="36"/>
      <c r="K223" s="25" t="str">
        <f>IFERROR(VLOOKUP(B223,DADOS!$A$2:$H$252,4,0)*J223,"")</f>
        <v/>
      </c>
      <c r="L223" s="26" t="str">
        <f t="shared" si="3"/>
        <v/>
      </c>
      <c r="M223" s="27"/>
      <c r="N223" s="30"/>
      <c r="O223" s="28"/>
      <c r="P223" s="28"/>
      <c r="Q223" s="28"/>
      <c r="R223" s="28"/>
      <c r="S223" s="28"/>
    </row>
    <row r="224">
      <c r="A224" s="17">
        <v>45401.0</v>
      </c>
      <c r="B224" s="18" t="s">
        <v>72</v>
      </c>
      <c r="C224" s="18" t="s">
        <v>17</v>
      </c>
      <c r="D224" s="19">
        <v>0.40555555555555556</v>
      </c>
      <c r="E224" s="19">
        <v>0.4930555555555556</v>
      </c>
      <c r="F224" s="20">
        <f t="shared" si="2"/>
        <v>0.0875</v>
      </c>
      <c r="G224" s="21">
        <f>IFERROR(VLOOKUP(B224,DADOS!$A$2:$H$252,8,0),"")</f>
        <v>43</v>
      </c>
      <c r="H224" s="22">
        <v>130.0</v>
      </c>
      <c r="I224" s="23">
        <f>IFERROR(VLOOKUP(B224,DADOS!$A$2:$H$252,4,0)*H224,"")</f>
        <v>2.2256</v>
      </c>
      <c r="J224" s="36"/>
      <c r="K224" s="25">
        <f>IFERROR(VLOOKUP(B224,DADOS!$A$2:$H$252,4,0)*J224,"")</f>
        <v>0</v>
      </c>
      <c r="L224" s="26">
        <f t="shared" si="3"/>
        <v>0</v>
      </c>
      <c r="M224" s="27"/>
      <c r="N224" s="30"/>
      <c r="O224" s="28"/>
      <c r="P224" s="28"/>
      <c r="Q224" s="28"/>
      <c r="R224" s="28"/>
      <c r="S224" s="28"/>
    </row>
    <row r="225">
      <c r="A225" s="17">
        <v>45401.0</v>
      </c>
      <c r="B225" s="18" t="s">
        <v>72</v>
      </c>
      <c r="C225" s="18" t="s">
        <v>17</v>
      </c>
      <c r="D225" s="19">
        <v>0.5472222222222223</v>
      </c>
      <c r="E225" s="19">
        <v>0.5666666666666667</v>
      </c>
      <c r="F225" s="20">
        <f t="shared" si="2"/>
        <v>0.01944444444</v>
      </c>
      <c r="G225" s="21">
        <f>IFERROR(VLOOKUP(B225,DADOS!$A$2:$H$252,8,0),"")</f>
        <v>43</v>
      </c>
      <c r="H225" s="22">
        <v>27.0</v>
      </c>
      <c r="I225" s="23">
        <f>IFERROR(VLOOKUP(B225,DADOS!$A$2:$H$252,4,0)*H225,"")</f>
        <v>0.46224</v>
      </c>
      <c r="J225" s="36"/>
      <c r="K225" s="25">
        <f>IFERROR(VLOOKUP(B225,DADOS!$A$2:$H$252,4,0)*J225,"")</f>
        <v>0</v>
      </c>
      <c r="L225" s="26">
        <f t="shared" si="3"/>
        <v>0</v>
      </c>
      <c r="M225" s="27"/>
      <c r="N225" s="30"/>
      <c r="O225" s="28"/>
      <c r="P225" s="28"/>
      <c r="Q225" s="28"/>
      <c r="R225" s="28"/>
      <c r="S225" s="28"/>
    </row>
    <row r="226">
      <c r="A226" s="17">
        <v>45401.0</v>
      </c>
      <c r="B226" s="18" t="s">
        <v>72</v>
      </c>
      <c r="C226" s="18" t="s">
        <v>17</v>
      </c>
      <c r="D226" s="19">
        <v>0.5854166666666667</v>
      </c>
      <c r="E226" s="19">
        <v>0.6104166666666667</v>
      </c>
      <c r="F226" s="20">
        <f t="shared" si="2"/>
        <v>0.025</v>
      </c>
      <c r="G226" s="21">
        <f>IFERROR(VLOOKUP(B226,DADOS!$A$2:$H$252,8,0),"")</f>
        <v>43</v>
      </c>
      <c r="H226" s="22">
        <v>38.0</v>
      </c>
      <c r="I226" s="23">
        <f>IFERROR(VLOOKUP(B226,DADOS!$A$2:$H$252,4,0)*H226,"")</f>
        <v>0.65056</v>
      </c>
      <c r="J226" s="36"/>
      <c r="K226" s="25">
        <f>IFERROR(VLOOKUP(B226,DADOS!$A$2:$H$252,4,0)*J226,"")</f>
        <v>0</v>
      </c>
      <c r="L226" s="26">
        <f t="shared" si="3"/>
        <v>0</v>
      </c>
      <c r="M226" s="27"/>
      <c r="N226" s="30"/>
      <c r="O226" s="28"/>
      <c r="P226" s="28"/>
      <c r="Q226" s="28"/>
      <c r="R226" s="28"/>
      <c r="S226" s="28"/>
    </row>
    <row r="227">
      <c r="A227" s="17">
        <v>45402.0</v>
      </c>
      <c r="B227" s="18" t="s">
        <v>22</v>
      </c>
      <c r="C227" s="18" t="s">
        <v>23</v>
      </c>
      <c r="D227" s="29">
        <v>0.2916666666666667</v>
      </c>
      <c r="E227" s="29">
        <v>0.4791666666666667</v>
      </c>
      <c r="F227" s="20">
        <f t="shared" si="2"/>
        <v>0.1875</v>
      </c>
      <c r="G227" s="21">
        <f>IFERROR(VLOOKUP(B227,DADOS!$A$2:$H$252,8,0),"")</f>
        <v>15</v>
      </c>
      <c r="H227" s="22">
        <v>50.0</v>
      </c>
      <c r="I227" s="23">
        <f>IFERROR(VLOOKUP(B227,DADOS!$A$2:$H$252,4,0)*H227,"")</f>
        <v>30.61377</v>
      </c>
      <c r="J227" s="36"/>
      <c r="K227" s="25">
        <f>IFERROR(VLOOKUP(B227,DADOS!$A$2:$H$252,4,0)*J227,"")</f>
        <v>0</v>
      </c>
      <c r="L227" s="26">
        <f t="shared" si="3"/>
        <v>0</v>
      </c>
      <c r="M227" s="27"/>
      <c r="N227" s="30"/>
      <c r="O227" s="28"/>
      <c r="P227" s="28"/>
      <c r="Q227" s="28"/>
      <c r="R227" s="28"/>
      <c r="S227" s="28"/>
    </row>
    <row r="228">
      <c r="A228" s="17">
        <v>45404.0</v>
      </c>
      <c r="B228" s="18" t="s">
        <v>49</v>
      </c>
      <c r="C228" s="18" t="s">
        <v>97</v>
      </c>
      <c r="D228" s="19"/>
      <c r="E228" s="19"/>
      <c r="F228" s="20">
        <f t="shared" si="2"/>
        <v>0</v>
      </c>
      <c r="G228" s="21">
        <f>IFERROR(VLOOKUP(B228,DADOS!$A$2:$H$252,8,0),"")</f>
        <v>42</v>
      </c>
      <c r="H228" s="22">
        <v>43.0</v>
      </c>
      <c r="I228" s="23">
        <f>IFERROR(VLOOKUP(B228,DADOS!$A$2:$H$252,4,0)*H228,"")</f>
        <v>2.9253158</v>
      </c>
      <c r="J228" s="24">
        <v>2.0</v>
      </c>
      <c r="K228" s="25">
        <f>IFERROR(VLOOKUP(B228,DADOS!$A$2:$H$252,4,0)*J228,"")</f>
        <v>0.1360612</v>
      </c>
      <c r="L228" s="26">
        <f t="shared" si="3"/>
        <v>0.04651162791</v>
      </c>
      <c r="M228" s="27"/>
      <c r="N228" s="30"/>
      <c r="O228" s="28"/>
      <c r="P228" s="28"/>
      <c r="Q228" s="28"/>
      <c r="R228" s="28"/>
      <c r="S228" s="28"/>
    </row>
    <row r="229">
      <c r="A229" s="17">
        <v>45404.0</v>
      </c>
      <c r="B229" s="18" t="s">
        <v>47</v>
      </c>
      <c r="C229" s="18" t="s">
        <v>97</v>
      </c>
      <c r="D229" s="19"/>
      <c r="E229" s="19"/>
      <c r="F229" s="20">
        <f t="shared" si="2"/>
        <v>0</v>
      </c>
      <c r="G229" s="21">
        <f>IFERROR(VLOOKUP(B229,DADOS!$A$2:$H$252,8,0),"")</f>
        <v>35</v>
      </c>
      <c r="H229" s="22">
        <v>35.0</v>
      </c>
      <c r="I229" s="23">
        <f>IFERROR(VLOOKUP(B229,DADOS!$A$2:$H$252,4,0)*H229,"")</f>
        <v>3.987676</v>
      </c>
      <c r="J229" s="24">
        <v>4.0</v>
      </c>
      <c r="K229" s="25">
        <f>IFERROR(VLOOKUP(B229,DADOS!$A$2:$H$252,4,0)*J229,"")</f>
        <v>0.4557344</v>
      </c>
      <c r="L229" s="26">
        <f t="shared" si="3"/>
        <v>0.1142857143</v>
      </c>
      <c r="M229" s="27"/>
      <c r="N229" s="30"/>
      <c r="O229" s="28"/>
      <c r="P229" s="28"/>
      <c r="Q229" s="28"/>
      <c r="R229" s="28"/>
      <c r="S229" s="28"/>
    </row>
    <row r="230">
      <c r="A230" s="17">
        <v>45404.0</v>
      </c>
      <c r="B230" s="18" t="s">
        <v>25</v>
      </c>
      <c r="C230" s="18" t="s">
        <v>97</v>
      </c>
      <c r="D230" s="19"/>
      <c r="E230" s="19"/>
      <c r="F230" s="20">
        <f t="shared" si="2"/>
        <v>0</v>
      </c>
      <c r="G230" s="21">
        <f>IFERROR(VLOOKUP(B230,DADOS!$A$2:$H$252,8,0),"")</f>
        <v>40</v>
      </c>
      <c r="H230" s="22">
        <v>4.0</v>
      </c>
      <c r="I230" s="23">
        <f>IFERROR(VLOOKUP(B230,DADOS!$A$2:$H$252,4,0)*H230,"")</f>
        <v>0.414304</v>
      </c>
      <c r="J230" s="36"/>
      <c r="K230" s="25">
        <f>IFERROR(VLOOKUP(B230,DADOS!$A$2:$H$252,4,0)*J230,"")</f>
        <v>0</v>
      </c>
      <c r="L230" s="26">
        <f t="shared" si="3"/>
        <v>0</v>
      </c>
      <c r="M230" s="27"/>
      <c r="N230" s="30"/>
      <c r="O230" s="28"/>
      <c r="P230" s="28"/>
      <c r="Q230" s="28"/>
      <c r="R230" s="28"/>
      <c r="S230" s="28"/>
    </row>
    <row r="231">
      <c r="A231" s="17">
        <v>45405.0</v>
      </c>
      <c r="B231" s="18" t="s">
        <v>26</v>
      </c>
      <c r="C231" s="18" t="s">
        <v>19</v>
      </c>
      <c r="D231" s="19"/>
      <c r="E231" s="19"/>
      <c r="F231" s="20">
        <f t="shared" si="2"/>
        <v>0</v>
      </c>
      <c r="G231" s="21">
        <f>IFERROR(VLOOKUP(B231,DADOS!$A$2:$H$252,8,0),"")</f>
        <v>50</v>
      </c>
      <c r="H231" s="22">
        <v>90.0</v>
      </c>
      <c r="I231" s="23">
        <f>IFERROR(VLOOKUP(B231,DADOS!$A$2:$H$252,4,0)*H231,"")</f>
        <v>10.254024</v>
      </c>
      <c r="J231" s="24">
        <v>3.0</v>
      </c>
      <c r="K231" s="25">
        <f>IFERROR(VLOOKUP(B231,DADOS!$A$2:$H$252,4,0)*J231,"")</f>
        <v>0.3418008</v>
      </c>
      <c r="L231" s="26">
        <f t="shared" si="3"/>
        <v>0.03333333333</v>
      </c>
      <c r="M231" s="27"/>
      <c r="N231" s="30"/>
      <c r="O231" s="28"/>
      <c r="P231" s="28"/>
      <c r="Q231" s="28"/>
      <c r="R231" s="28"/>
      <c r="S231" s="28"/>
    </row>
    <row r="232">
      <c r="A232" s="17">
        <v>45405.0</v>
      </c>
      <c r="B232" s="18" t="s">
        <v>25</v>
      </c>
      <c r="C232" s="18" t="s">
        <v>97</v>
      </c>
      <c r="D232" s="19"/>
      <c r="E232" s="19"/>
      <c r="F232" s="20">
        <f t="shared" si="2"/>
        <v>0</v>
      </c>
      <c r="G232" s="21">
        <f>IFERROR(VLOOKUP(B232,DADOS!$A$2:$H$252,8,0),"")</f>
        <v>40</v>
      </c>
      <c r="H232" s="22">
        <v>99.0</v>
      </c>
      <c r="I232" s="23">
        <f>IFERROR(VLOOKUP(B232,DADOS!$A$2:$H$252,4,0)*H232,"")</f>
        <v>10.254024</v>
      </c>
      <c r="J232" s="24">
        <v>7.0</v>
      </c>
      <c r="K232" s="25">
        <f>IFERROR(VLOOKUP(B232,DADOS!$A$2:$H$252,4,0)*J232,"")</f>
        <v>0.725032</v>
      </c>
      <c r="L232" s="26">
        <f t="shared" si="3"/>
        <v>0.07070707071</v>
      </c>
      <c r="M232" s="27"/>
      <c r="N232" s="30"/>
      <c r="O232" s="28"/>
      <c r="P232" s="28"/>
      <c r="Q232" s="28"/>
      <c r="R232" s="28"/>
      <c r="S232" s="28"/>
    </row>
    <row r="233">
      <c r="A233" s="17">
        <v>45406.0</v>
      </c>
      <c r="B233" s="18" t="s">
        <v>18</v>
      </c>
      <c r="C233" s="18" t="s">
        <v>97</v>
      </c>
      <c r="D233" s="19"/>
      <c r="E233" s="19"/>
      <c r="F233" s="20">
        <f t="shared" si="2"/>
        <v>0</v>
      </c>
      <c r="G233" s="21">
        <f>IFERROR(VLOOKUP(B233,DADOS!$A$2:$H$252,8,0),"")</f>
        <v>21</v>
      </c>
      <c r="H233" s="22">
        <v>82.0</v>
      </c>
      <c r="I233" s="23">
        <f>IFERROR(VLOOKUP(B233,DADOS!$A$2:$H$252,4,0)*H233,"")</f>
        <v>24.023212</v>
      </c>
      <c r="J233" s="24">
        <v>1.0</v>
      </c>
      <c r="K233" s="25">
        <f>IFERROR(VLOOKUP(B233,DADOS!$A$2:$H$252,4,0)*J233,"")</f>
        <v>0.292966</v>
      </c>
      <c r="L233" s="26">
        <f t="shared" si="3"/>
        <v>0.01219512195</v>
      </c>
      <c r="M233" s="27"/>
      <c r="N233" s="30"/>
      <c r="O233" s="28"/>
      <c r="P233" s="28"/>
      <c r="Q233" s="28"/>
      <c r="R233" s="28"/>
      <c r="S233" s="28"/>
    </row>
    <row r="234">
      <c r="A234" s="17">
        <v>45407.0</v>
      </c>
      <c r="B234" s="18" t="s">
        <v>18</v>
      </c>
      <c r="C234" s="18" t="s">
        <v>97</v>
      </c>
      <c r="D234" s="19"/>
      <c r="E234" s="19"/>
      <c r="F234" s="20">
        <f t="shared" si="2"/>
        <v>0</v>
      </c>
      <c r="G234" s="21">
        <f>IFERROR(VLOOKUP(B234,DADOS!$A$2:$H$252,8,0),"")</f>
        <v>21</v>
      </c>
      <c r="H234" s="22">
        <v>70.0</v>
      </c>
      <c r="I234" s="23">
        <f>IFERROR(VLOOKUP(B234,DADOS!$A$2:$H$252,4,0)*H234,"")</f>
        <v>20.50762</v>
      </c>
      <c r="J234" s="36"/>
      <c r="K234" s="25">
        <f>IFERROR(VLOOKUP(B234,DADOS!$A$2:$H$252,4,0)*J234,"")</f>
        <v>0</v>
      </c>
      <c r="L234" s="26">
        <f t="shared" si="3"/>
        <v>0</v>
      </c>
      <c r="M234" s="27"/>
      <c r="N234" s="30"/>
      <c r="O234" s="28"/>
      <c r="P234" s="28"/>
      <c r="Q234" s="28"/>
      <c r="R234" s="28"/>
      <c r="S234" s="28"/>
    </row>
    <row r="235">
      <c r="A235" s="17">
        <v>45407.0</v>
      </c>
      <c r="B235" s="18" t="s">
        <v>25</v>
      </c>
      <c r="C235" s="18" t="s">
        <v>97</v>
      </c>
      <c r="D235" s="19"/>
      <c r="E235" s="19"/>
      <c r="F235" s="20">
        <f t="shared" si="2"/>
        <v>0</v>
      </c>
      <c r="G235" s="21">
        <f>IFERROR(VLOOKUP(B235,DADOS!$A$2:$H$252,8,0),"")</f>
        <v>40</v>
      </c>
      <c r="H235" s="22">
        <v>10.0</v>
      </c>
      <c r="I235" s="23">
        <f>IFERROR(VLOOKUP(B235,DADOS!$A$2:$H$252,4,0)*H235,"")</f>
        <v>1.03576</v>
      </c>
      <c r="J235" s="36"/>
      <c r="K235" s="25">
        <f>IFERROR(VLOOKUP(B235,DADOS!$A$2:$H$252,4,0)*J235,"")</f>
        <v>0</v>
      </c>
      <c r="L235" s="26">
        <f t="shared" si="3"/>
        <v>0</v>
      </c>
      <c r="M235" s="27"/>
      <c r="N235" s="30"/>
      <c r="O235" s="28"/>
      <c r="P235" s="28"/>
      <c r="Q235" s="28"/>
      <c r="R235" s="28"/>
      <c r="S235" s="28"/>
    </row>
    <row r="236">
      <c r="A236" s="17">
        <v>45408.0</v>
      </c>
      <c r="B236" s="18" t="s">
        <v>54</v>
      </c>
      <c r="C236" s="18" t="s">
        <v>19</v>
      </c>
      <c r="D236" s="19"/>
      <c r="E236" s="19"/>
      <c r="F236" s="20">
        <f t="shared" si="2"/>
        <v>0</v>
      </c>
      <c r="G236" s="21" t="str">
        <f>IFERROR(VLOOKUP(B236,DADOS!$A$2:$H$252,8,0),"")</f>
        <v/>
      </c>
      <c r="H236" s="22">
        <v>20.0</v>
      </c>
      <c r="I236" s="23">
        <f>IFERROR(VLOOKUP(B236,DADOS!$A$2:$H$252,4,0)*H236,"")</f>
        <v>28.048124</v>
      </c>
      <c r="J236" s="36"/>
      <c r="K236" s="25">
        <f>IFERROR(VLOOKUP(B236,DADOS!$A$2:$H$252,4,0)*J236,"")</f>
        <v>0</v>
      </c>
      <c r="L236" s="26">
        <f t="shared" si="3"/>
        <v>0</v>
      </c>
      <c r="M236" s="27"/>
      <c r="N236" s="30"/>
      <c r="O236" s="28"/>
      <c r="P236" s="28"/>
      <c r="Q236" s="28"/>
      <c r="R236" s="28"/>
      <c r="S236" s="28"/>
    </row>
    <row r="237">
      <c r="A237" s="17">
        <v>45408.0</v>
      </c>
      <c r="B237" s="18" t="s">
        <v>33</v>
      </c>
      <c r="C237" s="18" t="s">
        <v>19</v>
      </c>
      <c r="D237" s="19"/>
      <c r="E237" s="19"/>
      <c r="F237" s="20">
        <f t="shared" si="2"/>
        <v>0</v>
      </c>
      <c r="G237" s="21">
        <f>IFERROR(VLOOKUP(B237,DADOS!$A$2:$H$252,8,0),"")</f>
        <v>7</v>
      </c>
      <c r="H237" s="22">
        <v>20.0</v>
      </c>
      <c r="I237" s="23">
        <f>IFERROR(VLOOKUP(B237,DADOS!$A$2:$H$252,4,0)*H237,"")</f>
        <v>28.048124</v>
      </c>
      <c r="J237" s="36"/>
      <c r="K237" s="25">
        <f>IFERROR(VLOOKUP(B237,DADOS!$A$2:$H$252,4,0)*J237,"")</f>
        <v>0</v>
      </c>
      <c r="L237" s="26">
        <f t="shared" si="3"/>
        <v>0</v>
      </c>
      <c r="M237" s="27"/>
      <c r="N237" s="30"/>
      <c r="O237" s="28"/>
      <c r="P237" s="28"/>
      <c r="Q237" s="28"/>
      <c r="R237" s="28"/>
      <c r="S237" s="28"/>
    </row>
    <row r="238">
      <c r="A238" s="17">
        <v>45408.0</v>
      </c>
      <c r="B238" s="18" t="s">
        <v>25</v>
      </c>
      <c r="C238" s="18" t="s">
        <v>97</v>
      </c>
      <c r="D238" s="19">
        <v>0.3229166666666667</v>
      </c>
      <c r="E238" s="19">
        <v>0.49583333333333335</v>
      </c>
      <c r="F238" s="20">
        <f t="shared" si="2"/>
        <v>0.1729166667</v>
      </c>
      <c r="G238" s="21">
        <f>IFERROR(VLOOKUP(B238,DADOS!$A$2:$H$252,8,0),"")</f>
        <v>40</v>
      </c>
      <c r="H238" s="22">
        <v>63.0</v>
      </c>
      <c r="I238" s="23">
        <f>IFERROR(VLOOKUP(B238,DADOS!$A$2:$H$252,4,0)*H238,"")</f>
        <v>6.525288</v>
      </c>
      <c r="J238" s="36"/>
      <c r="K238" s="25">
        <f>IFERROR(VLOOKUP(B238,DADOS!$A$2:$H$252,4,0)*J238,"")</f>
        <v>0</v>
      </c>
      <c r="L238" s="26">
        <f t="shared" si="3"/>
        <v>0</v>
      </c>
      <c r="M238" s="27"/>
      <c r="N238" s="30"/>
      <c r="O238" s="28"/>
      <c r="P238" s="28"/>
      <c r="Q238" s="28"/>
      <c r="R238" s="28"/>
      <c r="S238" s="28"/>
    </row>
    <row r="239">
      <c r="A239" s="17">
        <v>45408.0</v>
      </c>
      <c r="B239" s="18" t="s">
        <v>25</v>
      </c>
      <c r="C239" s="18" t="s">
        <v>97</v>
      </c>
      <c r="D239" s="19">
        <v>0.5520833333333334</v>
      </c>
      <c r="E239" s="19">
        <v>0.59375</v>
      </c>
      <c r="F239" s="20">
        <f t="shared" si="2"/>
        <v>0.04166666667</v>
      </c>
      <c r="G239" s="21">
        <f>IFERROR(VLOOKUP(B239,DADOS!$A$2:$H$252,8,0),"")</f>
        <v>40</v>
      </c>
      <c r="H239" s="22">
        <v>19.0</v>
      </c>
      <c r="I239" s="23">
        <f>IFERROR(VLOOKUP(B239,DADOS!$A$2:$H$252,4,0)*H239,"")</f>
        <v>1.967944</v>
      </c>
      <c r="J239" s="36"/>
      <c r="K239" s="25">
        <f>IFERROR(VLOOKUP(B239,DADOS!$A$2:$H$252,4,0)*J239,"")</f>
        <v>0</v>
      </c>
      <c r="L239" s="26">
        <f t="shared" si="3"/>
        <v>0</v>
      </c>
      <c r="M239" s="27"/>
      <c r="N239" s="30"/>
      <c r="O239" s="28"/>
      <c r="P239" s="28"/>
      <c r="Q239" s="28"/>
      <c r="R239" s="28"/>
      <c r="S239" s="28"/>
    </row>
    <row r="240">
      <c r="A240" s="17">
        <v>45408.0</v>
      </c>
      <c r="B240" s="18" t="s">
        <v>112</v>
      </c>
      <c r="C240" s="18" t="s">
        <v>97</v>
      </c>
      <c r="D240" s="19"/>
      <c r="E240" s="19"/>
      <c r="F240" s="20">
        <f t="shared" si="2"/>
        <v>0</v>
      </c>
      <c r="G240" s="21">
        <f>IFERROR(VLOOKUP(B240,DADOS!$A$2:$H$252,8,0),"")</f>
        <v>35</v>
      </c>
      <c r="H240" s="22">
        <v>19.0</v>
      </c>
      <c r="I240" s="23">
        <f>IFERROR(VLOOKUP(B240,DADOS!$A$2:$H$252,4,0)*H240,"")</f>
        <v>2.1647384</v>
      </c>
      <c r="J240" s="36"/>
      <c r="K240" s="25">
        <f>IFERROR(VLOOKUP(B240,DADOS!$A$2:$H$252,4,0)*J240,"")</f>
        <v>0</v>
      </c>
      <c r="L240" s="26">
        <f t="shared" si="3"/>
        <v>0</v>
      </c>
      <c r="M240" s="27"/>
      <c r="N240" s="30"/>
      <c r="O240" s="28"/>
      <c r="P240" s="28"/>
      <c r="Q240" s="28"/>
      <c r="R240" s="28"/>
      <c r="S240" s="28"/>
    </row>
    <row r="241">
      <c r="A241" s="17">
        <v>45409.0</v>
      </c>
      <c r="B241" s="18" t="s">
        <v>54</v>
      </c>
      <c r="C241" s="18" t="s">
        <v>23</v>
      </c>
      <c r="D241" s="19"/>
      <c r="E241" s="19"/>
      <c r="F241" s="20">
        <f t="shared" si="2"/>
        <v>0</v>
      </c>
      <c r="G241" s="21" t="str">
        <f>IFERROR(VLOOKUP(B241,DADOS!$A$2:$H$252,8,0),"")</f>
        <v/>
      </c>
      <c r="H241" s="22">
        <v>21.0</v>
      </c>
      <c r="I241" s="23">
        <f>IFERROR(VLOOKUP(B241,DADOS!$A$2:$H$252,4,0)*H241,"")</f>
        <v>29.4505302</v>
      </c>
      <c r="J241" s="36"/>
      <c r="K241" s="25">
        <f>IFERROR(VLOOKUP(B241,DADOS!$A$2:$H$252,4,0)*J241,"")</f>
        <v>0</v>
      </c>
      <c r="L241" s="26">
        <f t="shared" si="3"/>
        <v>0</v>
      </c>
      <c r="M241" s="27"/>
      <c r="N241" s="30"/>
      <c r="O241" s="28"/>
      <c r="P241" s="28"/>
      <c r="Q241" s="28"/>
      <c r="R241" s="28"/>
      <c r="S241" s="28"/>
    </row>
    <row r="242">
      <c r="A242" s="17">
        <v>45409.0</v>
      </c>
      <c r="B242" s="18" t="s">
        <v>33</v>
      </c>
      <c r="C242" s="18" t="s">
        <v>23</v>
      </c>
      <c r="D242" s="19"/>
      <c r="E242" s="19"/>
      <c r="F242" s="20">
        <f t="shared" si="2"/>
        <v>0</v>
      </c>
      <c r="G242" s="21">
        <f>IFERROR(VLOOKUP(B242,DADOS!$A$2:$H$252,8,0),"")</f>
        <v>7</v>
      </c>
      <c r="H242" s="22">
        <v>21.0</v>
      </c>
      <c r="I242" s="23">
        <f>IFERROR(VLOOKUP(B242,DADOS!$A$2:$H$252,4,0)*H242,"")</f>
        <v>29.4505302</v>
      </c>
      <c r="J242" s="36"/>
      <c r="K242" s="25">
        <f>IFERROR(VLOOKUP(B242,DADOS!$A$2:$H$252,4,0)*J242,"")</f>
        <v>0</v>
      </c>
      <c r="L242" s="26">
        <f t="shared" si="3"/>
        <v>0</v>
      </c>
      <c r="M242" s="27"/>
      <c r="N242" s="30"/>
      <c r="O242" s="28"/>
      <c r="P242" s="28"/>
      <c r="Q242" s="28"/>
      <c r="R242" s="28"/>
      <c r="S242" s="28"/>
    </row>
    <row r="243">
      <c r="A243" s="17">
        <v>45409.0</v>
      </c>
      <c r="B243" s="18" t="s">
        <v>113</v>
      </c>
      <c r="C243" s="18" t="s">
        <v>23</v>
      </c>
      <c r="D243" s="19"/>
      <c r="E243" s="19"/>
      <c r="F243" s="20">
        <f t="shared" si="2"/>
        <v>0</v>
      </c>
      <c r="G243" s="21">
        <f>IFERROR(VLOOKUP(B243,DADOS!$A$2:$H$252,8,0),"")</f>
        <v>8</v>
      </c>
      <c r="H243" s="22">
        <v>20.0</v>
      </c>
      <c r="I243" s="23">
        <f>IFERROR(VLOOKUP(B243,DADOS!$A$2:$H$252,4,0)*H243,"")</f>
        <v>12.730432</v>
      </c>
      <c r="J243" s="24">
        <v>1.0</v>
      </c>
      <c r="K243" s="25">
        <f>IFERROR(VLOOKUP(B243,DADOS!$A$2:$H$252,4,0)*J243,"")</f>
        <v>0.6365216</v>
      </c>
      <c r="L243" s="26">
        <f t="shared" si="3"/>
        <v>0.05</v>
      </c>
      <c r="M243" s="27"/>
      <c r="N243" s="30"/>
      <c r="O243" s="28"/>
      <c r="P243" s="28"/>
      <c r="Q243" s="28"/>
      <c r="R243" s="28"/>
      <c r="S243" s="28"/>
    </row>
    <row r="244">
      <c r="A244" s="17">
        <v>45411.0</v>
      </c>
      <c r="B244" s="18" t="s">
        <v>114</v>
      </c>
      <c r="C244" s="18" t="s">
        <v>19</v>
      </c>
      <c r="D244" s="19"/>
      <c r="E244" s="19"/>
      <c r="F244" s="20">
        <f t="shared" si="2"/>
        <v>0</v>
      </c>
      <c r="G244" s="21">
        <f>IFERROR(VLOOKUP(B244,DADOS!$A$2:$H$252,8,0),"")</f>
        <v>17</v>
      </c>
      <c r="H244" s="22">
        <v>7.0</v>
      </c>
      <c r="I244" s="23">
        <f>IFERROR(VLOOKUP(B244,DADOS!$A$2:$H$252,4,0)*H244,"")</f>
        <v>4.2859278</v>
      </c>
      <c r="J244" s="24">
        <v>2.0</v>
      </c>
      <c r="K244" s="25">
        <f>IFERROR(VLOOKUP(B244,DADOS!$A$2:$H$252,4,0)*J244,"")</f>
        <v>1.2245508</v>
      </c>
      <c r="L244" s="26">
        <f t="shared" si="3"/>
        <v>0.2857142857</v>
      </c>
      <c r="M244" s="27"/>
      <c r="N244" s="30"/>
      <c r="O244" s="28"/>
      <c r="P244" s="28"/>
      <c r="Q244" s="28"/>
      <c r="R244" s="28"/>
      <c r="S244" s="28"/>
    </row>
    <row r="245">
      <c r="A245" s="17">
        <v>45411.0</v>
      </c>
      <c r="B245" s="18" t="s">
        <v>48</v>
      </c>
      <c r="C245" s="18" t="s">
        <v>19</v>
      </c>
      <c r="D245" s="19"/>
      <c r="E245" s="19"/>
      <c r="F245" s="20">
        <f t="shared" si="2"/>
        <v>0</v>
      </c>
      <c r="G245" s="21">
        <f>IFERROR(VLOOKUP(B245,DADOS!$A$2:$H$252,8,0),"")</f>
        <v>6</v>
      </c>
      <c r="H245" s="22">
        <v>21.0</v>
      </c>
      <c r="I245" s="23">
        <f>IFERROR(VLOOKUP(B245,DADOS!$A$2:$H$252,4,0)*H245,"")</f>
        <v>2.3926056</v>
      </c>
      <c r="J245" s="24">
        <v>4.0</v>
      </c>
      <c r="K245" s="25">
        <f>IFERROR(VLOOKUP(B245,DADOS!$A$2:$H$252,4,0)*J245,"")</f>
        <v>0.4557344</v>
      </c>
      <c r="L245" s="26">
        <f t="shared" si="3"/>
        <v>0.1904761905</v>
      </c>
      <c r="M245" s="27"/>
      <c r="N245" s="30"/>
      <c r="O245" s="28"/>
      <c r="P245" s="28"/>
      <c r="Q245" s="28"/>
      <c r="R245" s="28"/>
      <c r="S245" s="28"/>
    </row>
    <row r="246">
      <c r="A246" s="17">
        <v>45411.0</v>
      </c>
      <c r="B246" s="18" t="s">
        <v>112</v>
      </c>
      <c r="C246" s="18" t="s">
        <v>97</v>
      </c>
      <c r="D246" s="19">
        <v>0.32916666666666666</v>
      </c>
      <c r="E246" s="19">
        <v>0.3402777777777778</v>
      </c>
      <c r="F246" s="20">
        <f t="shared" si="2"/>
        <v>0.01111111111</v>
      </c>
      <c r="G246" s="21">
        <f>IFERROR(VLOOKUP(B246,DADOS!$A$2:$H$252,8,0),"")</f>
        <v>35</v>
      </c>
      <c r="H246" s="22">
        <v>7.0</v>
      </c>
      <c r="I246" s="23">
        <f>IFERROR(VLOOKUP(B246,DADOS!$A$2:$H$252,4,0)*H246,"")</f>
        <v>0.7975352</v>
      </c>
      <c r="J246" s="36"/>
      <c r="K246" s="25">
        <f>IFERROR(VLOOKUP(B246,DADOS!$A$2:$H$252,4,0)*J246,"")</f>
        <v>0</v>
      </c>
      <c r="L246" s="26">
        <f t="shared" si="3"/>
        <v>0</v>
      </c>
      <c r="M246" s="27"/>
      <c r="N246" s="30"/>
      <c r="O246" s="28"/>
      <c r="P246" s="28"/>
      <c r="Q246" s="28"/>
      <c r="R246" s="28"/>
      <c r="S246" s="28"/>
    </row>
    <row r="247">
      <c r="A247" s="17">
        <v>45411.0</v>
      </c>
      <c r="B247" s="18" t="s">
        <v>105</v>
      </c>
      <c r="C247" s="18" t="s">
        <v>97</v>
      </c>
      <c r="D247" s="19">
        <v>0.4236111111111111</v>
      </c>
      <c r="E247" s="19">
        <v>0.7083333333333334</v>
      </c>
      <c r="F247" s="20">
        <f t="shared" si="2"/>
        <v>0.2847222222</v>
      </c>
      <c r="G247" s="21">
        <f>IFERROR(VLOOKUP(B247,DADOS!$A$2:$H$252,8,0),"")</f>
        <v>18</v>
      </c>
      <c r="H247" s="22">
        <v>68.0</v>
      </c>
      <c r="I247" s="23">
        <f>IFERROR(VLOOKUP(B247,DADOS!$A$2:$H$252,4,0)*H247,"")</f>
        <v>5.7785992</v>
      </c>
      <c r="J247" s="24">
        <v>6.0</v>
      </c>
      <c r="K247" s="25">
        <f>IFERROR(VLOOKUP(B247,DADOS!$A$2:$H$252,4,0)*J247,"")</f>
        <v>0.5098764</v>
      </c>
      <c r="L247" s="26">
        <f t="shared" si="3"/>
        <v>0.08823529412</v>
      </c>
      <c r="M247" s="27"/>
      <c r="N247" s="30"/>
      <c r="O247" s="28"/>
      <c r="P247" s="28"/>
      <c r="Q247" s="28"/>
      <c r="R247" s="28"/>
      <c r="S247" s="28"/>
    </row>
    <row r="248">
      <c r="A248" s="17">
        <v>45412.0</v>
      </c>
      <c r="B248" s="18" t="s">
        <v>105</v>
      </c>
      <c r="C248" s="18" t="s">
        <v>97</v>
      </c>
      <c r="D248" s="19"/>
      <c r="E248" s="19"/>
      <c r="F248" s="20">
        <f t="shared" si="2"/>
        <v>0</v>
      </c>
      <c r="G248" s="21">
        <f>IFERROR(VLOOKUP(B248,DADOS!$A$2:$H$252,8,0),"")</f>
        <v>18</v>
      </c>
      <c r="H248" s="22">
        <v>22.0</v>
      </c>
      <c r="I248" s="23">
        <f>IFERROR(VLOOKUP(B248,DADOS!$A$2:$H$252,4,0)*H248,"")</f>
        <v>1.8695468</v>
      </c>
      <c r="J248" s="36"/>
      <c r="K248" s="25">
        <f>IFERROR(VLOOKUP(B248,DADOS!$A$2:$H$252,4,0)*J248,"")</f>
        <v>0</v>
      </c>
      <c r="L248" s="26">
        <f t="shared" si="3"/>
        <v>0</v>
      </c>
      <c r="M248" s="27"/>
      <c r="N248" s="30"/>
      <c r="O248" s="28"/>
      <c r="P248" s="28"/>
      <c r="Q248" s="28"/>
      <c r="R248" s="28"/>
      <c r="S248" s="28"/>
    </row>
    <row r="249">
      <c r="A249" s="17">
        <v>45412.0</v>
      </c>
      <c r="B249" s="18" t="s">
        <v>62</v>
      </c>
      <c r="C249" s="18" t="s">
        <v>97</v>
      </c>
      <c r="D249" s="19"/>
      <c r="E249" s="19"/>
      <c r="F249" s="20">
        <f t="shared" si="2"/>
        <v>0</v>
      </c>
      <c r="G249" s="21">
        <f>IFERROR(VLOOKUP(B249,DADOS!$A$2:$H$252,8,0),"")</f>
        <v>14</v>
      </c>
      <c r="H249" s="22">
        <v>38.0</v>
      </c>
      <c r="I249" s="23">
        <f>IFERROR(VLOOKUP(B249,DADOS!$A$2:$H$252,4,0)*H249,"")</f>
        <v>3.2292172</v>
      </c>
      <c r="J249" s="24">
        <v>2.0</v>
      </c>
      <c r="K249" s="25">
        <f>IFERROR(VLOOKUP(B249,DADOS!$A$2:$H$252,4,0)*J249,"")</f>
        <v>0.1699588</v>
      </c>
      <c r="L249" s="26">
        <f t="shared" si="3"/>
        <v>0.05263157895</v>
      </c>
      <c r="M249" s="27"/>
      <c r="N249" s="30"/>
      <c r="O249" s="28"/>
      <c r="P249" s="28"/>
      <c r="Q249" s="28"/>
      <c r="R249" s="28"/>
      <c r="S249" s="28"/>
    </row>
    <row r="250">
      <c r="A250" s="17">
        <v>45414.0</v>
      </c>
      <c r="B250" s="18" t="s">
        <v>62</v>
      </c>
      <c r="C250" s="18" t="s">
        <v>97</v>
      </c>
      <c r="D250" s="19">
        <v>0.3263888888888889</v>
      </c>
      <c r="E250" s="19">
        <v>0.5833333333333334</v>
      </c>
      <c r="F250" s="20">
        <f t="shared" si="2"/>
        <v>0.2569444444</v>
      </c>
      <c r="G250" s="21">
        <f>IFERROR(VLOOKUP(B250,DADOS!$A$2:$H$252,8,0),"")</f>
        <v>14</v>
      </c>
      <c r="H250" s="22">
        <v>63.0</v>
      </c>
      <c r="I250" s="23">
        <f>IFERROR(VLOOKUP(B250,DADOS!$A$2:$H$252,4,0)*H250,"")</f>
        <v>5.3537022</v>
      </c>
      <c r="J250" s="24">
        <v>1.0</v>
      </c>
      <c r="K250" s="25">
        <f>IFERROR(VLOOKUP(B250,DADOS!$A$2:$H$252,4,0)*J250,"")</f>
        <v>0.0849794</v>
      </c>
      <c r="L250" s="26">
        <f t="shared" si="3"/>
        <v>0.01587301587</v>
      </c>
      <c r="M250" s="27"/>
      <c r="N250" s="30"/>
      <c r="O250" s="28"/>
      <c r="P250" s="28"/>
      <c r="Q250" s="28"/>
      <c r="R250" s="28"/>
      <c r="S250" s="28"/>
    </row>
    <row r="251">
      <c r="A251" s="17">
        <v>45414.0</v>
      </c>
      <c r="B251" s="18" t="s">
        <v>43</v>
      </c>
      <c r="C251" s="18" t="s">
        <v>97</v>
      </c>
      <c r="D251" s="19"/>
      <c r="E251" s="19"/>
      <c r="F251" s="20">
        <f t="shared" si="2"/>
        <v>0</v>
      </c>
      <c r="G251" s="21" t="str">
        <f>IFERROR(VLOOKUP(B251,DADOS!$A$2:$H$252,8,0),"")</f>
        <v/>
      </c>
      <c r="H251" s="22">
        <v>14.0</v>
      </c>
      <c r="I251" s="23" t="str">
        <f>IFERROR(VLOOKUP(B251,DADOS!$A$2:$H$252,4,0)*H251,"")</f>
        <v/>
      </c>
      <c r="J251" s="24">
        <v>2.0</v>
      </c>
      <c r="K251" s="25" t="str">
        <f>IFERROR(VLOOKUP(B251,DADOS!$A$2:$H$252,4,0)*J251,"")</f>
        <v/>
      </c>
      <c r="L251" s="26" t="str">
        <f t="shared" si="3"/>
        <v/>
      </c>
      <c r="M251" s="27"/>
      <c r="N251" s="30"/>
      <c r="O251" s="28"/>
      <c r="P251" s="28"/>
      <c r="Q251" s="28"/>
      <c r="R251" s="28"/>
      <c r="S251" s="28"/>
    </row>
    <row r="252">
      <c r="A252" s="17">
        <v>45415.0</v>
      </c>
      <c r="B252" s="18" t="s">
        <v>26</v>
      </c>
      <c r="C252" s="18" t="s">
        <v>19</v>
      </c>
      <c r="D252" s="19"/>
      <c r="E252" s="19"/>
      <c r="F252" s="20">
        <f t="shared" si="2"/>
        <v>0</v>
      </c>
      <c r="G252" s="21">
        <f>IFERROR(VLOOKUP(B252,DADOS!$A$2:$H$252,8,0),"")</f>
        <v>50</v>
      </c>
      <c r="H252" s="22">
        <v>94.0</v>
      </c>
      <c r="I252" s="23">
        <f>IFERROR(VLOOKUP(B252,DADOS!$A$2:$H$252,4,0)*H252,"")</f>
        <v>10.7097584</v>
      </c>
      <c r="J252" s="36"/>
      <c r="K252" s="25">
        <f>IFERROR(VLOOKUP(B252,DADOS!$A$2:$H$252,4,0)*J252,"")</f>
        <v>0</v>
      </c>
      <c r="L252" s="26">
        <f t="shared" si="3"/>
        <v>0</v>
      </c>
      <c r="M252" s="27"/>
      <c r="N252" s="30"/>
      <c r="O252" s="28"/>
      <c r="P252" s="28"/>
      <c r="Q252" s="28"/>
      <c r="R252" s="28"/>
      <c r="S252" s="28"/>
    </row>
    <row r="253">
      <c r="A253" s="17">
        <v>45415.0</v>
      </c>
      <c r="B253" s="18" t="s">
        <v>43</v>
      </c>
      <c r="C253" s="18" t="s">
        <v>97</v>
      </c>
      <c r="D253" s="19">
        <v>0.3298611111111111</v>
      </c>
      <c r="E253" s="19">
        <v>0.6805555555555556</v>
      </c>
      <c r="F253" s="20">
        <f t="shared" si="2"/>
        <v>0.3506944444</v>
      </c>
      <c r="G253" s="21" t="str">
        <f>IFERROR(VLOOKUP(B253,DADOS!$A$2:$H$252,8,0),"")</f>
        <v/>
      </c>
      <c r="H253" s="22">
        <v>65.0</v>
      </c>
      <c r="I253" s="23" t="str">
        <f>IFERROR(VLOOKUP(B253,DADOS!$A$2:$H$252,4,0)*H253,"")</f>
        <v/>
      </c>
      <c r="J253" s="24">
        <v>5.0</v>
      </c>
      <c r="K253" s="25" t="str">
        <f>IFERROR(VLOOKUP(B253,DADOS!$A$2:$H$252,4,0)*J253,"")</f>
        <v/>
      </c>
      <c r="L253" s="26" t="str">
        <f t="shared" si="3"/>
        <v/>
      </c>
      <c r="M253" s="30" t="s">
        <v>39</v>
      </c>
      <c r="N253" s="33" t="s">
        <v>84</v>
      </c>
      <c r="O253" s="28"/>
      <c r="P253" s="28"/>
      <c r="Q253" s="28"/>
      <c r="R253" s="28"/>
      <c r="S253" s="28"/>
    </row>
    <row r="254">
      <c r="A254" s="17">
        <v>45416.0</v>
      </c>
      <c r="B254" s="18" t="s">
        <v>32</v>
      </c>
      <c r="C254" s="18" t="s">
        <v>23</v>
      </c>
      <c r="D254" s="19"/>
      <c r="E254" s="19"/>
      <c r="F254" s="20">
        <f t="shared" si="2"/>
        <v>0</v>
      </c>
      <c r="G254" s="21">
        <f>IFERROR(VLOOKUP(B254,DADOS!$A$2:$H$252,8,0),"")</f>
        <v>10</v>
      </c>
      <c r="H254" s="22">
        <v>59.0</v>
      </c>
      <c r="I254" s="23">
        <f>IFERROR(VLOOKUP(B254,DADOS!$A$2:$H$252,4,0)*H254,"")</f>
        <v>36.1242486</v>
      </c>
      <c r="J254" s="36"/>
      <c r="K254" s="25">
        <f>IFERROR(VLOOKUP(B254,DADOS!$A$2:$H$252,4,0)*J254,"")</f>
        <v>0</v>
      </c>
      <c r="L254" s="26">
        <f t="shared" si="3"/>
        <v>0</v>
      </c>
      <c r="M254" s="27"/>
      <c r="N254" s="30"/>
      <c r="O254" s="28"/>
      <c r="P254" s="28"/>
      <c r="Q254" s="28"/>
      <c r="R254" s="28"/>
      <c r="S254" s="28"/>
    </row>
    <row r="255">
      <c r="A255" s="17">
        <v>45418.0</v>
      </c>
      <c r="B255" s="18" t="s">
        <v>43</v>
      </c>
      <c r="C255" s="18" t="s">
        <v>97</v>
      </c>
      <c r="D255" s="19"/>
      <c r="E255" s="19"/>
      <c r="F255" s="20">
        <f t="shared" si="2"/>
        <v>0</v>
      </c>
      <c r="G255" s="21" t="str">
        <f>IFERROR(VLOOKUP(B255,DADOS!$A$2:$H$252,8,0),"")</f>
        <v/>
      </c>
      <c r="H255" s="22">
        <v>51.0</v>
      </c>
      <c r="I255" s="23" t="str">
        <f>IFERROR(VLOOKUP(B255,DADOS!$A$2:$H$252,4,0)*H255,"")</f>
        <v/>
      </c>
      <c r="J255" s="36"/>
      <c r="K255" s="25" t="str">
        <f>IFERROR(VLOOKUP(B255,DADOS!$A$2:$H$252,4,0)*J255,"")</f>
        <v/>
      </c>
      <c r="L255" s="26" t="str">
        <f t="shared" si="3"/>
        <v/>
      </c>
      <c r="M255" s="27"/>
      <c r="N255" s="30"/>
      <c r="O255" s="28"/>
      <c r="P255" s="28"/>
      <c r="Q255" s="28"/>
      <c r="R255" s="28"/>
      <c r="S255" s="28"/>
    </row>
    <row r="256">
      <c r="A256" s="17">
        <v>45419.0</v>
      </c>
      <c r="B256" s="18"/>
      <c r="C256" s="18"/>
      <c r="D256" s="19"/>
      <c r="E256" s="19"/>
      <c r="F256" s="20">
        <f t="shared" si="2"/>
        <v>0</v>
      </c>
      <c r="G256" s="21" t="str">
        <f>IFERROR(VLOOKUP(B256,DADOS!$A$2:$H$252,8,0),"")</f>
        <v/>
      </c>
      <c r="H256" s="35"/>
      <c r="I256" s="23" t="str">
        <f>IFERROR(VLOOKUP(B256,DADOS!$A$2:$H$252,4,0)*H256,"")</f>
        <v/>
      </c>
      <c r="J256" s="36"/>
      <c r="K256" s="25" t="str">
        <f>IFERROR(VLOOKUP(B256,DADOS!$A$2:$H$252,4,0)*J256,"")</f>
        <v/>
      </c>
      <c r="L256" s="26" t="str">
        <f t="shared" si="3"/>
        <v/>
      </c>
      <c r="M256" s="27"/>
      <c r="N256" s="30"/>
      <c r="O256" s="28"/>
      <c r="P256" s="28"/>
      <c r="Q256" s="28"/>
      <c r="R256" s="28"/>
      <c r="S256" s="28"/>
    </row>
    <row r="257">
      <c r="A257" s="17">
        <v>45420.0</v>
      </c>
      <c r="B257" s="18"/>
      <c r="C257" s="18"/>
      <c r="D257" s="19"/>
      <c r="E257" s="19"/>
      <c r="F257" s="20">
        <f t="shared" si="2"/>
        <v>0</v>
      </c>
      <c r="G257" s="21" t="str">
        <f>IFERROR(VLOOKUP(B257,DADOS!$A$2:$H$252,8,0),"")</f>
        <v/>
      </c>
      <c r="H257" s="35"/>
      <c r="I257" s="23" t="str">
        <f>IFERROR(VLOOKUP(B257,DADOS!$A$2:$H$252,4,0)*H257,"")</f>
        <v/>
      </c>
      <c r="J257" s="36"/>
      <c r="K257" s="25" t="str">
        <f>IFERROR(VLOOKUP(B257,DADOS!$A$2:$H$252,4,0)*J257,"")</f>
        <v/>
      </c>
      <c r="L257" s="26" t="str">
        <f t="shared" si="3"/>
        <v/>
      </c>
      <c r="M257" s="27"/>
      <c r="N257" s="30"/>
      <c r="O257" s="28"/>
      <c r="P257" s="28"/>
      <c r="Q257" s="28"/>
      <c r="R257" s="28"/>
      <c r="S257" s="28"/>
    </row>
    <row r="258">
      <c r="A258" s="17">
        <v>45421.0</v>
      </c>
      <c r="B258" s="18" t="s">
        <v>66</v>
      </c>
      <c r="C258" s="18" t="s">
        <v>97</v>
      </c>
      <c r="D258" s="19"/>
      <c r="E258" s="19"/>
      <c r="F258" s="20">
        <f t="shared" si="2"/>
        <v>0</v>
      </c>
      <c r="G258" s="21" t="str">
        <f>IFERROR(VLOOKUP(B258,DADOS!$A$2:$H$252,8,0),"")</f>
        <v/>
      </c>
      <c r="H258" s="22">
        <v>48.0</v>
      </c>
      <c r="I258" s="23">
        <f>IFERROR(VLOOKUP(B258,DADOS!$A$2:$H$252,4,0)*H258,"")</f>
        <v>6.42</v>
      </c>
      <c r="J258" s="24">
        <v>12.0</v>
      </c>
      <c r="K258" s="25">
        <f>IFERROR(VLOOKUP(B258,DADOS!$A$2:$H$252,4,0)*J258,"")</f>
        <v>1.605</v>
      </c>
      <c r="L258" s="26">
        <f t="shared" si="3"/>
        <v>0.25</v>
      </c>
      <c r="M258" s="27"/>
      <c r="N258" s="30"/>
      <c r="O258" s="28"/>
      <c r="P258" s="28"/>
      <c r="Q258" s="28"/>
      <c r="R258" s="28"/>
      <c r="S258" s="28"/>
    </row>
    <row r="259">
      <c r="A259" s="17">
        <v>45422.0</v>
      </c>
      <c r="B259" s="18" t="s">
        <v>51</v>
      </c>
      <c r="C259" s="18" t="s">
        <v>97</v>
      </c>
      <c r="D259" s="19"/>
      <c r="E259" s="19"/>
      <c r="F259" s="20">
        <f t="shared" si="2"/>
        <v>0</v>
      </c>
      <c r="G259" s="21">
        <f>IFERROR(VLOOKUP(B259,DADOS!$A$2:$H$252,8,0),"")</f>
        <v>28</v>
      </c>
      <c r="H259" s="22">
        <v>34.0</v>
      </c>
      <c r="I259" s="23">
        <f>IFERROR(VLOOKUP(B259,DADOS!$A$2:$H$252,4,0)*H259,"")</f>
        <v>3.8737424</v>
      </c>
      <c r="J259" s="36"/>
      <c r="K259" s="25">
        <f>IFERROR(VLOOKUP(B259,DADOS!$A$2:$H$252,4,0)*J259,"")</f>
        <v>0</v>
      </c>
      <c r="L259" s="26">
        <f t="shared" si="3"/>
        <v>0</v>
      </c>
      <c r="M259" s="27"/>
      <c r="N259" s="30"/>
      <c r="O259" s="28"/>
      <c r="P259" s="28"/>
      <c r="Q259" s="28"/>
      <c r="R259" s="28"/>
      <c r="S259" s="28"/>
    </row>
    <row r="260">
      <c r="A260" s="17">
        <v>45422.0</v>
      </c>
      <c r="B260" s="18" t="s">
        <v>16</v>
      </c>
      <c r="C260" s="18" t="s">
        <v>97</v>
      </c>
      <c r="D260" s="19"/>
      <c r="E260" s="19"/>
      <c r="F260" s="20"/>
      <c r="G260" s="21"/>
      <c r="H260" s="22">
        <v>118.0</v>
      </c>
      <c r="I260" s="23"/>
      <c r="J260" s="36"/>
      <c r="K260" s="25"/>
      <c r="L260" s="26"/>
      <c r="M260" s="27"/>
      <c r="N260" s="30"/>
      <c r="O260" s="28"/>
      <c r="P260" s="28"/>
      <c r="Q260" s="28"/>
      <c r="R260" s="28"/>
      <c r="S260" s="28"/>
    </row>
    <row r="261">
      <c r="A261" s="17">
        <v>45423.0</v>
      </c>
      <c r="B261" s="18" t="s">
        <v>22</v>
      </c>
      <c r="C261" s="18" t="s">
        <v>23</v>
      </c>
      <c r="D261" s="19"/>
      <c r="E261" s="19"/>
      <c r="F261" s="20">
        <f t="shared" ref="F261:F388" si="4">E261-D261</f>
        <v>0</v>
      </c>
      <c r="G261" s="21">
        <f>IFERROR(VLOOKUP(B261,DADOS!$A$2:$H$252,8,0),"")</f>
        <v>15</v>
      </c>
      <c r="H261" s="22">
        <v>59.0</v>
      </c>
      <c r="I261" s="23">
        <f>IFERROR(VLOOKUP(B261,DADOS!$A$2:$H$252,4,0)*H261,"")</f>
        <v>36.1242486</v>
      </c>
      <c r="J261" s="36"/>
      <c r="K261" s="25">
        <f>IFERROR(VLOOKUP(B261,DADOS!$A$2:$H$252,4,0)*J261,"")</f>
        <v>0</v>
      </c>
      <c r="L261" s="26">
        <f t="shared" ref="L261:L381" si="5">IFERROR(IF(C261="TAMBOR", K261/J261, K261/I261), "")
</f>
        <v>0</v>
      </c>
      <c r="M261" s="27"/>
      <c r="N261" s="30"/>
      <c r="O261" s="28"/>
      <c r="P261" s="28"/>
      <c r="Q261" s="28"/>
      <c r="R261" s="28"/>
      <c r="S261" s="28"/>
    </row>
    <row r="262">
      <c r="A262" s="17">
        <v>45425.0</v>
      </c>
      <c r="B262" s="18" t="s">
        <v>59</v>
      </c>
      <c r="C262" s="18" t="s">
        <v>17</v>
      </c>
      <c r="D262" s="19">
        <v>0.5520833333333334</v>
      </c>
      <c r="E262" s="19">
        <v>0.7118055555555556</v>
      </c>
      <c r="F262" s="20">
        <f t="shared" si="4"/>
        <v>0.1597222222</v>
      </c>
      <c r="G262" s="21">
        <f>IFERROR(VLOOKUP(B262,DADOS!$A$2:$H$252,8,0),"")</f>
        <v>50</v>
      </c>
      <c r="H262" s="22">
        <v>180.0</v>
      </c>
      <c r="I262" s="23">
        <f>IFERROR(VLOOKUP(B262,DADOS!$A$2:$H$252,4,0)*H262,"")</f>
        <v>3.0816</v>
      </c>
      <c r="J262" s="36"/>
      <c r="K262" s="25">
        <f>IFERROR(VLOOKUP(B262,DADOS!$A$2:$H$252,4,0)*J262,"")</f>
        <v>0</v>
      </c>
      <c r="L262" s="26">
        <f t="shared" si="5"/>
        <v>0</v>
      </c>
      <c r="M262" s="27"/>
      <c r="N262" s="30"/>
      <c r="O262" s="28"/>
      <c r="P262" s="28"/>
      <c r="Q262" s="28"/>
      <c r="R262" s="28"/>
      <c r="S262" s="28"/>
    </row>
    <row r="263">
      <c r="A263" s="17">
        <v>45425.0</v>
      </c>
      <c r="B263" s="18" t="s">
        <v>54</v>
      </c>
      <c r="C263" s="18" t="s">
        <v>19</v>
      </c>
      <c r="D263" s="19"/>
      <c r="E263" s="19"/>
      <c r="F263" s="20">
        <f t="shared" si="4"/>
        <v>0</v>
      </c>
      <c r="G263" s="21" t="str">
        <f>IFERROR(VLOOKUP(B263,DADOS!$A$2:$H$252,8,0),"")</f>
        <v/>
      </c>
      <c r="H263" s="22">
        <v>9.0</v>
      </c>
      <c r="I263" s="23">
        <f>IFERROR(VLOOKUP(B263,DADOS!$A$2:$H$252,4,0)*H263,"")</f>
        <v>12.6216558</v>
      </c>
      <c r="J263" s="24">
        <v>1.0</v>
      </c>
      <c r="K263" s="25">
        <f>IFERROR(VLOOKUP(B263,DADOS!$A$2:$H$252,4,0)*J263,"")</f>
        <v>1.4024062</v>
      </c>
      <c r="L263" s="26">
        <f t="shared" si="5"/>
        <v>0.1111111111</v>
      </c>
      <c r="M263" s="27"/>
      <c r="N263" s="30"/>
      <c r="O263" s="28"/>
      <c r="P263" s="28"/>
      <c r="Q263" s="28"/>
      <c r="R263" s="28"/>
      <c r="S263" s="28"/>
    </row>
    <row r="264">
      <c r="A264" s="17">
        <v>45425.0</v>
      </c>
      <c r="B264" s="18" t="s">
        <v>33</v>
      </c>
      <c r="C264" s="18" t="s">
        <v>19</v>
      </c>
      <c r="D264" s="19"/>
      <c r="E264" s="19"/>
      <c r="F264" s="20">
        <f t="shared" si="4"/>
        <v>0</v>
      </c>
      <c r="G264" s="21">
        <f>IFERROR(VLOOKUP(B264,DADOS!$A$2:$H$252,8,0),"")</f>
        <v>7</v>
      </c>
      <c r="H264" s="22">
        <v>9.0</v>
      </c>
      <c r="I264" s="23">
        <f>IFERROR(VLOOKUP(B264,DADOS!$A$2:$H$252,4,0)*H264,"")</f>
        <v>12.6216558</v>
      </c>
      <c r="J264" s="36"/>
      <c r="K264" s="25">
        <f>IFERROR(VLOOKUP(B264,DADOS!$A$2:$H$252,4,0)*J264,"")</f>
        <v>0</v>
      </c>
      <c r="L264" s="26">
        <f t="shared" si="5"/>
        <v>0</v>
      </c>
      <c r="M264" s="27"/>
      <c r="N264" s="30"/>
      <c r="O264" s="28"/>
      <c r="P264" s="28"/>
      <c r="Q264" s="28"/>
      <c r="R264" s="28"/>
      <c r="S264" s="28"/>
    </row>
    <row r="265">
      <c r="A265" s="17">
        <v>45425.0</v>
      </c>
      <c r="B265" s="18" t="s">
        <v>115</v>
      </c>
      <c r="C265" s="18" t="s">
        <v>19</v>
      </c>
      <c r="D265" s="19"/>
      <c r="E265" s="19"/>
      <c r="F265" s="20">
        <f t="shared" si="4"/>
        <v>0</v>
      </c>
      <c r="G265" s="21">
        <f>IFERROR(VLOOKUP(B265,DADOS!$A$2:$H$252,8,0),"")</f>
        <v>12</v>
      </c>
      <c r="H265" s="22">
        <v>10.0</v>
      </c>
      <c r="I265" s="23">
        <f>IFERROR(VLOOKUP(B265,DADOS!$A$2:$H$252,4,0)*H265,"")</f>
        <v>2.92966</v>
      </c>
      <c r="J265" s="24">
        <v>1.0</v>
      </c>
      <c r="K265" s="25">
        <f>IFERROR(VLOOKUP(B265,DADOS!$A$2:$H$252,4,0)*J265,"")</f>
        <v>0.292966</v>
      </c>
      <c r="L265" s="26">
        <f t="shared" si="5"/>
        <v>0.1</v>
      </c>
      <c r="M265" s="27"/>
      <c r="N265" s="30"/>
      <c r="O265" s="28"/>
      <c r="P265" s="28"/>
      <c r="Q265" s="28"/>
      <c r="R265" s="28"/>
      <c r="S265" s="28"/>
    </row>
    <row r="266">
      <c r="A266" s="17">
        <v>45425.0</v>
      </c>
      <c r="B266" s="18" t="s">
        <v>116</v>
      </c>
      <c r="C266" s="18" t="s">
        <v>19</v>
      </c>
      <c r="D266" s="19"/>
      <c r="E266" s="19"/>
      <c r="F266" s="20">
        <f t="shared" si="4"/>
        <v>0</v>
      </c>
      <c r="G266" s="21">
        <f>IFERROR(VLOOKUP(B266,DADOS!$A$2:$H$252,8,0),"")</f>
        <v>15</v>
      </c>
      <c r="H266" s="22">
        <v>1.0</v>
      </c>
      <c r="I266" s="23">
        <f>IFERROR(VLOOKUP(B266,DADOS!$A$2:$H$252,4,0)*H266,"")</f>
        <v>0.277344</v>
      </c>
      <c r="J266" s="36"/>
      <c r="K266" s="25">
        <f>IFERROR(VLOOKUP(B266,DADOS!$A$2:$H$252,4,0)*J266,"")</f>
        <v>0</v>
      </c>
      <c r="L266" s="26">
        <f t="shared" si="5"/>
        <v>0</v>
      </c>
      <c r="M266" s="27"/>
      <c r="N266" s="30"/>
      <c r="O266" s="28"/>
      <c r="P266" s="28"/>
      <c r="Q266" s="28"/>
      <c r="R266" s="28"/>
      <c r="S266" s="28"/>
    </row>
    <row r="267">
      <c r="A267" s="17">
        <v>45425.0</v>
      </c>
      <c r="B267" s="18" t="s">
        <v>75</v>
      </c>
      <c r="C267" s="18" t="s">
        <v>97</v>
      </c>
      <c r="D267" s="19">
        <v>0.34375</v>
      </c>
      <c r="E267" s="19">
        <v>0.7152777777777778</v>
      </c>
      <c r="F267" s="20">
        <f t="shared" si="4"/>
        <v>0.3715277778</v>
      </c>
      <c r="G267" s="21">
        <f>IFERROR(VLOOKUP(B267,DADOS!$A$2:$H$252,8,0),"")</f>
        <v>23</v>
      </c>
      <c r="H267" s="22">
        <v>90.0</v>
      </c>
      <c r="I267" s="23">
        <f>IFERROR(VLOOKUP(B267,DADOS!$A$2:$H$252,4,0)*H267,"")</f>
        <v>10.254024</v>
      </c>
      <c r="J267" s="36"/>
      <c r="K267" s="25">
        <f>IFERROR(VLOOKUP(B267,DADOS!$A$2:$H$252,4,0)*J267,"")</f>
        <v>0</v>
      </c>
      <c r="L267" s="26">
        <f t="shared" si="5"/>
        <v>0</v>
      </c>
      <c r="M267" s="27"/>
      <c r="N267" s="30"/>
      <c r="O267" s="28"/>
      <c r="P267" s="28"/>
      <c r="Q267" s="28"/>
      <c r="R267" s="28"/>
      <c r="S267" s="28"/>
    </row>
    <row r="268">
      <c r="A268" s="17">
        <v>45426.0</v>
      </c>
      <c r="B268" s="18" t="s">
        <v>117</v>
      </c>
      <c r="C268" s="18" t="s">
        <v>19</v>
      </c>
      <c r="D268" s="19"/>
      <c r="E268" s="19"/>
      <c r="F268" s="20">
        <f t="shared" si="4"/>
        <v>0</v>
      </c>
      <c r="G268" s="21">
        <f>IFERROR(VLOOKUP(B268,DADOS!$A$2:$H$252,8,0),"")</f>
        <v>12</v>
      </c>
      <c r="H268" s="22">
        <v>6.0</v>
      </c>
      <c r="I268" s="23">
        <f>IFERROR(VLOOKUP(B268,DADOS!$A$2:$H$252,4,0)*H268,"")</f>
        <v>1.3086528</v>
      </c>
      <c r="J268" s="36"/>
      <c r="K268" s="25">
        <f>IFERROR(VLOOKUP(B268,DADOS!$A$2:$H$252,4,0)*J268,"")</f>
        <v>0</v>
      </c>
      <c r="L268" s="26">
        <f t="shared" si="5"/>
        <v>0</v>
      </c>
      <c r="M268" s="27"/>
      <c r="N268" s="30"/>
      <c r="O268" s="28"/>
      <c r="P268" s="28"/>
      <c r="Q268" s="28"/>
      <c r="R268" s="28"/>
      <c r="S268" s="28"/>
    </row>
    <row r="269">
      <c r="A269" s="17">
        <v>45426.0</v>
      </c>
      <c r="B269" s="18" t="s">
        <v>51</v>
      </c>
      <c r="C269" s="18" t="s">
        <v>97</v>
      </c>
      <c r="D269" s="19">
        <v>0.3194444444444444</v>
      </c>
      <c r="E269" s="19">
        <v>0.71875</v>
      </c>
      <c r="F269" s="20">
        <f t="shared" si="4"/>
        <v>0.3993055556</v>
      </c>
      <c r="G269" s="21">
        <f>IFERROR(VLOOKUP(B269,DADOS!$A$2:$H$252,8,0),"")</f>
        <v>28</v>
      </c>
      <c r="H269" s="22">
        <v>60.0</v>
      </c>
      <c r="I269" s="23">
        <f>IFERROR(VLOOKUP(B269,DADOS!$A$2:$H$252,4,0)*H269,"")</f>
        <v>6.836016</v>
      </c>
      <c r="J269" s="36"/>
      <c r="K269" s="25">
        <f>IFERROR(VLOOKUP(B269,DADOS!$A$2:$H$252,4,0)*J269,"")</f>
        <v>0</v>
      </c>
      <c r="L269" s="26">
        <f t="shared" si="5"/>
        <v>0</v>
      </c>
      <c r="M269" s="27"/>
      <c r="N269" s="30"/>
      <c r="O269" s="28"/>
      <c r="P269" s="28"/>
      <c r="Q269" s="28"/>
      <c r="R269" s="28"/>
      <c r="S269" s="28"/>
    </row>
    <row r="270">
      <c r="A270" s="17">
        <v>45427.0</v>
      </c>
      <c r="B270" s="18" t="s">
        <v>51</v>
      </c>
      <c r="C270" s="18" t="s">
        <v>97</v>
      </c>
      <c r="D270" s="19">
        <v>0.3263888888888889</v>
      </c>
      <c r="E270" s="19">
        <v>0.5520833333333334</v>
      </c>
      <c r="F270" s="20">
        <f t="shared" si="4"/>
        <v>0.2256944444</v>
      </c>
      <c r="G270" s="21">
        <f>IFERROR(VLOOKUP(B270,DADOS!$A$2:$H$252,8,0),"")</f>
        <v>28</v>
      </c>
      <c r="H270" s="22">
        <v>65.0</v>
      </c>
      <c r="I270" s="23">
        <f>IFERROR(VLOOKUP(B270,DADOS!$A$2:$H$252,4,0)*H270,"")</f>
        <v>7.405684</v>
      </c>
      <c r="J270" s="36"/>
      <c r="K270" s="25">
        <f>IFERROR(VLOOKUP(B270,DADOS!$A$2:$H$252,4,0)*J270,"")</f>
        <v>0</v>
      </c>
      <c r="L270" s="26">
        <f t="shared" si="5"/>
        <v>0</v>
      </c>
      <c r="M270" s="27"/>
      <c r="N270" s="30"/>
      <c r="O270" s="28"/>
      <c r="P270" s="28"/>
      <c r="Q270" s="28"/>
      <c r="R270" s="28"/>
      <c r="S270" s="28"/>
    </row>
    <row r="271">
      <c r="A271" s="17">
        <v>45427.0</v>
      </c>
      <c r="B271" s="18" t="s">
        <v>117</v>
      </c>
      <c r="C271" s="18" t="s">
        <v>97</v>
      </c>
      <c r="D271" s="19">
        <v>0.5590277777777778</v>
      </c>
      <c r="E271" s="19">
        <v>0.71875</v>
      </c>
      <c r="F271" s="20">
        <f t="shared" si="4"/>
        <v>0.1597222222</v>
      </c>
      <c r="G271" s="21">
        <f>IFERROR(VLOOKUP(B271,DADOS!$A$2:$H$252,8,0),"")</f>
        <v>12</v>
      </c>
      <c r="H271" s="22">
        <v>19.0</v>
      </c>
      <c r="I271" s="23">
        <f>IFERROR(VLOOKUP(B271,DADOS!$A$2:$H$252,4,0)*H271,"")</f>
        <v>4.1440672</v>
      </c>
      <c r="J271" s="24">
        <v>2.0</v>
      </c>
      <c r="K271" s="25">
        <f>IFERROR(VLOOKUP(B271,DADOS!$A$2:$H$252,4,0)*J271,"")</f>
        <v>0.4362176</v>
      </c>
      <c r="L271" s="26">
        <f t="shared" si="5"/>
        <v>0.1052631579</v>
      </c>
      <c r="M271" s="27"/>
      <c r="N271" s="30"/>
      <c r="O271" s="28"/>
      <c r="P271" s="28"/>
      <c r="Q271" s="28"/>
      <c r="R271" s="28"/>
      <c r="S271" s="28"/>
    </row>
    <row r="272">
      <c r="A272" s="17">
        <v>45428.0</v>
      </c>
      <c r="B272" s="18" t="s">
        <v>117</v>
      </c>
      <c r="C272" s="18" t="s">
        <v>97</v>
      </c>
      <c r="D272" s="19">
        <v>0.3194444444444444</v>
      </c>
      <c r="E272" s="19">
        <v>0.7013888888888888</v>
      </c>
      <c r="F272" s="20">
        <f t="shared" si="4"/>
        <v>0.3819444444</v>
      </c>
      <c r="G272" s="21">
        <f>IFERROR(VLOOKUP(B272,DADOS!$A$2:$H$252,8,0),"")</f>
        <v>12</v>
      </c>
      <c r="H272" s="22">
        <v>39.0</v>
      </c>
      <c r="I272" s="23">
        <f>IFERROR(VLOOKUP(B272,DADOS!$A$2:$H$252,4,0)*H272,"")</f>
        <v>8.5062432</v>
      </c>
      <c r="J272" s="24">
        <v>2.0</v>
      </c>
      <c r="K272" s="25">
        <f>IFERROR(VLOOKUP(B272,DADOS!$A$2:$H$252,4,0)*J272,"")</f>
        <v>0.4362176</v>
      </c>
      <c r="L272" s="26">
        <f t="shared" si="5"/>
        <v>0.05128205128</v>
      </c>
      <c r="M272" s="27"/>
      <c r="N272" s="30"/>
      <c r="O272" s="28"/>
      <c r="P272" s="28"/>
      <c r="Q272" s="28"/>
      <c r="R272" s="28"/>
      <c r="S272" s="28"/>
    </row>
    <row r="273">
      <c r="A273" s="17">
        <v>45429.0</v>
      </c>
      <c r="B273" s="18" t="s">
        <v>16</v>
      </c>
      <c r="C273" s="18" t="s">
        <v>17</v>
      </c>
      <c r="D273" s="19">
        <v>0.36319444444444443</v>
      </c>
      <c r="E273" s="19">
        <v>0.6388888888888888</v>
      </c>
      <c r="F273" s="20">
        <f t="shared" si="4"/>
        <v>0.2756944444</v>
      </c>
      <c r="G273" s="21">
        <f>IFERROR(VLOOKUP(B273,DADOS!$A$2:$H$252,8,0),"")</f>
        <v>150</v>
      </c>
      <c r="H273" s="22">
        <v>1157.0</v>
      </c>
      <c r="I273" s="23">
        <f>IFERROR(VLOOKUP(B273,DADOS!$A$2:$H$252,4,0)*H273,"")</f>
        <v>33.4752496</v>
      </c>
      <c r="J273" s="36"/>
      <c r="K273" s="25">
        <f>IFERROR(VLOOKUP(B273,DADOS!$A$2:$H$252,4,0)*J273,"")</f>
        <v>0</v>
      </c>
      <c r="L273" s="26">
        <f t="shared" si="5"/>
        <v>0</v>
      </c>
      <c r="M273" s="27"/>
      <c r="N273" s="30"/>
      <c r="O273" s="28"/>
      <c r="P273" s="28"/>
      <c r="Q273" s="28"/>
      <c r="R273" s="28"/>
      <c r="S273" s="28"/>
    </row>
    <row r="274">
      <c r="A274" s="17">
        <v>45429.0</v>
      </c>
      <c r="B274" s="18" t="s">
        <v>117</v>
      </c>
      <c r="C274" s="18" t="s">
        <v>97</v>
      </c>
      <c r="D274" s="19">
        <v>0.3194444444444444</v>
      </c>
      <c r="E274" s="19">
        <v>0.4236111111111111</v>
      </c>
      <c r="F274" s="20">
        <f t="shared" si="4"/>
        <v>0.1041666667</v>
      </c>
      <c r="G274" s="21">
        <f>IFERROR(VLOOKUP(B274,DADOS!$A$2:$H$252,8,0),"")</f>
        <v>12</v>
      </c>
      <c r="H274" s="22">
        <v>11.0</v>
      </c>
      <c r="I274" s="23">
        <f>IFERROR(VLOOKUP(B274,DADOS!$A$2:$H$252,4,0)*H274,"")</f>
        <v>2.3991968</v>
      </c>
      <c r="J274" s="24">
        <v>1.0</v>
      </c>
      <c r="K274" s="25">
        <f>IFERROR(VLOOKUP(B274,DADOS!$A$2:$H$252,4,0)*J274,"")</f>
        <v>0.2181088</v>
      </c>
      <c r="L274" s="26">
        <f t="shared" si="5"/>
        <v>0.09090909091</v>
      </c>
      <c r="M274" s="27"/>
      <c r="N274" s="30"/>
      <c r="O274" s="28"/>
      <c r="P274" s="28"/>
      <c r="Q274" s="28"/>
      <c r="R274" s="28"/>
      <c r="S274" s="28"/>
    </row>
    <row r="275">
      <c r="A275" s="17">
        <v>45429.0</v>
      </c>
      <c r="B275" s="18" t="s">
        <v>18</v>
      </c>
      <c r="C275" s="18" t="s">
        <v>97</v>
      </c>
      <c r="D275" s="19">
        <v>0.4305555555555556</v>
      </c>
      <c r="E275" s="19">
        <v>0.4930555555555556</v>
      </c>
      <c r="F275" s="20">
        <f t="shared" si="4"/>
        <v>0.0625</v>
      </c>
      <c r="G275" s="21">
        <f>IFERROR(VLOOKUP(B275,DADOS!$A$2:$H$252,8,0),"")</f>
        <v>21</v>
      </c>
      <c r="H275" s="22">
        <v>19.0</v>
      </c>
      <c r="I275" s="23">
        <f>IFERROR(VLOOKUP(B275,DADOS!$A$2:$H$252,4,0)*H275,"")</f>
        <v>5.566354</v>
      </c>
      <c r="J275" s="24">
        <v>1.0</v>
      </c>
      <c r="K275" s="25">
        <f>IFERROR(VLOOKUP(B275,DADOS!$A$2:$H$252,4,0)*J275,"")</f>
        <v>0.292966</v>
      </c>
      <c r="L275" s="26">
        <f t="shared" si="5"/>
        <v>0.05263157895</v>
      </c>
      <c r="M275" s="27"/>
      <c r="N275" s="30"/>
      <c r="O275" s="28"/>
      <c r="P275" s="28"/>
      <c r="Q275" s="28"/>
      <c r="R275" s="28"/>
      <c r="S275" s="28"/>
    </row>
    <row r="276">
      <c r="A276" s="17">
        <v>45432.0</v>
      </c>
      <c r="B276" s="18" t="s">
        <v>16</v>
      </c>
      <c r="C276" s="18" t="s">
        <v>17</v>
      </c>
      <c r="D276" s="19">
        <v>0.3229166666666667</v>
      </c>
      <c r="E276" s="19">
        <v>0.4270833333333333</v>
      </c>
      <c r="F276" s="20">
        <f t="shared" si="4"/>
        <v>0.1041666667</v>
      </c>
      <c r="G276" s="21">
        <f>IFERROR(VLOOKUP(B276,DADOS!$A$2:$H$252,8,0),"")</f>
        <v>150</v>
      </c>
      <c r="H276" s="22">
        <v>573.0</v>
      </c>
      <c r="I276" s="23">
        <f>IFERROR(VLOOKUP(B276,DADOS!$A$2:$H$252,4,0)*H276,"")</f>
        <v>16.5784944</v>
      </c>
      <c r="J276" s="36"/>
      <c r="K276" s="25">
        <f>IFERROR(VLOOKUP(B276,DADOS!$A$2:$H$252,4,0)*J276,"")</f>
        <v>0</v>
      </c>
      <c r="L276" s="26">
        <f t="shared" si="5"/>
        <v>0</v>
      </c>
      <c r="M276" s="27"/>
      <c r="N276" s="30"/>
      <c r="O276" s="28"/>
      <c r="P276" s="28"/>
      <c r="Q276" s="28"/>
      <c r="R276" s="28"/>
      <c r="S276" s="28"/>
    </row>
    <row r="277">
      <c r="A277" s="17">
        <v>45432.0</v>
      </c>
      <c r="B277" s="18" t="s">
        <v>66</v>
      </c>
      <c r="C277" s="18" t="s">
        <v>80</v>
      </c>
      <c r="D277" s="19"/>
      <c r="E277" s="19"/>
      <c r="F277" s="20">
        <f t="shared" si="4"/>
        <v>0</v>
      </c>
      <c r="G277" s="21" t="str">
        <f>IFERROR(VLOOKUP(B277,DADOS!$A$2:$H$252,8,0),"")</f>
        <v/>
      </c>
      <c r="H277" s="35"/>
      <c r="I277" s="23">
        <f>IFERROR(VLOOKUP(B277,DADOS!$A$2:$H$252,4,0)*H277,"")</f>
        <v>0</v>
      </c>
      <c r="J277" s="24">
        <v>3.0</v>
      </c>
      <c r="K277" s="25">
        <f>IFERROR(VLOOKUP(B277,DADOS!$A$2:$H$252,4,0)*J277,"")</f>
        <v>0.40125</v>
      </c>
      <c r="L277" s="26">
        <f t="shared" si="5"/>
        <v>0.13375</v>
      </c>
      <c r="M277" s="30" t="s">
        <v>39</v>
      </c>
      <c r="N277" s="33" t="s">
        <v>84</v>
      </c>
      <c r="O277" s="28"/>
      <c r="P277" s="28"/>
      <c r="Q277" s="28"/>
      <c r="R277" s="28"/>
      <c r="S277" s="28"/>
    </row>
    <row r="278">
      <c r="A278" s="17">
        <v>45432.0</v>
      </c>
      <c r="B278" s="18" t="s">
        <v>43</v>
      </c>
      <c r="C278" s="18" t="s">
        <v>80</v>
      </c>
      <c r="D278" s="19"/>
      <c r="E278" s="19"/>
      <c r="F278" s="20">
        <f t="shared" si="4"/>
        <v>0</v>
      </c>
      <c r="G278" s="21" t="str">
        <f>IFERROR(VLOOKUP(B278,DADOS!$A$2:$H$252,8,0),"")</f>
        <v/>
      </c>
      <c r="H278" s="35"/>
      <c r="I278" s="23" t="str">
        <f>IFERROR(VLOOKUP(B278,DADOS!$A$2:$H$252,4,0)*H278,"")</f>
        <v/>
      </c>
      <c r="J278" s="24">
        <v>21.0</v>
      </c>
      <c r="K278" s="25" t="str">
        <f>IFERROR(VLOOKUP(B278,DADOS!$A$2:$H$252,4,0)*J278,"")</f>
        <v/>
      </c>
      <c r="L278" s="26">
        <f t="shared" si="5"/>
        <v>0</v>
      </c>
      <c r="M278" s="30" t="s">
        <v>39</v>
      </c>
      <c r="N278" s="33" t="s">
        <v>84</v>
      </c>
      <c r="O278" s="28"/>
      <c r="P278" s="28"/>
      <c r="Q278" s="28"/>
      <c r="R278" s="28"/>
      <c r="S278" s="28"/>
    </row>
    <row r="279">
      <c r="A279" s="17">
        <v>45432.0</v>
      </c>
      <c r="B279" s="18" t="s">
        <v>51</v>
      </c>
      <c r="C279" s="18" t="s">
        <v>80</v>
      </c>
      <c r="D279" s="19"/>
      <c r="E279" s="19"/>
      <c r="F279" s="20">
        <f t="shared" si="4"/>
        <v>0</v>
      </c>
      <c r="G279" s="21">
        <f>IFERROR(VLOOKUP(B279,DADOS!$A$2:$H$252,8,0),"")</f>
        <v>28</v>
      </c>
      <c r="H279" s="35"/>
      <c r="I279" s="23">
        <f>IFERROR(VLOOKUP(B279,DADOS!$A$2:$H$252,4,0)*H279,"")</f>
        <v>0</v>
      </c>
      <c r="J279" s="24">
        <v>18.0</v>
      </c>
      <c r="K279" s="25">
        <f>IFERROR(VLOOKUP(B279,DADOS!$A$2:$H$252,4,0)*J279,"")</f>
        <v>2.0508048</v>
      </c>
      <c r="L279" s="26">
        <f t="shared" si="5"/>
        <v>0.1139336</v>
      </c>
      <c r="M279" s="30" t="s">
        <v>39</v>
      </c>
      <c r="N279" s="33" t="s">
        <v>84</v>
      </c>
      <c r="O279" s="28"/>
      <c r="P279" s="28"/>
      <c r="Q279" s="28"/>
      <c r="R279" s="28"/>
      <c r="S279" s="28"/>
    </row>
    <row r="280">
      <c r="A280" s="17">
        <v>45432.0</v>
      </c>
      <c r="B280" s="18" t="s">
        <v>51</v>
      </c>
      <c r="C280" s="18" t="s">
        <v>80</v>
      </c>
      <c r="D280" s="19"/>
      <c r="E280" s="19"/>
      <c r="F280" s="20">
        <f t="shared" si="4"/>
        <v>0</v>
      </c>
      <c r="G280" s="21">
        <f>IFERROR(VLOOKUP(B280,DADOS!$A$2:$H$252,8,0),"")</f>
        <v>28</v>
      </c>
      <c r="H280" s="35"/>
      <c r="I280" s="23">
        <f>IFERROR(VLOOKUP(B280,DADOS!$A$2:$H$252,4,0)*H280,"")</f>
        <v>0</v>
      </c>
      <c r="J280" s="24">
        <v>4.0</v>
      </c>
      <c r="K280" s="25">
        <f>IFERROR(VLOOKUP(B280,DADOS!$A$2:$H$252,4,0)*J280,"")</f>
        <v>0.4557344</v>
      </c>
      <c r="L280" s="26">
        <f t="shared" si="5"/>
        <v>0.1139336</v>
      </c>
      <c r="M280" s="30" t="s">
        <v>39</v>
      </c>
      <c r="N280" s="33" t="s">
        <v>84</v>
      </c>
      <c r="O280" s="28"/>
      <c r="P280" s="28"/>
      <c r="Q280" s="28"/>
      <c r="R280" s="28"/>
      <c r="S280" s="28"/>
    </row>
    <row r="281">
      <c r="A281" s="17">
        <v>45432.0</v>
      </c>
      <c r="B281" s="18" t="s">
        <v>48</v>
      </c>
      <c r="C281" s="18" t="s">
        <v>80</v>
      </c>
      <c r="D281" s="19"/>
      <c r="E281" s="19"/>
      <c r="F281" s="20">
        <f t="shared" si="4"/>
        <v>0</v>
      </c>
      <c r="G281" s="21">
        <f>IFERROR(VLOOKUP(B281,DADOS!$A$2:$H$252,8,0),"")</f>
        <v>6</v>
      </c>
      <c r="H281" s="35"/>
      <c r="I281" s="23">
        <f>IFERROR(VLOOKUP(B281,DADOS!$A$2:$H$252,4,0)*H281,"")</f>
        <v>0</v>
      </c>
      <c r="J281" s="24">
        <v>4.0</v>
      </c>
      <c r="K281" s="25">
        <f>IFERROR(VLOOKUP(B281,DADOS!$A$2:$H$252,4,0)*J281,"")</f>
        <v>0.4557344</v>
      </c>
      <c r="L281" s="26">
        <f t="shared" si="5"/>
        <v>0.1139336</v>
      </c>
      <c r="M281" s="30" t="s">
        <v>83</v>
      </c>
      <c r="N281" s="33" t="s">
        <v>102</v>
      </c>
      <c r="O281" s="28"/>
      <c r="P281" s="28"/>
      <c r="Q281" s="28"/>
      <c r="R281" s="28"/>
      <c r="S281" s="28"/>
    </row>
    <row r="282">
      <c r="A282" s="17">
        <v>45432.0</v>
      </c>
      <c r="B282" s="18" t="s">
        <v>63</v>
      </c>
      <c r="C282" s="18" t="s">
        <v>80</v>
      </c>
      <c r="D282" s="19"/>
      <c r="E282" s="19"/>
      <c r="F282" s="20">
        <f t="shared" si="4"/>
        <v>0</v>
      </c>
      <c r="G282" s="21" t="str">
        <f>IFERROR(VLOOKUP(B282,DADOS!$A$2:$H$252,8,0),"")</f>
        <v/>
      </c>
      <c r="H282" s="35"/>
      <c r="I282" s="23">
        <f>IFERROR(VLOOKUP(B282,DADOS!$A$2:$H$252,4,0)*H282,"")</f>
        <v>0</v>
      </c>
      <c r="J282" s="24">
        <v>1.0</v>
      </c>
      <c r="K282" s="25">
        <f>IFERROR(VLOOKUP(B282,DADOS!$A$2:$H$252,4,0)*J282,"")</f>
        <v>0</v>
      </c>
      <c r="L282" s="26">
        <f t="shared" si="5"/>
        <v>0</v>
      </c>
      <c r="M282" s="30" t="s">
        <v>83</v>
      </c>
      <c r="N282" s="33" t="s">
        <v>85</v>
      </c>
      <c r="O282" s="28"/>
      <c r="P282" s="28"/>
      <c r="Q282" s="28"/>
      <c r="R282" s="28"/>
      <c r="S282" s="28"/>
    </row>
    <row r="283">
      <c r="A283" s="17">
        <v>45432.0</v>
      </c>
      <c r="B283" s="18" t="s">
        <v>48</v>
      </c>
      <c r="C283" s="18" t="s">
        <v>80</v>
      </c>
      <c r="D283" s="19"/>
      <c r="E283" s="19"/>
      <c r="F283" s="20">
        <f t="shared" si="4"/>
        <v>0</v>
      </c>
      <c r="G283" s="21">
        <f>IFERROR(VLOOKUP(B283,DADOS!$A$2:$H$252,8,0),"")</f>
        <v>6</v>
      </c>
      <c r="H283" s="35"/>
      <c r="I283" s="23">
        <f>IFERROR(VLOOKUP(B283,DADOS!$A$2:$H$252,4,0)*H283,"")</f>
        <v>0</v>
      </c>
      <c r="J283" s="24">
        <v>1.0</v>
      </c>
      <c r="K283" s="25">
        <f>IFERROR(VLOOKUP(B283,DADOS!$A$2:$H$252,4,0)*J283,"")</f>
        <v>0.1139336</v>
      </c>
      <c r="L283" s="26">
        <f t="shared" si="5"/>
        <v>0.1139336</v>
      </c>
      <c r="M283" s="30" t="s">
        <v>118</v>
      </c>
      <c r="N283" s="33" t="s">
        <v>104</v>
      </c>
      <c r="O283" s="28"/>
      <c r="P283" s="28"/>
      <c r="Q283" s="28"/>
      <c r="R283" s="28"/>
      <c r="S283" s="28"/>
    </row>
    <row r="284">
      <c r="A284" s="17">
        <v>45432.0</v>
      </c>
      <c r="B284" s="18" t="s">
        <v>75</v>
      </c>
      <c r="C284" s="18" t="s">
        <v>80</v>
      </c>
      <c r="D284" s="19"/>
      <c r="E284" s="19"/>
      <c r="F284" s="20">
        <f t="shared" si="4"/>
        <v>0</v>
      </c>
      <c r="G284" s="21">
        <f>IFERROR(VLOOKUP(B284,DADOS!$A$2:$H$252,8,0),"")</f>
        <v>23</v>
      </c>
      <c r="H284" s="35"/>
      <c r="I284" s="23">
        <f>IFERROR(VLOOKUP(B284,DADOS!$A$2:$H$252,4,0)*H284,"")</f>
        <v>0</v>
      </c>
      <c r="J284" s="24">
        <v>1.0</v>
      </c>
      <c r="K284" s="25">
        <f>IFERROR(VLOOKUP(B284,DADOS!$A$2:$H$252,4,0)*J284,"")</f>
        <v>0.1139336</v>
      </c>
      <c r="L284" s="26">
        <f t="shared" si="5"/>
        <v>0.1139336</v>
      </c>
      <c r="M284" s="30" t="s">
        <v>118</v>
      </c>
      <c r="N284" s="33" t="s">
        <v>104</v>
      </c>
      <c r="O284" s="28"/>
      <c r="P284" s="28"/>
      <c r="Q284" s="28"/>
      <c r="R284" s="28"/>
      <c r="S284" s="28"/>
    </row>
    <row r="285">
      <c r="A285" s="17">
        <v>45432.0</v>
      </c>
      <c r="B285" s="18" t="s">
        <v>24</v>
      </c>
      <c r="C285" s="18" t="s">
        <v>80</v>
      </c>
      <c r="D285" s="19"/>
      <c r="E285" s="19"/>
      <c r="F285" s="20">
        <f t="shared" si="4"/>
        <v>0</v>
      </c>
      <c r="G285" s="21">
        <f>IFERROR(VLOOKUP(B285,DADOS!$A$2:$H$252,8,0),"")</f>
        <v>37</v>
      </c>
      <c r="H285" s="35"/>
      <c r="I285" s="23">
        <f>IFERROR(VLOOKUP(B285,DADOS!$A$2:$H$252,4,0)*H285,"")</f>
        <v>0</v>
      </c>
      <c r="J285" s="24">
        <v>1.0</v>
      </c>
      <c r="K285" s="25">
        <f>IFERROR(VLOOKUP(B285,DADOS!$A$2:$H$252,4,0)*J285,"")</f>
        <v>0.1139336</v>
      </c>
      <c r="L285" s="26">
        <f t="shared" si="5"/>
        <v>0.1139336</v>
      </c>
      <c r="M285" s="30" t="s">
        <v>118</v>
      </c>
      <c r="N285" s="33" t="s">
        <v>104</v>
      </c>
      <c r="O285" s="28"/>
      <c r="P285" s="28"/>
      <c r="Q285" s="28"/>
      <c r="R285" s="28"/>
      <c r="S285" s="28"/>
    </row>
    <row r="286">
      <c r="A286" s="17">
        <v>45432.0</v>
      </c>
      <c r="B286" s="18" t="s">
        <v>49</v>
      </c>
      <c r="C286" s="18" t="s">
        <v>80</v>
      </c>
      <c r="D286" s="19"/>
      <c r="E286" s="19"/>
      <c r="F286" s="20">
        <f t="shared" si="4"/>
        <v>0</v>
      </c>
      <c r="G286" s="21">
        <f>IFERROR(VLOOKUP(B286,DADOS!$A$2:$H$252,8,0),"")</f>
        <v>42</v>
      </c>
      <c r="H286" s="35"/>
      <c r="I286" s="23">
        <f>IFERROR(VLOOKUP(B286,DADOS!$A$2:$H$252,4,0)*H286,"")</f>
        <v>0</v>
      </c>
      <c r="J286" s="24">
        <v>1.0</v>
      </c>
      <c r="K286" s="25">
        <f>IFERROR(VLOOKUP(B286,DADOS!$A$2:$H$252,4,0)*J286,"")</f>
        <v>0.0680306</v>
      </c>
      <c r="L286" s="26">
        <f t="shared" si="5"/>
        <v>0.0680306</v>
      </c>
      <c r="M286" s="30" t="s">
        <v>118</v>
      </c>
      <c r="N286" s="33" t="s">
        <v>104</v>
      </c>
      <c r="O286" s="28"/>
      <c r="P286" s="28"/>
      <c r="Q286" s="28"/>
      <c r="R286" s="28"/>
      <c r="S286" s="28"/>
    </row>
    <row r="287">
      <c r="A287" s="17">
        <v>45432.0</v>
      </c>
      <c r="B287" s="18" t="s">
        <v>55</v>
      </c>
      <c r="C287" s="18" t="s">
        <v>80</v>
      </c>
      <c r="D287" s="19"/>
      <c r="E287" s="19"/>
      <c r="F287" s="20">
        <f t="shared" si="4"/>
        <v>0</v>
      </c>
      <c r="G287" s="21">
        <f>IFERROR(VLOOKUP(B287,DADOS!$A$2:$H$252,8,0),"")</f>
        <v>60</v>
      </c>
      <c r="H287" s="35"/>
      <c r="I287" s="23">
        <f>IFERROR(VLOOKUP(B287,DADOS!$A$2:$H$252,4,0)*H287,"")</f>
        <v>0</v>
      </c>
      <c r="J287" s="24">
        <v>1.0</v>
      </c>
      <c r="K287" s="25">
        <f>IFERROR(VLOOKUP(B287,DADOS!$A$2:$H$252,4,0)*J287,"")</f>
        <v>0.01712</v>
      </c>
      <c r="L287" s="26">
        <f t="shared" si="5"/>
        <v>0.01712</v>
      </c>
      <c r="M287" s="30" t="s">
        <v>118</v>
      </c>
      <c r="N287" s="33" t="s">
        <v>104</v>
      </c>
      <c r="O287" s="28"/>
      <c r="P287" s="28"/>
      <c r="Q287" s="28"/>
      <c r="R287" s="28"/>
      <c r="S287" s="28"/>
    </row>
    <row r="288">
      <c r="A288" s="17">
        <v>45432.0</v>
      </c>
      <c r="B288" s="18" t="s">
        <v>119</v>
      </c>
      <c r="C288" s="18" t="s">
        <v>80</v>
      </c>
      <c r="D288" s="19"/>
      <c r="E288" s="19"/>
      <c r="F288" s="20">
        <f t="shared" si="4"/>
        <v>0</v>
      </c>
      <c r="G288" s="21">
        <f>IFERROR(VLOOKUP(B288,DADOS!$A$2:$H$252,8,0),"")</f>
        <v>25</v>
      </c>
      <c r="H288" s="35"/>
      <c r="I288" s="23">
        <f>IFERROR(VLOOKUP(B288,DADOS!$A$2:$H$252,4,0)*H288,"")</f>
        <v>0</v>
      </c>
      <c r="J288" s="24">
        <v>1.0</v>
      </c>
      <c r="K288" s="25">
        <f>IFERROR(VLOOKUP(B288,DADOS!$A$2:$H$252,4,0)*J288,"")</f>
        <v>0.1301976</v>
      </c>
      <c r="L288" s="26">
        <f t="shared" si="5"/>
        <v>0.1301976</v>
      </c>
      <c r="M288" s="30" t="s">
        <v>39</v>
      </c>
      <c r="N288" s="33" t="s">
        <v>86</v>
      </c>
      <c r="O288" s="28"/>
      <c r="P288" s="28"/>
      <c r="Q288" s="28"/>
      <c r="R288" s="28"/>
      <c r="S288" s="28"/>
    </row>
    <row r="289">
      <c r="A289" s="17">
        <v>45432.0</v>
      </c>
      <c r="B289" s="18" t="s">
        <v>113</v>
      </c>
      <c r="C289" s="18" t="s">
        <v>80</v>
      </c>
      <c r="D289" s="19"/>
      <c r="E289" s="19"/>
      <c r="F289" s="20">
        <f t="shared" si="4"/>
        <v>0</v>
      </c>
      <c r="G289" s="21">
        <f>IFERROR(VLOOKUP(B289,DADOS!$A$2:$H$252,8,0),"")</f>
        <v>8</v>
      </c>
      <c r="H289" s="35"/>
      <c r="I289" s="23">
        <f>IFERROR(VLOOKUP(B289,DADOS!$A$2:$H$252,4,0)*H289,"")</f>
        <v>0</v>
      </c>
      <c r="J289" s="24">
        <v>1.0</v>
      </c>
      <c r="K289" s="25">
        <f>IFERROR(VLOOKUP(B289,DADOS!$A$2:$H$252,4,0)*J289,"")</f>
        <v>0.6365216</v>
      </c>
      <c r="L289" s="26">
        <f t="shared" si="5"/>
        <v>0.6365216</v>
      </c>
      <c r="M289" s="30" t="s">
        <v>39</v>
      </c>
      <c r="N289" s="33" t="s">
        <v>120</v>
      </c>
      <c r="O289" s="28"/>
      <c r="P289" s="28"/>
      <c r="Q289" s="28"/>
      <c r="R289" s="28"/>
      <c r="S289" s="28"/>
    </row>
    <row r="290">
      <c r="A290" s="17">
        <v>45432.0</v>
      </c>
      <c r="B290" s="18" t="s">
        <v>27</v>
      </c>
      <c r="C290" s="18" t="s">
        <v>80</v>
      </c>
      <c r="D290" s="19"/>
      <c r="E290" s="19"/>
      <c r="F290" s="20">
        <f t="shared" si="4"/>
        <v>0</v>
      </c>
      <c r="G290" s="21">
        <f>IFERROR(VLOOKUP(B290,DADOS!$A$2:$H$252,8,0),"")</f>
        <v>30</v>
      </c>
      <c r="H290" s="35"/>
      <c r="I290" s="23">
        <f>IFERROR(VLOOKUP(B290,DADOS!$A$2:$H$252,4,0)*H290,"")</f>
        <v>0</v>
      </c>
      <c r="J290" s="24">
        <v>6.0</v>
      </c>
      <c r="K290" s="25">
        <f>IFERROR(VLOOKUP(B290,DADOS!$A$2:$H$252,4,0)*J290,"")</f>
        <v>0.10272</v>
      </c>
      <c r="L290" s="26">
        <f t="shared" si="5"/>
        <v>0.01712</v>
      </c>
      <c r="M290" s="30" t="s">
        <v>118</v>
      </c>
      <c r="N290" s="33" t="s">
        <v>121</v>
      </c>
      <c r="O290" s="28"/>
      <c r="P290" s="28"/>
      <c r="Q290" s="28"/>
      <c r="R290" s="28"/>
      <c r="S290" s="28"/>
    </row>
    <row r="291">
      <c r="A291" s="17">
        <v>45432.0</v>
      </c>
      <c r="B291" s="18" t="s">
        <v>96</v>
      </c>
      <c r="C291" s="18" t="s">
        <v>80</v>
      </c>
      <c r="D291" s="19"/>
      <c r="E291" s="19"/>
      <c r="F291" s="20">
        <f t="shared" si="4"/>
        <v>0</v>
      </c>
      <c r="G291" s="21">
        <f>IFERROR(VLOOKUP(B291,DADOS!$A$2:$H$252,8,0),"")</f>
        <v>27</v>
      </c>
      <c r="H291" s="35"/>
      <c r="I291" s="23">
        <f>IFERROR(VLOOKUP(B291,DADOS!$A$2:$H$252,4,0)*H291,"")</f>
        <v>0</v>
      </c>
      <c r="J291" s="24">
        <v>1.0</v>
      </c>
      <c r="K291" s="25">
        <f>IFERROR(VLOOKUP(B291,DADOS!$A$2:$H$252,4,0)*J291,"")</f>
        <v>0.09416</v>
      </c>
      <c r="L291" s="26">
        <f t="shared" si="5"/>
        <v>0.09416</v>
      </c>
      <c r="M291" s="30" t="s">
        <v>83</v>
      </c>
      <c r="N291" s="33" t="s">
        <v>88</v>
      </c>
      <c r="O291" s="28"/>
      <c r="P291" s="28"/>
      <c r="Q291" s="28"/>
      <c r="R291" s="28"/>
      <c r="S291" s="28"/>
    </row>
    <row r="292">
      <c r="A292" s="17">
        <v>45432.0</v>
      </c>
      <c r="B292" s="18" t="s">
        <v>34</v>
      </c>
      <c r="C292" s="18" t="s">
        <v>80</v>
      </c>
      <c r="D292" s="19"/>
      <c r="E292" s="19"/>
      <c r="F292" s="20">
        <f t="shared" si="4"/>
        <v>0</v>
      </c>
      <c r="G292" s="21">
        <f>IFERROR(VLOOKUP(B292,DADOS!$A$2:$H$252,8,0),"")</f>
        <v>12</v>
      </c>
      <c r="H292" s="35"/>
      <c r="I292" s="23">
        <f>IFERROR(VLOOKUP(B292,DADOS!$A$2:$H$252,4,0)*H292,"")</f>
        <v>0</v>
      </c>
      <c r="J292" s="24">
        <v>1.0</v>
      </c>
      <c r="K292" s="25">
        <f>IFERROR(VLOOKUP(B292,DADOS!$A$2:$H$252,4,0)*J292,"")</f>
        <v>0.395686</v>
      </c>
      <c r="L292" s="26">
        <f t="shared" si="5"/>
        <v>0.395686</v>
      </c>
      <c r="M292" s="30" t="s">
        <v>83</v>
      </c>
      <c r="N292" s="33" t="s">
        <v>88</v>
      </c>
      <c r="O292" s="28"/>
      <c r="P292" s="28"/>
      <c r="Q292" s="28"/>
      <c r="R292" s="28"/>
      <c r="S292" s="28"/>
    </row>
    <row r="293">
      <c r="A293" s="17">
        <v>45432.0</v>
      </c>
      <c r="B293" s="18" t="s">
        <v>62</v>
      </c>
      <c r="C293" s="18" t="s">
        <v>80</v>
      </c>
      <c r="D293" s="19"/>
      <c r="E293" s="19"/>
      <c r="F293" s="20">
        <f t="shared" si="4"/>
        <v>0</v>
      </c>
      <c r="G293" s="21">
        <f>IFERROR(VLOOKUP(B293,DADOS!$A$2:$H$252,8,0),"")</f>
        <v>14</v>
      </c>
      <c r="H293" s="35"/>
      <c r="I293" s="23">
        <f>IFERROR(VLOOKUP(B293,DADOS!$A$2:$H$252,4,0)*H293,"")</f>
        <v>0</v>
      </c>
      <c r="J293" s="24">
        <v>1.0</v>
      </c>
      <c r="K293" s="25">
        <f>IFERROR(VLOOKUP(B293,DADOS!$A$2:$H$252,4,0)*J293,"")</f>
        <v>0.0849794</v>
      </c>
      <c r="L293" s="26">
        <f t="shared" si="5"/>
        <v>0.0849794</v>
      </c>
      <c r="M293" s="30" t="s">
        <v>83</v>
      </c>
      <c r="N293" s="33" t="s">
        <v>88</v>
      </c>
      <c r="O293" s="28"/>
      <c r="P293" s="28"/>
      <c r="Q293" s="28"/>
      <c r="R293" s="28"/>
      <c r="S293" s="28"/>
    </row>
    <row r="294">
      <c r="A294" s="17">
        <v>45432.0</v>
      </c>
      <c r="B294" s="18" t="s">
        <v>51</v>
      </c>
      <c r="C294" s="18" t="s">
        <v>80</v>
      </c>
      <c r="D294" s="19"/>
      <c r="E294" s="19"/>
      <c r="F294" s="20">
        <f t="shared" si="4"/>
        <v>0</v>
      </c>
      <c r="G294" s="21">
        <f>IFERROR(VLOOKUP(B294,DADOS!$A$2:$H$252,8,0),"")</f>
        <v>28</v>
      </c>
      <c r="H294" s="35"/>
      <c r="I294" s="23">
        <f>IFERROR(VLOOKUP(B294,DADOS!$A$2:$H$252,4,0)*H294,"")</f>
        <v>0</v>
      </c>
      <c r="J294" s="24">
        <v>1.0</v>
      </c>
      <c r="K294" s="25">
        <f>IFERROR(VLOOKUP(B294,DADOS!$A$2:$H$252,4,0)*J294,"")</f>
        <v>0.1139336</v>
      </c>
      <c r="L294" s="26">
        <f t="shared" si="5"/>
        <v>0.1139336</v>
      </c>
      <c r="M294" s="30" t="s">
        <v>83</v>
      </c>
      <c r="N294" s="33" t="s">
        <v>88</v>
      </c>
      <c r="O294" s="28"/>
      <c r="P294" s="28"/>
      <c r="Q294" s="28"/>
      <c r="R294" s="28"/>
      <c r="S294" s="28"/>
    </row>
    <row r="295">
      <c r="A295" s="17">
        <v>45432.0</v>
      </c>
      <c r="B295" s="18" t="s">
        <v>75</v>
      </c>
      <c r="C295" s="18" t="s">
        <v>80</v>
      </c>
      <c r="D295" s="19"/>
      <c r="E295" s="19"/>
      <c r="F295" s="20">
        <f t="shared" si="4"/>
        <v>0</v>
      </c>
      <c r="G295" s="21">
        <f>IFERROR(VLOOKUP(B295,DADOS!$A$2:$H$252,8,0),"")</f>
        <v>23</v>
      </c>
      <c r="H295" s="35"/>
      <c r="I295" s="23">
        <f>IFERROR(VLOOKUP(B295,DADOS!$A$2:$H$252,4,0)*H295,"")</f>
        <v>0</v>
      </c>
      <c r="J295" s="24">
        <v>2.0</v>
      </c>
      <c r="K295" s="25">
        <f>IFERROR(VLOOKUP(B295,DADOS!$A$2:$H$252,4,0)*J295,"")</f>
        <v>0.2278672</v>
      </c>
      <c r="L295" s="26">
        <f t="shared" si="5"/>
        <v>0.1139336</v>
      </c>
      <c r="M295" s="30" t="s">
        <v>83</v>
      </c>
      <c r="N295" s="33" t="s">
        <v>88</v>
      </c>
      <c r="O295" s="28"/>
      <c r="P295" s="28"/>
      <c r="Q295" s="28"/>
      <c r="R295" s="28"/>
      <c r="S295" s="28"/>
    </row>
    <row r="296">
      <c r="A296" s="17">
        <v>45432.0</v>
      </c>
      <c r="B296" s="18" t="s">
        <v>43</v>
      </c>
      <c r="C296" s="18" t="s">
        <v>80</v>
      </c>
      <c r="D296" s="19"/>
      <c r="E296" s="19"/>
      <c r="F296" s="20">
        <f t="shared" si="4"/>
        <v>0</v>
      </c>
      <c r="G296" s="21" t="str">
        <f>IFERROR(VLOOKUP(B296,DADOS!$A$2:$H$252,8,0),"")</f>
        <v/>
      </c>
      <c r="H296" s="35"/>
      <c r="I296" s="23" t="str">
        <f>IFERROR(VLOOKUP(B296,DADOS!$A$2:$H$252,4,0)*H296,"")</f>
        <v/>
      </c>
      <c r="J296" s="24">
        <v>2.0</v>
      </c>
      <c r="K296" s="25" t="str">
        <f>IFERROR(VLOOKUP(B296,DADOS!$A$2:$H$252,4,0)*J296,"")</f>
        <v/>
      </c>
      <c r="L296" s="26">
        <f t="shared" si="5"/>
        <v>0</v>
      </c>
      <c r="M296" s="30" t="s">
        <v>39</v>
      </c>
      <c r="N296" s="33" t="s">
        <v>89</v>
      </c>
      <c r="O296" s="28"/>
      <c r="P296" s="28"/>
      <c r="Q296" s="28"/>
      <c r="R296" s="28"/>
      <c r="S296" s="28"/>
    </row>
    <row r="297">
      <c r="A297" s="17">
        <v>45434.0</v>
      </c>
      <c r="B297" s="18" t="s">
        <v>68</v>
      </c>
      <c r="C297" s="18" t="s">
        <v>17</v>
      </c>
      <c r="D297" s="19"/>
      <c r="E297" s="19"/>
      <c r="F297" s="20">
        <f t="shared" si="4"/>
        <v>0</v>
      </c>
      <c r="G297" s="21">
        <f>IFERROR(VLOOKUP(B297,DADOS!$A$2:$H$252,8,0),"")</f>
        <v>170</v>
      </c>
      <c r="H297" s="22">
        <v>50.0</v>
      </c>
      <c r="I297" s="23">
        <f>IFERROR(VLOOKUP(B297,DADOS!$A$2:$H$252,4,0)*H297,"")</f>
        <v>0.4815</v>
      </c>
      <c r="J297" s="36"/>
      <c r="K297" s="25">
        <f>IFERROR(VLOOKUP(B297,DADOS!$A$2:$H$252,4,0)*J297,"")</f>
        <v>0</v>
      </c>
      <c r="L297" s="26">
        <f t="shared" si="5"/>
        <v>0</v>
      </c>
      <c r="M297" s="27"/>
      <c r="N297" s="30"/>
      <c r="O297" s="28"/>
      <c r="P297" s="28"/>
      <c r="Q297" s="28"/>
      <c r="R297" s="28"/>
      <c r="S297" s="28"/>
    </row>
    <row r="298">
      <c r="A298" s="17">
        <v>45434.0</v>
      </c>
      <c r="B298" s="18" t="s">
        <v>68</v>
      </c>
      <c r="C298" s="18" t="s">
        <v>17</v>
      </c>
      <c r="D298" s="19">
        <v>0.41388888888888886</v>
      </c>
      <c r="E298" s="19">
        <v>0.4708333333333333</v>
      </c>
      <c r="F298" s="20">
        <f t="shared" si="4"/>
        <v>0.05694444444</v>
      </c>
      <c r="G298" s="21">
        <f>IFERROR(VLOOKUP(B298,DADOS!$A$2:$H$252,8,0),"")</f>
        <v>170</v>
      </c>
      <c r="H298" s="22">
        <v>200.0</v>
      </c>
      <c r="I298" s="23">
        <f>IFERROR(VLOOKUP(B298,DADOS!$A$2:$H$252,4,0)*H298,"")</f>
        <v>1.926</v>
      </c>
      <c r="J298" s="24">
        <v>1.0</v>
      </c>
      <c r="K298" s="25">
        <f>IFERROR(VLOOKUP(B298,DADOS!$A$2:$H$252,4,0)*J298,"")</f>
        <v>0.00963</v>
      </c>
      <c r="L298" s="26">
        <f t="shared" si="5"/>
        <v>0.005</v>
      </c>
      <c r="M298" s="27"/>
      <c r="N298" s="30"/>
      <c r="O298" s="28"/>
      <c r="P298" s="28"/>
      <c r="Q298" s="28"/>
      <c r="R298" s="28"/>
      <c r="S298" s="28"/>
    </row>
    <row r="299">
      <c r="A299" s="17">
        <v>45434.0</v>
      </c>
      <c r="B299" s="18" t="s">
        <v>54</v>
      </c>
      <c r="C299" s="18" t="s">
        <v>19</v>
      </c>
      <c r="D299" s="19"/>
      <c r="E299" s="19"/>
      <c r="F299" s="20">
        <f t="shared" si="4"/>
        <v>0</v>
      </c>
      <c r="G299" s="21" t="str">
        <f>IFERROR(VLOOKUP(B299,DADOS!$A$2:$H$252,8,0),"")</f>
        <v/>
      </c>
      <c r="H299" s="22">
        <v>5.0</v>
      </c>
      <c r="I299" s="23">
        <f>IFERROR(VLOOKUP(B299,DADOS!$A$2:$H$252,4,0)*H299,"")</f>
        <v>7.012031</v>
      </c>
      <c r="J299" s="36"/>
      <c r="K299" s="25">
        <f>IFERROR(VLOOKUP(B299,DADOS!$A$2:$H$252,4,0)*J299,"")</f>
        <v>0</v>
      </c>
      <c r="L299" s="26">
        <f t="shared" si="5"/>
        <v>0</v>
      </c>
      <c r="M299" s="27"/>
      <c r="N299" s="30"/>
      <c r="O299" s="28"/>
      <c r="P299" s="28"/>
      <c r="Q299" s="28"/>
      <c r="R299" s="28"/>
      <c r="S299" s="28"/>
    </row>
    <row r="300">
      <c r="A300" s="17">
        <v>45434.0</v>
      </c>
      <c r="B300" s="18" t="s">
        <v>33</v>
      </c>
      <c r="C300" s="18" t="s">
        <v>19</v>
      </c>
      <c r="D300" s="19"/>
      <c r="E300" s="19"/>
      <c r="F300" s="20">
        <f t="shared" si="4"/>
        <v>0</v>
      </c>
      <c r="G300" s="21">
        <f>IFERROR(VLOOKUP(B300,DADOS!$A$2:$H$252,8,0),"")</f>
        <v>7</v>
      </c>
      <c r="H300" s="22">
        <v>5.0</v>
      </c>
      <c r="I300" s="23">
        <f>IFERROR(VLOOKUP(B300,DADOS!$A$2:$H$252,4,0)*H300,"")</f>
        <v>7.012031</v>
      </c>
      <c r="J300" s="36"/>
      <c r="K300" s="25">
        <f>IFERROR(VLOOKUP(B300,DADOS!$A$2:$H$252,4,0)*J300,"")</f>
        <v>0</v>
      </c>
      <c r="L300" s="26">
        <f t="shared" si="5"/>
        <v>0</v>
      </c>
      <c r="M300" s="27"/>
      <c r="N300" s="30"/>
      <c r="O300" s="28"/>
      <c r="P300" s="28"/>
      <c r="Q300" s="28"/>
      <c r="R300" s="28"/>
      <c r="S300" s="28"/>
    </row>
    <row r="301">
      <c r="A301" s="17">
        <v>45434.0</v>
      </c>
      <c r="B301" s="18" t="s">
        <v>109</v>
      </c>
      <c r="C301" s="18" t="s">
        <v>19</v>
      </c>
      <c r="D301" s="19"/>
      <c r="E301" s="19"/>
      <c r="F301" s="20">
        <f t="shared" si="4"/>
        <v>0</v>
      </c>
      <c r="G301" s="21" t="str">
        <f>IFERROR(VLOOKUP(B301,DADOS!$A$2:$H$252,8,0),"")</f>
        <v/>
      </c>
      <c r="H301" s="22">
        <v>11.0</v>
      </c>
      <c r="I301" s="23" t="str">
        <f>IFERROR(VLOOKUP(B301,DADOS!$A$2:$H$252,4,0)*H301,"")</f>
        <v/>
      </c>
      <c r="J301" s="36"/>
      <c r="K301" s="25" t="str">
        <f>IFERROR(VLOOKUP(B301,DADOS!$A$2:$H$252,4,0)*J301,"")</f>
        <v/>
      </c>
      <c r="L301" s="26" t="str">
        <f t="shared" si="5"/>
        <v/>
      </c>
      <c r="M301" s="27"/>
      <c r="N301" s="30"/>
      <c r="O301" s="28"/>
      <c r="P301" s="28"/>
      <c r="Q301" s="28"/>
      <c r="R301" s="28"/>
      <c r="S301" s="28"/>
    </row>
    <row r="302">
      <c r="A302" s="17">
        <v>45434.0</v>
      </c>
      <c r="B302" s="18" t="s">
        <v>54</v>
      </c>
      <c r="C302" s="18" t="s">
        <v>19</v>
      </c>
      <c r="D302" s="19"/>
      <c r="E302" s="19"/>
      <c r="F302" s="20">
        <f t="shared" si="4"/>
        <v>0</v>
      </c>
      <c r="G302" s="21" t="str">
        <f>IFERROR(VLOOKUP(B302,DADOS!$A$2:$H$252,8,0),"")</f>
        <v/>
      </c>
      <c r="H302" s="22">
        <v>15.0</v>
      </c>
      <c r="I302" s="23">
        <f>IFERROR(VLOOKUP(B302,DADOS!$A$2:$H$252,4,0)*H302,"")</f>
        <v>21.036093</v>
      </c>
      <c r="J302" s="36"/>
      <c r="K302" s="25">
        <f>IFERROR(VLOOKUP(B302,DADOS!$A$2:$H$252,4,0)*J302,"")</f>
        <v>0</v>
      </c>
      <c r="L302" s="26">
        <f t="shared" si="5"/>
        <v>0</v>
      </c>
      <c r="M302" s="27"/>
      <c r="N302" s="30"/>
      <c r="O302" s="28"/>
      <c r="P302" s="28"/>
      <c r="Q302" s="28"/>
      <c r="R302" s="28"/>
      <c r="S302" s="28"/>
    </row>
    <row r="303">
      <c r="A303" s="17">
        <v>45434.0</v>
      </c>
      <c r="B303" s="18" t="s">
        <v>33</v>
      </c>
      <c r="C303" s="18" t="s">
        <v>19</v>
      </c>
      <c r="D303" s="19"/>
      <c r="E303" s="19"/>
      <c r="F303" s="20">
        <f t="shared" si="4"/>
        <v>0</v>
      </c>
      <c r="G303" s="21">
        <f>IFERROR(VLOOKUP(B303,DADOS!$A$2:$H$252,8,0),"")</f>
        <v>7</v>
      </c>
      <c r="H303" s="22">
        <v>10.0</v>
      </c>
      <c r="I303" s="23">
        <f>IFERROR(VLOOKUP(B303,DADOS!$A$2:$H$252,4,0)*H303,"")</f>
        <v>14.024062</v>
      </c>
      <c r="J303" s="36"/>
      <c r="K303" s="25">
        <f>IFERROR(VLOOKUP(B303,DADOS!$A$2:$H$252,4,0)*J303,"")</f>
        <v>0</v>
      </c>
      <c r="L303" s="26">
        <f t="shared" si="5"/>
        <v>0</v>
      </c>
      <c r="M303" s="27"/>
      <c r="N303" s="30"/>
      <c r="O303" s="28"/>
      <c r="P303" s="28"/>
      <c r="Q303" s="28"/>
      <c r="R303" s="28"/>
      <c r="S303" s="28"/>
    </row>
    <row r="304">
      <c r="A304" s="17">
        <v>45434.0</v>
      </c>
      <c r="B304" s="18" t="s">
        <v>26</v>
      </c>
      <c r="C304" s="18" t="s">
        <v>19</v>
      </c>
      <c r="D304" s="19"/>
      <c r="E304" s="19"/>
      <c r="F304" s="20">
        <f t="shared" si="4"/>
        <v>0</v>
      </c>
      <c r="G304" s="21">
        <f>IFERROR(VLOOKUP(B304,DADOS!$A$2:$H$252,8,0),"")</f>
        <v>50</v>
      </c>
      <c r="H304" s="22">
        <v>15.0</v>
      </c>
      <c r="I304" s="23">
        <f>IFERROR(VLOOKUP(B304,DADOS!$A$2:$H$252,4,0)*H304,"")</f>
        <v>1.709004</v>
      </c>
      <c r="J304" s="36"/>
      <c r="K304" s="25">
        <f>IFERROR(VLOOKUP(B304,DADOS!$A$2:$H$252,4,0)*J304,"")</f>
        <v>0</v>
      </c>
      <c r="L304" s="26">
        <f t="shared" si="5"/>
        <v>0</v>
      </c>
      <c r="M304" s="27"/>
      <c r="N304" s="30"/>
      <c r="O304" s="28"/>
      <c r="P304" s="28"/>
      <c r="Q304" s="28"/>
      <c r="R304" s="28"/>
      <c r="S304" s="28"/>
    </row>
    <row r="305">
      <c r="A305" s="17">
        <v>45434.0</v>
      </c>
      <c r="B305" s="18" t="s">
        <v>25</v>
      </c>
      <c r="C305" s="18" t="s">
        <v>97</v>
      </c>
      <c r="D305" s="19">
        <v>0.3541666666666667</v>
      </c>
      <c r="E305" s="19">
        <v>0.5763888888888888</v>
      </c>
      <c r="F305" s="20">
        <f t="shared" si="4"/>
        <v>0.2222222222</v>
      </c>
      <c r="G305" s="21">
        <f>IFERROR(VLOOKUP(B305,DADOS!$A$2:$H$252,8,0),"")</f>
        <v>40</v>
      </c>
      <c r="H305" s="22">
        <v>68.0</v>
      </c>
      <c r="I305" s="23">
        <f>IFERROR(VLOOKUP(B305,DADOS!$A$2:$H$252,4,0)*H305,"")</f>
        <v>7.043168</v>
      </c>
      <c r="J305" s="24">
        <v>4.0</v>
      </c>
      <c r="K305" s="25">
        <f>IFERROR(VLOOKUP(B305,DADOS!$A$2:$H$252,4,0)*J305,"")</f>
        <v>0.414304</v>
      </c>
      <c r="L305" s="26">
        <f t="shared" si="5"/>
        <v>0.05882352941</v>
      </c>
      <c r="M305" s="27"/>
      <c r="N305" s="30"/>
      <c r="O305" s="28"/>
      <c r="P305" s="28"/>
      <c r="Q305" s="28"/>
      <c r="R305" s="28"/>
      <c r="S305" s="28"/>
    </row>
    <row r="306">
      <c r="A306" s="17">
        <v>45434.0</v>
      </c>
      <c r="B306" s="18" t="s">
        <v>75</v>
      </c>
      <c r="C306" s="18" t="s">
        <v>97</v>
      </c>
      <c r="D306" s="19">
        <v>0.5833333333333334</v>
      </c>
      <c r="E306" s="19">
        <v>0.71875</v>
      </c>
      <c r="F306" s="20">
        <f t="shared" si="4"/>
        <v>0.1354166667</v>
      </c>
      <c r="G306" s="21">
        <f>IFERROR(VLOOKUP(B306,DADOS!$A$2:$H$252,8,0),"")</f>
        <v>23</v>
      </c>
      <c r="H306" s="22">
        <v>31.0</v>
      </c>
      <c r="I306" s="23">
        <f>IFERROR(VLOOKUP(B306,DADOS!$A$2:$H$252,4,0)*H306,"")</f>
        <v>3.5319416</v>
      </c>
      <c r="J306" s="24">
        <v>2.0</v>
      </c>
      <c r="K306" s="25">
        <f>IFERROR(VLOOKUP(B306,DADOS!$A$2:$H$252,4,0)*J306,"")</f>
        <v>0.2278672</v>
      </c>
      <c r="L306" s="26">
        <f t="shared" si="5"/>
        <v>0.06451612903</v>
      </c>
      <c r="M306" s="27"/>
      <c r="N306" s="30"/>
      <c r="O306" s="28"/>
      <c r="P306" s="28"/>
      <c r="Q306" s="28"/>
      <c r="R306" s="28"/>
      <c r="S306" s="28"/>
    </row>
    <row r="307">
      <c r="A307" s="17">
        <v>45435.0</v>
      </c>
      <c r="B307" s="18" t="s">
        <v>33</v>
      </c>
      <c r="C307" s="18" t="s">
        <v>19</v>
      </c>
      <c r="D307" s="19"/>
      <c r="E307" s="19"/>
      <c r="F307" s="20">
        <f t="shared" si="4"/>
        <v>0</v>
      </c>
      <c r="G307" s="21">
        <f>IFERROR(VLOOKUP(B307,DADOS!$A$2:$H$252,8,0),"")</f>
        <v>7</v>
      </c>
      <c r="H307" s="22">
        <v>5.0</v>
      </c>
      <c r="I307" s="23">
        <f>IFERROR(VLOOKUP(B307,DADOS!$A$2:$H$252,4,0)*H307,"")</f>
        <v>7.012031</v>
      </c>
      <c r="J307" s="36"/>
      <c r="K307" s="25">
        <f>IFERROR(VLOOKUP(B307,DADOS!$A$2:$H$252,4,0)*J307,"")</f>
        <v>0</v>
      </c>
      <c r="L307" s="26">
        <f t="shared" si="5"/>
        <v>0</v>
      </c>
      <c r="M307" s="27"/>
      <c r="N307" s="30"/>
      <c r="O307" s="28"/>
      <c r="P307" s="28"/>
      <c r="Q307" s="28"/>
      <c r="R307" s="28"/>
      <c r="S307" s="28"/>
    </row>
    <row r="308">
      <c r="A308" s="17">
        <v>45435.0</v>
      </c>
      <c r="B308" s="18" t="s">
        <v>26</v>
      </c>
      <c r="C308" s="18" t="s">
        <v>19</v>
      </c>
      <c r="D308" s="19"/>
      <c r="E308" s="19"/>
      <c r="F308" s="20">
        <f t="shared" si="4"/>
        <v>0</v>
      </c>
      <c r="G308" s="21">
        <f>IFERROR(VLOOKUP(B308,DADOS!$A$2:$H$252,8,0),"")</f>
        <v>50</v>
      </c>
      <c r="H308" s="22">
        <v>25.0</v>
      </c>
      <c r="I308" s="23">
        <f>IFERROR(VLOOKUP(B308,DADOS!$A$2:$H$252,4,0)*H308,"")</f>
        <v>2.84834</v>
      </c>
      <c r="J308" s="36"/>
      <c r="K308" s="25">
        <f>IFERROR(VLOOKUP(B308,DADOS!$A$2:$H$252,4,0)*J308,"")</f>
        <v>0</v>
      </c>
      <c r="L308" s="26">
        <f t="shared" si="5"/>
        <v>0</v>
      </c>
      <c r="M308" s="27"/>
      <c r="N308" s="30"/>
      <c r="O308" s="28"/>
      <c r="P308" s="28"/>
      <c r="Q308" s="28"/>
      <c r="R308" s="28"/>
      <c r="S308" s="28"/>
    </row>
    <row r="309">
      <c r="A309" s="17">
        <v>45435.0</v>
      </c>
      <c r="B309" s="18" t="s">
        <v>75</v>
      </c>
      <c r="C309" s="18" t="s">
        <v>97</v>
      </c>
      <c r="D309" s="19">
        <v>0.3333333333333333</v>
      </c>
      <c r="E309" s="19">
        <v>0.5625</v>
      </c>
      <c r="F309" s="20">
        <f t="shared" si="4"/>
        <v>0.2291666667</v>
      </c>
      <c r="G309" s="21">
        <f>IFERROR(VLOOKUP(B309,DADOS!$A$2:$H$252,8,0),"")</f>
        <v>23</v>
      </c>
      <c r="H309" s="22">
        <v>75.0</v>
      </c>
      <c r="I309" s="23">
        <f>IFERROR(VLOOKUP(B309,DADOS!$A$2:$H$252,4,0)*H309,"")</f>
        <v>8.54502</v>
      </c>
      <c r="J309" s="36"/>
      <c r="K309" s="25">
        <f>IFERROR(VLOOKUP(B309,DADOS!$A$2:$H$252,4,0)*J309,"")</f>
        <v>0</v>
      </c>
      <c r="L309" s="26">
        <f t="shared" si="5"/>
        <v>0</v>
      </c>
      <c r="M309" s="27"/>
      <c r="N309" s="30"/>
      <c r="O309" s="28"/>
      <c r="P309" s="28"/>
      <c r="Q309" s="28"/>
      <c r="R309" s="28"/>
      <c r="S309" s="28"/>
    </row>
    <row r="310">
      <c r="A310" s="17">
        <v>45435.0</v>
      </c>
      <c r="B310" s="18" t="s">
        <v>18</v>
      </c>
      <c r="C310" s="18" t="s">
        <v>97</v>
      </c>
      <c r="D310" s="19">
        <v>0.625</v>
      </c>
      <c r="E310" s="19">
        <v>0.71875</v>
      </c>
      <c r="F310" s="20">
        <f t="shared" si="4"/>
        <v>0.09375</v>
      </c>
      <c r="G310" s="21">
        <f>IFERROR(VLOOKUP(B310,DADOS!$A$2:$H$252,8,0),"")</f>
        <v>21</v>
      </c>
      <c r="H310" s="22">
        <v>18.0</v>
      </c>
      <c r="I310" s="23">
        <f>IFERROR(VLOOKUP(B310,DADOS!$A$2:$H$252,4,0)*H310,"")</f>
        <v>5.273388</v>
      </c>
      <c r="J310" s="36"/>
      <c r="K310" s="25">
        <f>IFERROR(VLOOKUP(B310,DADOS!$A$2:$H$252,4,0)*J310,"")</f>
        <v>0</v>
      </c>
      <c r="L310" s="26">
        <f t="shared" si="5"/>
        <v>0</v>
      </c>
      <c r="M310" s="27"/>
      <c r="N310" s="30"/>
      <c r="O310" s="28"/>
      <c r="P310" s="28"/>
      <c r="Q310" s="28"/>
      <c r="R310" s="28"/>
      <c r="S310" s="28"/>
    </row>
    <row r="311">
      <c r="A311" s="17">
        <v>45436.0</v>
      </c>
      <c r="B311" s="18" t="s">
        <v>48</v>
      </c>
      <c r="C311" s="18" t="s">
        <v>19</v>
      </c>
      <c r="D311" s="19"/>
      <c r="E311" s="19"/>
      <c r="F311" s="20">
        <f t="shared" si="4"/>
        <v>0</v>
      </c>
      <c r="G311" s="21">
        <f>IFERROR(VLOOKUP(B311,DADOS!$A$2:$H$252,8,0),"")</f>
        <v>6</v>
      </c>
      <c r="H311" s="22">
        <v>18.0</v>
      </c>
      <c r="I311" s="23">
        <f>IFERROR(VLOOKUP(B311,DADOS!$A$2:$H$252,4,0)*H311,"")</f>
        <v>2.0508048</v>
      </c>
      <c r="J311" s="24">
        <v>19.0</v>
      </c>
      <c r="K311" s="25">
        <f>IFERROR(VLOOKUP(B311,DADOS!$A$2:$H$252,4,0)*J311,"")</f>
        <v>2.1647384</v>
      </c>
      <c r="L311" s="26">
        <f t="shared" si="5"/>
        <v>1.055555556</v>
      </c>
      <c r="M311" s="27"/>
      <c r="N311" s="30"/>
      <c r="O311" s="28"/>
      <c r="P311" s="28"/>
      <c r="Q311" s="28"/>
      <c r="R311" s="28"/>
      <c r="S311" s="28"/>
    </row>
    <row r="312">
      <c r="A312" s="17">
        <v>45436.0</v>
      </c>
      <c r="B312" s="18" t="s">
        <v>47</v>
      </c>
      <c r="C312" s="18" t="s">
        <v>19</v>
      </c>
      <c r="D312" s="19"/>
      <c r="E312" s="19"/>
      <c r="F312" s="20">
        <f t="shared" si="4"/>
        <v>0</v>
      </c>
      <c r="G312" s="21">
        <f>IFERROR(VLOOKUP(B312,DADOS!$A$2:$H$252,8,0),"")</f>
        <v>35</v>
      </c>
      <c r="H312" s="22">
        <v>28.0</v>
      </c>
      <c r="I312" s="23">
        <f>IFERROR(VLOOKUP(B312,DADOS!$A$2:$H$252,4,0)*H312,"")</f>
        <v>3.1901408</v>
      </c>
      <c r="J312" s="24">
        <v>1.0</v>
      </c>
      <c r="K312" s="25">
        <f>IFERROR(VLOOKUP(B312,DADOS!$A$2:$H$252,4,0)*J312,"")</f>
        <v>0.1139336</v>
      </c>
      <c r="L312" s="26">
        <f t="shared" si="5"/>
        <v>0.03571428571</v>
      </c>
      <c r="M312" s="27"/>
      <c r="N312" s="30"/>
      <c r="O312" s="28"/>
      <c r="P312" s="28"/>
      <c r="Q312" s="28"/>
      <c r="R312" s="28"/>
      <c r="S312" s="28"/>
    </row>
    <row r="313">
      <c r="A313" s="17">
        <v>45436.0</v>
      </c>
      <c r="B313" s="18" t="s">
        <v>18</v>
      </c>
      <c r="C313" s="18" t="s">
        <v>97</v>
      </c>
      <c r="D313" s="19">
        <v>0.3194444444444444</v>
      </c>
      <c r="E313" s="19">
        <v>0.6180555555555556</v>
      </c>
      <c r="F313" s="20">
        <f t="shared" si="4"/>
        <v>0.2986111111</v>
      </c>
      <c r="G313" s="21">
        <f>IFERROR(VLOOKUP(B313,DADOS!$A$2:$H$252,8,0),"")</f>
        <v>21</v>
      </c>
      <c r="H313" s="22">
        <v>65.0</v>
      </c>
      <c r="I313" s="23">
        <f>IFERROR(VLOOKUP(B313,DADOS!$A$2:$H$252,4,0)*H313,"")</f>
        <v>19.04279</v>
      </c>
      <c r="J313" s="24">
        <v>2.0</v>
      </c>
      <c r="K313" s="25">
        <f>IFERROR(VLOOKUP(B313,DADOS!$A$2:$H$252,4,0)*J313,"")</f>
        <v>0.585932</v>
      </c>
      <c r="L313" s="26">
        <f t="shared" si="5"/>
        <v>0.03076923077</v>
      </c>
      <c r="M313" s="27"/>
      <c r="N313" s="30"/>
      <c r="O313" s="28"/>
      <c r="P313" s="28"/>
      <c r="Q313" s="28"/>
      <c r="R313" s="28"/>
      <c r="S313" s="28"/>
    </row>
    <row r="314">
      <c r="A314" s="17">
        <v>45436.0</v>
      </c>
      <c r="B314" s="18" t="s">
        <v>47</v>
      </c>
      <c r="C314" s="18" t="s">
        <v>97</v>
      </c>
      <c r="D314" s="19">
        <v>0.625</v>
      </c>
      <c r="E314" s="19">
        <v>0.6770833333333334</v>
      </c>
      <c r="F314" s="20">
        <f t="shared" si="4"/>
        <v>0.05208333333</v>
      </c>
      <c r="G314" s="21">
        <f>IFERROR(VLOOKUP(B314,DADOS!$A$2:$H$252,8,0),"")</f>
        <v>35</v>
      </c>
      <c r="H314" s="22">
        <v>12.0</v>
      </c>
      <c r="I314" s="23">
        <f>IFERROR(VLOOKUP(B314,DADOS!$A$2:$H$252,4,0)*H314,"")</f>
        <v>1.3672032</v>
      </c>
      <c r="J314" s="24">
        <v>3.0</v>
      </c>
      <c r="K314" s="25">
        <f>IFERROR(VLOOKUP(B314,DADOS!$A$2:$H$252,4,0)*J314,"")</f>
        <v>0.3418008</v>
      </c>
      <c r="L314" s="26">
        <f t="shared" si="5"/>
        <v>0.25</v>
      </c>
      <c r="M314" s="27"/>
      <c r="N314" s="30"/>
      <c r="O314" s="28"/>
      <c r="P314" s="28"/>
      <c r="Q314" s="28"/>
      <c r="R314" s="28"/>
      <c r="S314" s="28"/>
    </row>
    <row r="315">
      <c r="A315" s="17">
        <v>45437.0</v>
      </c>
      <c r="B315" s="18" t="s">
        <v>54</v>
      </c>
      <c r="C315" s="18" t="s">
        <v>23</v>
      </c>
      <c r="D315" s="19"/>
      <c r="E315" s="19"/>
      <c r="F315" s="20">
        <f t="shared" si="4"/>
        <v>0</v>
      </c>
      <c r="G315" s="21" t="str">
        <f>IFERROR(VLOOKUP(B315,DADOS!$A$2:$H$252,8,0),"")</f>
        <v/>
      </c>
      <c r="H315" s="22">
        <v>41.0</v>
      </c>
      <c r="I315" s="23">
        <f>IFERROR(VLOOKUP(B315,DADOS!$A$2:$H$252,4,0)*H315,"")</f>
        <v>57.4986542</v>
      </c>
      <c r="J315" s="36"/>
      <c r="K315" s="25">
        <f>IFERROR(VLOOKUP(B315,DADOS!$A$2:$H$252,4,0)*J315,"")</f>
        <v>0</v>
      </c>
      <c r="L315" s="26">
        <f t="shared" si="5"/>
        <v>0</v>
      </c>
      <c r="M315" s="27"/>
      <c r="N315" s="30"/>
      <c r="O315" s="28"/>
      <c r="P315" s="28"/>
      <c r="Q315" s="28"/>
      <c r="R315" s="28"/>
      <c r="S315" s="28"/>
    </row>
    <row r="316">
      <c r="A316" s="17">
        <v>45437.0</v>
      </c>
      <c r="B316" s="18" t="s">
        <v>33</v>
      </c>
      <c r="C316" s="18" t="s">
        <v>23</v>
      </c>
      <c r="D316" s="19"/>
      <c r="E316" s="19"/>
      <c r="F316" s="20">
        <f t="shared" si="4"/>
        <v>0</v>
      </c>
      <c r="G316" s="21">
        <f>IFERROR(VLOOKUP(B316,DADOS!$A$2:$H$252,8,0),"")</f>
        <v>7</v>
      </c>
      <c r="H316" s="22">
        <v>27.0</v>
      </c>
      <c r="I316" s="23">
        <f>IFERROR(VLOOKUP(B316,DADOS!$A$2:$H$252,4,0)*H316,"")</f>
        <v>37.8649674</v>
      </c>
      <c r="J316" s="36"/>
      <c r="K316" s="25">
        <f>IFERROR(VLOOKUP(B316,DADOS!$A$2:$H$252,4,0)*J316,"")</f>
        <v>0</v>
      </c>
      <c r="L316" s="26">
        <f t="shared" si="5"/>
        <v>0</v>
      </c>
      <c r="M316" s="27"/>
      <c r="N316" s="30"/>
      <c r="O316" s="28"/>
      <c r="P316" s="28"/>
      <c r="Q316" s="28"/>
      <c r="R316" s="28"/>
      <c r="S316" s="28"/>
    </row>
    <row r="317">
      <c r="A317" s="17">
        <v>45439.0</v>
      </c>
      <c r="B317" s="18" t="s">
        <v>50</v>
      </c>
      <c r="C317" s="18" t="s">
        <v>19</v>
      </c>
      <c r="D317" s="19"/>
      <c r="E317" s="19"/>
      <c r="F317" s="20">
        <f t="shared" si="4"/>
        <v>0</v>
      </c>
      <c r="G317" s="21">
        <f>IFERROR(VLOOKUP(B317,DADOS!$A$2:$H$252,8,0),"")</f>
        <v>8</v>
      </c>
      <c r="H317" s="22">
        <v>11.0</v>
      </c>
      <c r="I317" s="23">
        <f>IFERROR(VLOOKUP(B317,DADOS!$A$2:$H$252,4,0)*H317,"")</f>
        <v>7.9348632</v>
      </c>
      <c r="J317" s="36"/>
      <c r="K317" s="25">
        <f>IFERROR(VLOOKUP(B317,DADOS!$A$2:$H$252,4,0)*J317,"")</f>
        <v>0</v>
      </c>
      <c r="L317" s="26">
        <f t="shared" si="5"/>
        <v>0</v>
      </c>
      <c r="M317" s="27"/>
      <c r="N317" s="30"/>
      <c r="O317" s="28"/>
      <c r="P317" s="28"/>
      <c r="Q317" s="28"/>
      <c r="R317" s="28"/>
      <c r="S317" s="28"/>
    </row>
    <row r="318">
      <c r="A318" s="17">
        <v>45439.0</v>
      </c>
      <c r="B318" s="18" t="s">
        <v>47</v>
      </c>
      <c r="C318" s="18" t="s">
        <v>19</v>
      </c>
      <c r="D318" s="19"/>
      <c r="E318" s="19"/>
      <c r="F318" s="20">
        <f t="shared" si="4"/>
        <v>0</v>
      </c>
      <c r="G318" s="21">
        <f>IFERROR(VLOOKUP(B318,DADOS!$A$2:$H$252,8,0),"")</f>
        <v>35</v>
      </c>
      <c r="H318" s="22">
        <v>24.0</v>
      </c>
      <c r="I318" s="23">
        <f>IFERROR(VLOOKUP(B318,DADOS!$A$2:$H$252,4,0)*H318,"")</f>
        <v>2.7344064</v>
      </c>
      <c r="J318" s="24">
        <v>2.0</v>
      </c>
      <c r="K318" s="25">
        <f>IFERROR(VLOOKUP(B318,DADOS!$A$2:$H$252,4,0)*J318,"")</f>
        <v>0.2278672</v>
      </c>
      <c r="L318" s="26">
        <f t="shared" si="5"/>
        <v>0.08333333333</v>
      </c>
      <c r="M318" s="27"/>
      <c r="N318" s="30"/>
      <c r="O318" s="28"/>
      <c r="P318" s="28"/>
      <c r="Q318" s="28"/>
      <c r="R318" s="28"/>
      <c r="S318" s="28"/>
    </row>
    <row r="319">
      <c r="A319" s="17">
        <v>45439.0</v>
      </c>
      <c r="B319" s="18" t="s">
        <v>112</v>
      </c>
      <c r="C319" s="18" t="s">
        <v>97</v>
      </c>
      <c r="D319" s="19"/>
      <c r="E319" s="19"/>
      <c r="F319" s="20">
        <f t="shared" si="4"/>
        <v>0</v>
      </c>
      <c r="G319" s="21">
        <f>IFERROR(VLOOKUP(B319,DADOS!$A$2:$H$252,8,0),"")</f>
        <v>35</v>
      </c>
      <c r="H319" s="22">
        <v>97.0</v>
      </c>
      <c r="I319" s="23">
        <f>IFERROR(VLOOKUP(B319,DADOS!$A$2:$H$252,4,0)*H319,"")</f>
        <v>11.0515592</v>
      </c>
      <c r="J319" s="24">
        <v>1.0</v>
      </c>
      <c r="K319" s="25">
        <f>IFERROR(VLOOKUP(B319,DADOS!$A$2:$H$252,4,0)*J319,"")</f>
        <v>0.1139336</v>
      </c>
      <c r="L319" s="26">
        <f t="shared" si="5"/>
        <v>0.01030927835</v>
      </c>
      <c r="M319" s="27"/>
      <c r="N319" s="30"/>
      <c r="O319" s="28"/>
      <c r="P319" s="28"/>
      <c r="Q319" s="28"/>
      <c r="R319" s="28"/>
      <c r="S319" s="28"/>
    </row>
    <row r="320">
      <c r="A320" s="17">
        <v>45439.0</v>
      </c>
      <c r="B320" s="18" t="s">
        <v>44</v>
      </c>
      <c r="C320" s="18" t="s">
        <v>97</v>
      </c>
      <c r="D320" s="19"/>
      <c r="E320" s="19"/>
      <c r="F320" s="20">
        <f t="shared" si="4"/>
        <v>0</v>
      </c>
      <c r="G320" s="21">
        <f>IFERROR(VLOOKUP(B320,DADOS!$A$2:$H$252,8,0),"")</f>
        <v>15</v>
      </c>
      <c r="H320" s="22">
        <v>4.0</v>
      </c>
      <c r="I320" s="23">
        <f>IFERROR(VLOOKUP(B320,DADOS!$A$2:$H$252,4,0)*H320,"")</f>
        <v>0.7382144</v>
      </c>
      <c r="J320" s="36"/>
      <c r="K320" s="25">
        <f>IFERROR(VLOOKUP(B320,DADOS!$A$2:$H$252,4,0)*J320,"")</f>
        <v>0</v>
      </c>
      <c r="L320" s="26">
        <f t="shared" si="5"/>
        <v>0</v>
      </c>
      <c r="M320" s="27"/>
      <c r="N320" s="30"/>
      <c r="O320" s="28"/>
      <c r="P320" s="28"/>
      <c r="Q320" s="28"/>
      <c r="R320" s="28"/>
      <c r="S320" s="28"/>
    </row>
    <row r="321">
      <c r="A321" s="17">
        <v>45439.0</v>
      </c>
      <c r="B321" s="18" t="s">
        <v>122</v>
      </c>
      <c r="C321" s="18" t="s">
        <v>97</v>
      </c>
      <c r="D321" s="19"/>
      <c r="E321" s="19"/>
      <c r="F321" s="20">
        <f t="shared" si="4"/>
        <v>0</v>
      </c>
      <c r="G321" s="21">
        <f>IFERROR(VLOOKUP(B321,DADOS!$A$2:$H$252,8,0),"")</f>
        <v>17</v>
      </c>
      <c r="H321" s="22">
        <v>2.0</v>
      </c>
      <c r="I321" s="23">
        <f>IFERROR(VLOOKUP(B321,DADOS!$A$2:$H$252,4,0)*H321,"")</f>
        <v>0.3432132</v>
      </c>
      <c r="J321" s="36"/>
      <c r="K321" s="25">
        <f>IFERROR(VLOOKUP(B321,DADOS!$A$2:$H$252,4,0)*J321,"")</f>
        <v>0</v>
      </c>
      <c r="L321" s="26">
        <f t="shared" si="5"/>
        <v>0</v>
      </c>
      <c r="M321" s="27"/>
      <c r="N321" s="30"/>
      <c r="O321" s="28"/>
      <c r="P321" s="28"/>
      <c r="Q321" s="28"/>
      <c r="R321" s="28"/>
      <c r="S321" s="28"/>
    </row>
    <row r="322">
      <c r="A322" s="17">
        <v>45440.0</v>
      </c>
      <c r="B322" s="18" t="s">
        <v>123</v>
      </c>
      <c r="C322" s="18" t="s">
        <v>19</v>
      </c>
      <c r="D322" s="19"/>
      <c r="E322" s="19"/>
      <c r="F322" s="20">
        <f t="shared" si="4"/>
        <v>0</v>
      </c>
      <c r="G322" s="21" t="str">
        <f>IFERROR(VLOOKUP(B322,DADOS!$A$2:$H$252,8,0),"")</f>
        <v/>
      </c>
      <c r="H322" s="22">
        <v>47.0</v>
      </c>
      <c r="I322" s="23">
        <f>IFERROR(VLOOKUP(B322,DADOS!$A$2:$H$252,4,0)*H322,"")</f>
        <v>0</v>
      </c>
      <c r="J322" s="24">
        <v>9.0</v>
      </c>
      <c r="K322" s="25">
        <f>IFERROR(VLOOKUP(B322,DADOS!$A$2:$H$252,4,0)*J322,"")</f>
        <v>0</v>
      </c>
      <c r="L322" s="26" t="str">
        <f t="shared" si="5"/>
        <v/>
      </c>
      <c r="M322" s="30" t="s">
        <v>39</v>
      </c>
      <c r="N322" s="33" t="s">
        <v>124</v>
      </c>
      <c r="O322" s="28"/>
      <c r="P322" s="28"/>
      <c r="Q322" s="28"/>
      <c r="R322" s="28"/>
      <c r="S322" s="28"/>
    </row>
    <row r="323">
      <c r="A323" s="17">
        <v>45440.0</v>
      </c>
      <c r="B323" s="18" t="s">
        <v>44</v>
      </c>
      <c r="C323" s="18" t="s">
        <v>97</v>
      </c>
      <c r="D323" s="19"/>
      <c r="E323" s="19"/>
      <c r="F323" s="20">
        <f t="shared" si="4"/>
        <v>0</v>
      </c>
      <c r="G323" s="21">
        <f>IFERROR(VLOOKUP(B323,DADOS!$A$2:$H$252,8,0),"")</f>
        <v>15</v>
      </c>
      <c r="H323" s="22">
        <v>26.0</v>
      </c>
      <c r="I323" s="23">
        <f>IFERROR(VLOOKUP(B323,DADOS!$A$2:$H$252,4,0)*H323,"")</f>
        <v>4.7983936</v>
      </c>
      <c r="J323" s="24">
        <v>7.0</v>
      </c>
      <c r="K323" s="25">
        <f>IFERROR(VLOOKUP(B323,DADOS!$A$2:$H$252,4,0)*J323,"")</f>
        <v>1.2918752</v>
      </c>
      <c r="L323" s="26">
        <f t="shared" si="5"/>
        <v>0.2692307692</v>
      </c>
      <c r="M323" s="27"/>
      <c r="N323" s="30"/>
      <c r="O323" s="28"/>
      <c r="P323" s="28"/>
      <c r="Q323" s="28"/>
      <c r="R323" s="28"/>
      <c r="S323" s="28"/>
    </row>
    <row r="324">
      <c r="A324" s="17">
        <v>45440.0</v>
      </c>
      <c r="B324" s="18" t="s">
        <v>122</v>
      </c>
      <c r="C324" s="18" t="s">
        <v>97</v>
      </c>
      <c r="D324" s="19"/>
      <c r="E324" s="19"/>
      <c r="F324" s="20">
        <f t="shared" si="4"/>
        <v>0</v>
      </c>
      <c r="G324" s="21">
        <f>IFERROR(VLOOKUP(B324,DADOS!$A$2:$H$252,8,0),"")</f>
        <v>17</v>
      </c>
      <c r="H324" s="22">
        <v>12.0</v>
      </c>
      <c r="I324" s="23">
        <f>IFERROR(VLOOKUP(B324,DADOS!$A$2:$H$252,4,0)*H324,"")</f>
        <v>2.0592792</v>
      </c>
      <c r="J324" s="36"/>
      <c r="K324" s="25">
        <f>IFERROR(VLOOKUP(B324,DADOS!$A$2:$H$252,4,0)*J324,"")</f>
        <v>0</v>
      </c>
      <c r="L324" s="26">
        <f t="shared" si="5"/>
        <v>0</v>
      </c>
      <c r="M324" s="27"/>
      <c r="N324" s="30"/>
      <c r="O324" s="28"/>
      <c r="P324" s="28"/>
      <c r="Q324" s="28"/>
      <c r="R324" s="28"/>
      <c r="S324" s="28"/>
    </row>
    <row r="325">
      <c r="A325" s="17">
        <v>45441.0</v>
      </c>
      <c r="B325" s="18" t="s">
        <v>31</v>
      </c>
      <c r="C325" s="18" t="s">
        <v>19</v>
      </c>
      <c r="D325" s="19"/>
      <c r="E325" s="19"/>
      <c r="F325" s="20">
        <f t="shared" si="4"/>
        <v>0</v>
      </c>
      <c r="G325" s="21">
        <f>IFERROR(VLOOKUP(B325,DADOS!$A$2:$H$252,8,0),"")</f>
        <v>10</v>
      </c>
      <c r="H325" s="22">
        <v>14.0</v>
      </c>
      <c r="I325" s="23">
        <f>IFERROR(VLOOKUP(B325,DADOS!$A$2:$H$252,4,0)*H325,"")</f>
        <v>1.8982656</v>
      </c>
      <c r="J325" s="24">
        <v>2.0</v>
      </c>
      <c r="K325" s="25">
        <f>IFERROR(VLOOKUP(B325,DADOS!$A$2:$H$252,4,0)*J325,"")</f>
        <v>0.2711808</v>
      </c>
      <c r="L325" s="26">
        <f t="shared" si="5"/>
        <v>0.1428571429</v>
      </c>
      <c r="M325" s="30" t="s">
        <v>39</v>
      </c>
      <c r="N325" s="33" t="s">
        <v>40</v>
      </c>
      <c r="O325" s="28"/>
      <c r="P325" s="28"/>
      <c r="Q325" s="28"/>
      <c r="R325" s="28"/>
      <c r="S325" s="28"/>
    </row>
    <row r="326">
      <c r="A326" s="17">
        <v>45441.0</v>
      </c>
      <c r="B326" s="18" t="s">
        <v>44</v>
      </c>
      <c r="C326" s="18" t="s">
        <v>97</v>
      </c>
      <c r="D326" s="19"/>
      <c r="E326" s="19"/>
      <c r="F326" s="20">
        <f t="shared" si="4"/>
        <v>0</v>
      </c>
      <c r="G326" s="21">
        <f>IFERROR(VLOOKUP(B326,DADOS!$A$2:$H$252,8,0),"")</f>
        <v>15</v>
      </c>
      <c r="H326" s="22">
        <v>22.0</v>
      </c>
      <c r="I326" s="23">
        <f>IFERROR(VLOOKUP(B326,DADOS!$A$2:$H$252,4,0)*H326,"")</f>
        <v>4.0601792</v>
      </c>
      <c r="J326" s="36"/>
      <c r="K326" s="25">
        <f>IFERROR(VLOOKUP(B326,DADOS!$A$2:$H$252,4,0)*J326,"")</f>
        <v>0</v>
      </c>
      <c r="L326" s="26">
        <f t="shared" si="5"/>
        <v>0</v>
      </c>
      <c r="M326" s="27"/>
      <c r="N326" s="30"/>
      <c r="O326" s="28"/>
      <c r="P326" s="28"/>
      <c r="Q326" s="28"/>
      <c r="R326" s="28"/>
      <c r="S326" s="28"/>
    </row>
    <row r="327">
      <c r="A327" s="17">
        <v>45441.0</v>
      </c>
      <c r="B327" s="18" t="s">
        <v>122</v>
      </c>
      <c r="C327" s="18" t="s">
        <v>97</v>
      </c>
      <c r="D327" s="19"/>
      <c r="E327" s="19"/>
      <c r="F327" s="20">
        <f t="shared" si="4"/>
        <v>0</v>
      </c>
      <c r="G327" s="21">
        <f>IFERROR(VLOOKUP(B327,DADOS!$A$2:$H$252,8,0),"")</f>
        <v>17</v>
      </c>
      <c r="H327" s="22">
        <v>32.0</v>
      </c>
      <c r="I327" s="23">
        <f>IFERROR(VLOOKUP(B327,DADOS!$A$2:$H$252,4,0)*H327,"")</f>
        <v>5.4914112</v>
      </c>
      <c r="J327" s="24">
        <v>2.0</v>
      </c>
      <c r="K327" s="25">
        <f>IFERROR(VLOOKUP(B327,DADOS!$A$2:$H$252,4,0)*J327,"")</f>
        <v>0.3432132</v>
      </c>
      <c r="L327" s="26">
        <f t="shared" si="5"/>
        <v>0.0625</v>
      </c>
      <c r="M327" s="27"/>
      <c r="N327" s="30"/>
      <c r="O327" s="28"/>
      <c r="P327" s="28"/>
      <c r="Q327" s="28"/>
      <c r="R327" s="28"/>
      <c r="S327" s="28"/>
    </row>
    <row r="328">
      <c r="A328" s="17">
        <v>45443.0</v>
      </c>
      <c r="B328" s="18" t="s">
        <v>77</v>
      </c>
      <c r="C328" s="18" t="s">
        <v>17</v>
      </c>
      <c r="D328" s="19"/>
      <c r="E328" s="19"/>
      <c r="F328" s="20">
        <f t="shared" si="4"/>
        <v>0</v>
      </c>
      <c r="G328" s="21">
        <f>IFERROR(VLOOKUP(B328,DADOS!$A$2:$H$252,8,0),"")</f>
        <v>120</v>
      </c>
      <c r="H328" s="22">
        <v>225.0</v>
      </c>
      <c r="I328" s="23">
        <f>IFERROR(VLOOKUP(B328,DADOS!$A$2:$H$252,4,0)*H328,"")</f>
        <v>2.16675</v>
      </c>
      <c r="J328" s="36"/>
      <c r="K328" s="25">
        <f>IFERROR(VLOOKUP(B328,DADOS!$A$2:$H$252,4,0)*J328,"")</f>
        <v>0</v>
      </c>
      <c r="L328" s="26">
        <f t="shared" si="5"/>
        <v>0</v>
      </c>
      <c r="M328" s="27"/>
      <c r="N328" s="30"/>
      <c r="O328" s="28"/>
      <c r="P328" s="28"/>
      <c r="Q328" s="28"/>
      <c r="R328" s="28"/>
      <c r="S328" s="28"/>
    </row>
    <row r="329">
      <c r="A329" s="17">
        <v>45443.0</v>
      </c>
      <c r="B329" s="18" t="s">
        <v>31</v>
      </c>
      <c r="C329" s="18" t="s">
        <v>97</v>
      </c>
      <c r="D329" s="19"/>
      <c r="E329" s="19"/>
      <c r="F329" s="20">
        <f t="shared" si="4"/>
        <v>0</v>
      </c>
      <c r="G329" s="21">
        <f>IFERROR(VLOOKUP(B329,DADOS!$A$2:$H$252,8,0),"")</f>
        <v>10</v>
      </c>
      <c r="H329" s="22">
        <v>33.0</v>
      </c>
      <c r="I329" s="23">
        <f>IFERROR(VLOOKUP(B329,DADOS!$A$2:$H$252,4,0)*H329,"")</f>
        <v>4.4744832</v>
      </c>
      <c r="J329" s="24">
        <v>4.0</v>
      </c>
      <c r="K329" s="25">
        <f>IFERROR(VLOOKUP(B329,DADOS!$A$2:$H$252,4,0)*J329,"")</f>
        <v>0.5423616</v>
      </c>
      <c r="L329" s="26">
        <f t="shared" si="5"/>
        <v>0.1212121212</v>
      </c>
      <c r="M329" s="27"/>
      <c r="N329" s="30"/>
      <c r="O329" s="28"/>
      <c r="P329" s="28"/>
      <c r="Q329" s="28"/>
      <c r="R329" s="28"/>
      <c r="S329" s="28"/>
    </row>
    <row r="330">
      <c r="A330" s="17">
        <v>45446.0</v>
      </c>
      <c r="B330" s="18" t="s">
        <v>33</v>
      </c>
      <c r="C330" s="18" t="s">
        <v>19</v>
      </c>
      <c r="D330" s="19"/>
      <c r="E330" s="19"/>
      <c r="F330" s="20">
        <f t="shared" si="4"/>
        <v>0</v>
      </c>
      <c r="G330" s="21">
        <f>IFERROR(VLOOKUP(B330,DADOS!$A$2:$H$252,8,0),"")</f>
        <v>7</v>
      </c>
      <c r="H330" s="22">
        <v>14.0</v>
      </c>
      <c r="I330" s="23">
        <f>IFERROR(VLOOKUP(B330,DADOS!$A$2:$H$252,4,0)*H330,"")</f>
        <v>19.6336868</v>
      </c>
      <c r="J330" s="36"/>
      <c r="K330" s="25">
        <f>IFERROR(VLOOKUP(B330,DADOS!$A$2:$H$252,4,0)*J330,"")</f>
        <v>0</v>
      </c>
      <c r="L330" s="26">
        <f t="shared" si="5"/>
        <v>0</v>
      </c>
      <c r="M330" s="27"/>
      <c r="N330" s="30"/>
      <c r="O330" s="28"/>
      <c r="P330" s="28"/>
      <c r="Q330" s="28"/>
      <c r="R330" s="28"/>
      <c r="S330" s="28"/>
    </row>
    <row r="331">
      <c r="A331" s="17">
        <v>45446.0</v>
      </c>
      <c r="B331" s="18" t="s">
        <v>26</v>
      </c>
      <c r="C331" s="18" t="s">
        <v>19</v>
      </c>
      <c r="D331" s="19"/>
      <c r="E331" s="19"/>
      <c r="F331" s="20">
        <f t="shared" si="4"/>
        <v>0</v>
      </c>
      <c r="G331" s="21">
        <f>IFERROR(VLOOKUP(B331,DADOS!$A$2:$H$252,8,0),"")</f>
        <v>50</v>
      </c>
      <c r="H331" s="22">
        <v>52.0</v>
      </c>
      <c r="I331" s="23">
        <f>IFERROR(VLOOKUP(B331,DADOS!$A$2:$H$252,4,0)*H331,"")</f>
        <v>5.9245472</v>
      </c>
      <c r="J331" s="24">
        <v>1.0</v>
      </c>
      <c r="K331" s="25">
        <f>IFERROR(VLOOKUP(B331,DADOS!$A$2:$H$252,4,0)*J331,"")</f>
        <v>0.1139336</v>
      </c>
      <c r="L331" s="26">
        <f t="shared" si="5"/>
        <v>0.01923076923</v>
      </c>
      <c r="M331" s="27"/>
      <c r="N331" s="30"/>
      <c r="O331" s="28"/>
      <c r="P331" s="28"/>
      <c r="Q331" s="28"/>
      <c r="R331" s="28"/>
      <c r="S331" s="28"/>
    </row>
    <row r="332">
      <c r="A332" s="17">
        <v>45446.0</v>
      </c>
      <c r="B332" s="18" t="s">
        <v>25</v>
      </c>
      <c r="C332" s="18" t="s">
        <v>97</v>
      </c>
      <c r="D332" s="19">
        <v>0.3194444444444444</v>
      </c>
      <c r="E332" s="19">
        <v>0.71875</v>
      </c>
      <c r="F332" s="20">
        <f t="shared" si="4"/>
        <v>0.3993055556</v>
      </c>
      <c r="G332" s="21">
        <f>IFERROR(VLOOKUP(B332,DADOS!$A$2:$H$252,8,0),"")</f>
        <v>40</v>
      </c>
      <c r="H332" s="22">
        <v>178.0</v>
      </c>
      <c r="I332" s="23">
        <f>IFERROR(VLOOKUP(B332,DADOS!$A$2:$H$252,4,0)*H332,"")</f>
        <v>18.436528</v>
      </c>
      <c r="J332" s="24">
        <v>2.0</v>
      </c>
      <c r="K332" s="25">
        <f>IFERROR(VLOOKUP(B332,DADOS!$A$2:$H$252,4,0)*J332,"")</f>
        <v>0.207152</v>
      </c>
      <c r="L332" s="26">
        <f t="shared" si="5"/>
        <v>0.01123595506</v>
      </c>
      <c r="M332" s="27"/>
      <c r="N332" s="30"/>
      <c r="O332" s="28"/>
      <c r="P332" s="28"/>
      <c r="Q332" s="28"/>
      <c r="R332" s="28"/>
      <c r="S332" s="28"/>
    </row>
    <row r="333">
      <c r="A333" s="17">
        <v>45446.0</v>
      </c>
      <c r="B333" s="18" t="s">
        <v>58</v>
      </c>
      <c r="C333" s="18" t="s">
        <v>80</v>
      </c>
      <c r="D333" s="19"/>
      <c r="E333" s="19"/>
      <c r="F333" s="20">
        <f t="shared" si="4"/>
        <v>0</v>
      </c>
      <c r="G333" s="21">
        <f>IFERROR(VLOOKUP(B333,DADOS!$A$2:$H$252,8,0),"")</f>
        <v>31</v>
      </c>
      <c r="H333" s="35"/>
      <c r="I333" s="23">
        <f>IFERROR(VLOOKUP(B333,DADOS!$A$2:$H$252,4,0)*H333,"")</f>
        <v>0</v>
      </c>
      <c r="J333" s="24">
        <v>2.0</v>
      </c>
      <c r="K333" s="25">
        <f>IFERROR(VLOOKUP(B333,DADOS!$A$2:$H$252,4,0)*J333,"")</f>
        <v>0.2278672</v>
      </c>
      <c r="L333" s="26">
        <f t="shared" si="5"/>
        <v>0.1139336</v>
      </c>
      <c r="M333" s="30" t="s">
        <v>39</v>
      </c>
      <c r="N333" s="33" t="s">
        <v>86</v>
      </c>
      <c r="O333" s="28"/>
      <c r="P333" s="28"/>
      <c r="Q333" s="28"/>
      <c r="R333" s="28"/>
      <c r="S333" s="28"/>
    </row>
    <row r="334">
      <c r="A334" s="17">
        <v>45446.0</v>
      </c>
      <c r="B334" s="18" t="s">
        <v>31</v>
      </c>
      <c r="C334" s="18" t="s">
        <v>80</v>
      </c>
      <c r="D334" s="19"/>
      <c r="E334" s="19"/>
      <c r="F334" s="20">
        <f t="shared" si="4"/>
        <v>0</v>
      </c>
      <c r="G334" s="21">
        <f>IFERROR(VLOOKUP(B334,DADOS!$A$2:$H$252,8,0),"")</f>
        <v>10</v>
      </c>
      <c r="H334" s="35"/>
      <c r="I334" s="23">
        <f>IFERROR(VLOOKUP(B334,DADOS!$A$2:$H$252,4,0)*H334,"")</f>
        <v>0</v>
      </c>
      <c r="J334" s="24">
        <v>1.0</v>
      </c>
      <c r="K334" s="25">
        <f>IFERROR(VLOOKUP(B334,DADOS!$A$2:$H$252,4,0)*J334,"")</f>
        <v>0.1355904</v>
      </c>
      <c r="L334" s="26">
        <f t="shared" si="5"/>
        <v>0.1355904</v>
      </c>
      <c r="M334" s="30" t="s">
        <v>39</v>
      </c>
      <c r="N334" s="33" t="s">
        <v>120</v>
      </c>
      <c r="O334" s="28"/>
      <c r="P334" s="28"/>
      <c r="Q334" s="28"/>
      <c r="R334" s="28"/>
      <c r="S334" s="28"/>
    </row>
    <row r="335">
      <c r="A335" s="17">
        <v>45446.0</v>
      </c>
      <c r="B335" s="18" t="s">
        <v>51</v>
      </c>
      <c r="C335" s="18" t="s">
        <v>80</v>
      </c>
      <c r="D335" s="19"/>
      <c r="E335" s="19"/>
      <c r="F335" s="20">
        <f t="shared" si="4"/>
        <v>0</v>
      </c>
      <c r="G335" s="21">
        <f>IFERROR(VLOOKUP(B335,DADOS!$A$2:$H$252,8,0),"")</f>
        <v>28</v>
      </c>
      <c r="H335" s="35"/>
      <c r="I335" s="23">
        <f>IFERROR(VLOOKUP(B335,DADOS!$A$2:$H$252,4,0)*H335,"")</f>
        <v>0</v>
      </c>
      <c r="J335" s="24">
        <v>1.0</v>
      </c>
      <c r="K335" s="25">
        <f>IFERROR(VLOOKUP(B335,DADOS!$A$2:$H$252,4,0)*J335,"")</f>
        <v>0.1139336</v>
      </c>
      <c r="L335" s="26">
        <f t="shared" si="5"/>
        <v>0.1139336</v>
      </c>
      <c r="M335" s="30" t="s">
        <v>83</v>
      </c>
      <c r="N335" s="33" t="s">
        <v>88</v>
      </c>
      <c r="O335" s="28"/>
      <c r="P335" s="28"/>
      <c r="Q335" s="28"/>
      <c r="R335" s="28"/>
      <c r="S335" s="28"/>
    </row>
    <row r="336">
      <c r="A336" s="17">
        <v>45446.0</v>
      </c>
      <c r="B336" s="18" t="s">
        <v>75</v>
      </c>
      <c r="C336" s="18" t="s">
        <v>80</v>
      </c>
      <c r="D336" s="19"/>
      <c r="E336" s="19"/>
      <c r="F336" s="20">
        <f t="shared" si="4"/>
        <v>0</v>
      </c>
      <c r="G336" s="21">
        <f>IFERROR(VLOOKUP(B336,DADOS!$A$2:$H$252,8,0),"")</f>
        <v>23</v>
      </c>
      <c r="H336" s="35"/>
      <c r="I336" s="23">
        <f>IFERROR(VLOOKUP(B336,DADOS!$A$2:$H$252,4,0)*H336,"")</f>
        <v>0</v>
      </c>
      <c r="J336" s="24">
        <v>8.0</v>
      </c>
      <c r="K336" s="25">
        <f>IFERROR(VLOOKUP(B336,DADOS!$A$2:$H$252,4,0)*J336,"")</f>
        <v>0.9114688</v>
      </c>
      <c r="L336" s="26">
        <f t="shared" si="5"/>
        <v>0.1139336</v>
      </c>
      <c r="M336" s="30" t="s">
        <v>83</v>
      </c>
      <c r="N336" s="33" t="s">
        <v>88</v>
      </c>
      <c r="O336" s="28"/>
      <c r="P336" s="28"/>
      <c r="Q336" s="28"/>
      <c r="R336" s="28"/>
      <c r="S336" s="28"/>
    </row>
    <row r="337">
      <c r="A337" s="17">
        <v>45446.0</v>
      </c>
      <c r="B337" s="18" t="s">
        <v>26</v>
      </c>
      <c r="C337" s="18" t="s">
        <v>80</v>
      </c>
      <c r="D337" s="19"/>
      <c r="E337" s="19"/>
      <c r="F337" s="20">
        <f t="shared" si="4"/>
        <v>0</v>
      </c>
      <c r="G337" s="21">
        <f>IFERROR(VLOOKUP(B337,DADOS!$A$2:$H$252,8,0),"")</f>
        <v>50</v>
      </c>
      <c r="H337" s="35"/>
      <c r="I337" s="23">
        <f>IFERROR(VLOOKUP(B337,DADOS!$A$2:$H$252,4,0)*H337,"")</f>
        <v>0</v>
      </c>
      <c r="J337" s="24">
        <v>1.0</v>
      </c>
      <c r="K337" s="25">
        <f>IFERROR(VLOOKUP(B337,DADOS!$A$2:$H$252,4,0)*J337,"")</f>
        <v>0.1139336</v>
      </c>
      <c r="L337" s="26">
        <f t="shared" si="5"/>
        <v>0.1139336</v>
      </c>
      <c r="M337" s="30" t="s">
        <v>83</v>
      </c>
      <c r="N337" s="33" t="s">
        <v>88</v>
      </c>
      <c r="O337" s="28"/>
      <c r="P337" s="28"/>
      <c r="Q337" s="28"/>
      <c r="R337" s="28"/>
      <c r="S337" s="28"/>
    </row>
    <row r="338">
      <c r="A338" s="17">
        <v>45446.0</v>
      </c>
      <c r="B338" s="18" t="s">
        <v>92</v>
      </c>
      <c r="C338" s="18" t="s">
        <v>80</v>
      </c>
      <c r="D338" s="19"/>
      <c r="E338" s="19"/>
      <c r="F338" s="20">
        <f t="shared" si="4"/>
        <v>0</v>
      </c>
      <c r="G338" s="21">
        <f>IFERROR(VLOOKUP(B338,DADOS!$A$2:$H$252,8,0),"")</f>
        <v>100</v>
      </c>
      <c r="H338" s="35"/>
      <c r="I338" s="23">
        <f>IFERROR(VLOOKUP(B338,DADOS!$A$2:$H$252,4,0)*H338,"")</f>
        <v>0</v>
      </c>
      <c r="J338" s="24">
        <v>1.0</v>
      </c>
      <c r="K338" s="25">
        <f>IFERROR(VLOOKUP(B338,DADOS!$A$2:$H$252,4,0)*J338,"")</f>
        <v>0.0253162</v>
      </c>
      <c r="L338" s="26">
        <f t="shared" si="5"/>
        <v>0.0253162</v>
      </c>
      <c r="M338" s="30" t="s">
        <v>83</v>
      </c>
      <c r="N338" s="33" t="s">
        <v>88</v>
      </c>
      <c r="O338" s="28"/>
      <c r="P338" s="28"/>
      <c r="Q338" s="28"/>
      <c r="R338" s="28"/>
      <c r="S338" s="28"/>
    </row>
    <row r="339">
      <c r="A339" s="17">
        <v>45446.0</v>
      </c>
      <c r="B339" s="18" t="s">
        <v>44</v>
      </c>
      <c r="C339" s="18" t="s">
        <v>80</v>
      </c>
      <c r="D339" s="19"/>
      <c r="E339" s="19"/>
      <c r="F339" s="20">
        <f t="shared" si="4"/>
        <v>0</v>
      </c>
      <c r="G339" s="21">
        <f>IFERROR(VLOOKUP(B339,DADOS!$A$2:$H$252,8,0),"")</f>
        <v>15</v>
      </c>
      <c r="H339" s="35"/>
      <c r="I339" s="23">
        <f>IFERROR(VLOOKUP(B339,DADOS!$A$2:$H$252,4,0)*H339,"")</f>
        <v>0</v>
      </c>
      <c r="J339" s="24">
        <v>1.0</v>
      </c>
      <c r="K339" s="25">
        <f>IFERROR(VLOOKUP(B339,DADOS!$A$2:$H$252,4,0)*J339,"")</f>
        <v>0.1845536</v>
      </c>
      <c r="L339" s="26">
        <f t="shared" si="5"/>
        <v>0.1845536</v>
      </c>
      <c r="M339" s="30" t="s">
        <v>39</v>
      </c>
      <c r="N339" s="33" t="s">
        <v>111</v>
      </c>
      <c r="O339" s="28"/>
      <c r="P339" s="28"/>
      <c r="Q339" s="28"/>
      <c r="R339" s="28"/>
      <c r="S339" s="28"/>
    </row>
    <row r="340">
      <c r="A340" s="17">
        <v>45446.0</v>
      </c>
      <c r="B340" s="18" t="s">
        <v>47</v>
      </c>
      <c r="C340" s="18" t="s">
        <v>80</v>
      </c>
      <c r="D340" s="19"/>
      <c r="E340" s="19"/>
      <c r="F340" s="20">
        <f t="shared" si="4"/>
        <v>0</v>
      </c>
      <c r="G340" s="21">
        <f>IFERROR(VLOOKUP(B340,DADOS!$A$2:$H$252,8,0),"")</f>
        <v>35</v>
      </c>
      <c r="H340" s="35"/>
      <c r="I340" s="23">
        <f>IFERROR(VLOOKUP(B340,DADOS!$A$2:$H$252,4,0)*H340,"")</f>
        <v>0</v>
      </c>
      <c r="J340" s="24">
        <v>1.0</v>
      </c>
      <c r="K340" s="25">
        <f>IFERROR(VLOOKUP(B340,DADOS!$A$2:$H$252,4,0)*J340,"")</f>
        <v>0.1139336</v>
      </c>
      <c r="L340" s="26">
        <f t="shared" si="5"/>
        <v>0.1139336</v>
      </c>
      <c r="M340" s="30" t="s">
        <v>39</v>
      </c>
      <c r="N340" s="33" t="s">
        <v>89</v>
      </c>
      <c r="O340" s="28"/>
      <c r="P340" s="28"/>
      <c r="Q340" s="28"/>
      <c r="R340" s="28"/>
      <c r="S340" s="28"/>
    </row>
    <row r="341">
      <c r="A341" s="17">
        <v>45446.0</v>
      </c>
      <c r="B341" s="18" t="s">
        <v>125</v>
      </c>
      <c r="C341" s="18" t="s">
        <v>80</v>
      </c>
      <c r="D341" s="19"/>
      <c r="E341" s="19"/>
      <c r="F341" s="20">
        <f t="shared" si="4"/>
        <v>0</v>
      </c>
      <c r="G341" s="21">
        <f>IFERROR(VLOOKUP(B341,DADOS!$A$2:$H$252,8,0),"")</f>
        <v>12</v>
      </c>
      <c r="H341" s="35"/>
      <c r="I341" s="23">
        <f>IFERROR(VLOOKUP(B341,DADOS!$A$2:$H$252,4,0)*H341,"")</f>
        <v>0</v>
      </c>
      <c r="J341" s="24">
        <v>5.0</v>
      </c>
      <c r="K341" s="25">
        <f>IFERROR(VLOOKUP(B341,DADOS!$A$2:$H$252,4,0)*J341,"")</f>
        <v>0.922768</v>
      </c>
      <c r="L341" s="26">
        <f t="shared" si="5"/>
        <v>0.1845536</v>
      </c>
      <c r="M341" s="30" t="s">
        <v>83</v>
      </c>
      <c r="N341" s="30"/>
      <c r="O341" s="28"/>
      <c r="P341" s="28"/>
      <c r="Q341" s="28"/>
      <c r="R341" s="28"/>
      <c r="S341" s="28"/>
    </row>
    <row r="342">
      <c r="A342" s="17">
        <v>45447.0</v>
      </c>
      <c r="B342" s="18" t="s">
        <v>26</v>
      </c>
      <c r="C342" s="18" t="s">
        <v>19</v>
      </c>
      <c r="D342" s="19"/>
      <c r="E342" s="19"/>
      <c r="F342" s="20">
        <f t="shared" si="4"/>
        <v>0</v>
      </c>
      <c r="G342" s="21">
        <f>IFERROR(VLOOKUP(B342,DADOS!$A$2:$H$252,8,0),"")</f>
        <v>50</v>
      </c>
      <c r="H342" s="22">
        <v>13.0</v>
      </c>
      <c r="I342" s="23">
        <f>IFERROR(VLOOKUP(B342,DADOS!$A$2:$H$252,4,0)*H342,"")</f>
        <v>1.4811368</v>
      </c>
      <c r="J342" s="36"/>
      <c r="K342" s="25">
        <f>IFERROR(VLOOKUP(B342,DADOS!$A$2:$H$252,4,0)*J342,"")</f>
        <v>0</v>
      </c>
      <c r="L342" s="26">
        <f t="shared" si="5"/>
        <v>0</v>
      </c>
      <c r="M342" s="27"/>
      <c r="N342" s="30"/>
      <c r="O342" s="28"/>
      <c r="P342" s="28"/>
      <c r="Q342" s="28"/>
      <c r="R342" s="28"/>
      <c r="S342" s="28"/>
    </row>
    <row r="343">
      <c r="A343" s="17">
        <v>45447.0</v>
      </c>
      <c r="B343" s="18" t="s">
        <v>25</v>
      </c>
      <c r="C343" s="18" t="s">
        <v>97</v>
      </c>
      <c r="D343" s="19">
        <v>0.3125</v>
      </c>
      <c r="E343" s="19">
        <v>0.3958333333333333</v>
      </c>
      <c r="F343" s="20">
        <f t="shared" si="4"/>
        <v>0.08333333333</v>
      </c>
      <c r="G343" s="21">
        <f>IFERROR(VLOOKUP(B343,DADOS!$A$2:$H$252,8,0),"")</f>
        <v>40</v>
      </c>
      <c r="H343" s="22">
        <v>44.0</v>
      </c>
      <c r="I343" s="23">
        <f>IFERROR(VLOOKUP(B343,DADOS!$A$2:$H$252,4,0)*H343,"")</f>
        <v>4.557344</v>
      </c>
      <c r="J343" s="24">
        <v>2.0</v>
      </c>
      <c r="K343" s="25">
        <f>IFERROR(VLOOKUP(B343,DADOS!$A$2:$H$252,4,0)*J343,"")</f>
        <v>0.207152</v>
      </c>
      <c r="L343" s="26">
        <f t="shared" si="5"/>
        <v>0.04545454545</v>
      </c>
      <c r="M343" s="27"/>
      <c r="N343" s="30"/>
      <c r="O343" s="28"/>
      <c r="P343" s="28"/>
      <c r="Q343" s="28"/>
      <c r="R343" s="28"/>
      <c r="S343" s="28"/>
    </row>
    <row r="344">
      <c r="A344" s="17">
        <v>45447.0</v>
      </c>
      <c r="B344" s="18" t="s">
        <v>34</v>
      </c>
      <c r="C344" s="18" t="s">
        <v>97</v>
      </c>
      <c r="D344" s="19">
        <v>0.4166666666666667</v>
      </c>
      <c r="E344" s="19">
        <v>0.71875</v>
      </c>
      <c r="F344" s="20">
        <f t="shared" si="4"/>
        <v>0.3020833333</v>
      </c>
      <c r="G344" s="21">
        <f>IFERROR(VLOOKUP(B344,DADOS!$A$2:$H$252,8,0),"")</f>
        <v>12</v>
      </c>
      <c r="H344" s="22">
        <v>46.0</v>
      </c>
      <c r="I344" s="23">
        <f>IFERROR(VLOOKUP(B344,DADOS!$A$2:$H$252,4,0)*H344,"")</f>
        <v>18.201556</v>
      </c>
      <c r="J344" s="24">
        <v>2.0</v>
      </c>
      <c r="K344" s="25">
        <f>IFERROR(VLOOKUP(B344,DADOS!$A$2:$H$252,4,0)*J344,"")</f>
        <v>0.791372</v>
      </c>
      <c r="L344" s="26">
        <f t="shared" si="5"/>
        <v>0.04347826087</v>
      </c>
      <c r="M344" s="27"/>
      <c r="N344" s="30"/>
      <c r="O344" s="28"/>
      <c r="P344" s="28"/>
      <c r="Q344" s="28"/>
      <c r="R344" s="28"/>
      <c r="S344" s="28"/>
    </row>
    <row r="345">
      <c r="A345" s="17">
        <v>45448.0</v>
      </c>
      <c r="B345" s="18" t="s">
        <v>126</v>
      </c>
      <c r="C345" s="18" t="s">
        <v>17</v>
      </c>
      <c r="D345" s="19"/>
      <c r="E345" s="19"/>
      <c r="F345" s="20">
        <f t="shared" si="4"/>
        <v>0</v>
      </c>
      <c r="G345" s="21">
        <f>IFERROR(VLOOKUP(B345,DADOS!$A$2:$H$252,8,0),"")</f>
        <v>100</v>
      </c>
      <c r="H345" s="22">
        <v>26.0</v>
      </c>
      <c r="I345" s="23">
        <f>IFERROR(VLOOKUP(B345,DADOS!$A$2:$H$252,4,0)*H345,"")</f>
        <v>1.37709</v>
      </c>
      <c r="J345" s="36"/>
      <c r="K345" s="25">
        <f>IFERROR(VLOOKUP(B345,DADOS!$A$2:$H$252,4,0)*J345,"")</f>
        <v>0</v>
      </c>
      <c r="L345" s="26">
        <f t="shared" si="5"/>
        <v>0</v>
      </c>
      <c r="M345" s="27"/>
      <c r="N345" s="30"/>
      <c r="O345" s="28"/>
      <c r="P345" s="28"/>
      <c r="Q345" s="28"/>
      <c r="R345" s="28"/>
      <c r="S345" s="28"/>
    </row>
    <row r="346">
      <c r="A346" s="17">
        <v>45448.0</v>
      </c>
      <c r="B346" s="18" t="s">
        <v>53</v>
      </c>
      <c r="C346" s="18" t="s">
        <v>97</v>
      </c>
      <c r="D346" s="19">
        <v>0.3194444444444444</v>
      </c>
      <c r="E346" s="19">
        <v>0.3541666666666667</v>
      </c>
      <c r="F346" s="20">
        <f t="shared" si="4"/>
        <v>0.03472222222</v>
      </c>
      <c r="G346" s="21">
        <f>IFERROR(VLOOKUP(B346,DADOS!$A$2:$H$252,8,0),"")</f>
        <v>120</v>
      </c>
      <c r="H346" s="22">
        <v>80.0</v>
      </c>
      <c r="I346" s="23">
        <f>IFERROR(VLOOKUP(B346,DADOS!$A$2:$H$252,4,0)*H346,"")</f>
        <v>0.7704</v>
      </c>
      <c r="J346" s="36"/>
      <c r="K346" s="25">
        <f>IFERROR(VLOOKUP(B346,DADOS!$A$2:$H$252,4,0)*J346,"")</f>
        <v>0</v>
      </c>
      <c r="L346" s="26">
        <f t="shared" si="5"/>
        <v>0</v>
      </c>
      <c r="M346" s="27"/>
      <c r="N346" s="30"/>
      <c r="O346" s="28"/>
      <c r="P346" s="28"/>
      <c r="Q346" s="28"/>
      <c r="R346" s="28"/>
      <c r="S346" s="28"/>
    </row>
    <row r="347">
      <c r="A347" s="17">
        <v>45448.0</v>
      </c>
      <c r="B347" s="18" t="s">
        <v>34</v>
      </c>
      <c r="C347" s="18" t="s">
        <v>97</v>
      </c>
      <c r="D347" s="19">
        <v>0.3611111111111111</v>
      </c>
      <c r="E347" s="19">
        <v>0.4166666666666667</v>
      </c>
      <c r="F347" s="20">
        <f t="shared" si="4"/>
        <v>0.05555555556</v>
      </c>
      <c r="G347" s="21">
        <f>IFERROR(VLOOKUP(B347,DADOS!$A$2:$H$252,8,0),"")</f>
        <v>12</v>
      </c>
      <c r="H347" s="22">
        <v>14.0</v>
      </c>
      <c r="I347" s="23">
        <f>IFERROR(VLOOKUP(B347,DADOS!$A$2:$H$252,4,0)*H347,"")</f>
        <v>5.539604</v>
      </c>
      <c r="J347" s="36"/>
      <c r="K347" s="25">
        <f>IFERROR(VLOOKUP(B347,DADOS!$A$2:$H$252,4,0)*J347,"")</f>
        <v>0</v>
      </c>
      <c r="L347" s="26">
        <f t="shared" si="5"/>
        <v>0</v>
      </c>
      <c r="M347" s="27"/>
      <c r="N347" s="30"/>
      <c r="O347" s="28"/>
      <c r="P347" s="28"/>
      <c r="Q347" s="28"/>
      <c r="R347" s="28"/>
      <c r="S347" s="28"/>
    </row>
    <row r="348">
      <c r="A348" s="17">
        <v>45448.0</v>
      </c>
      <c r="B348" s="18" t="s">
        <v>109</v>
      </c>
      <c r="C348" s="18" t="s">
        <v>97</v>
      </c>
      <c r="D348" s="29">
        <v>0.4201388888888889</v>
      </c>
      <c r="E348" s="19">
        <v>0.71875</v>
      </c>
      <c r="F348" s="20">
        <f t="shared" si="4"/>
        <v>0.2986111111</v>
      </c>
      <c r="G348" s="21" t="str">
        <f>IFERROR(VLOOKUP(B348,DADOS!$A$2:$H$252,8,0),"")</f>
        <v/>
      </c>
      <c r="H348" s="22">
        <v>35.0</v>
      </c>
      <c r="I348" s="23" t="str">
        <f>IFERROR(VLOOKUP(B348,DADOS!$A$2:$H$252,4,0)*H348,"")</f>
        <v/>
      </c>
      <c r="J348" s="24">
        <v>1.0</v>
      </c>
      <c r="K348" s="25" t="str">
        <f>IFERROR(VLOOKUP(B348,DADOS!$A$2:$H$252,4,0)*J348,"")</f>
        <v/>
      </c>
      <c r="L348" s="26" t="str">
        <f t="shared" si="5"/>
        <v/>
      </c>
      <c r="M348" s="27"/>
      <c r="N348" s="30"/>
      <c r="O348" s="28"/>
      <c r="P348" s="28"/>
      <c r="Q348" s="28"/>
      <c r="R348" s="28"/>
      <c r="S348" s="28"/>
    </row>
    <row r="349">
      <c r="A349" s="17">
        <v>45449.0</v>
      </c>
      <c r="B349" s="18" t="s">
        <v>126</v>
      </c>
      <c r="C349" s="18" t="s">
        <v>17</v>
      </c>
      <c r="D349" s="19">
        <v>0.4444444444444444</v>
      </c>
      <c r="E349" s="19">
        <v>0.4722222222222222</v>
      </c>
      <c r="F349" s="20">
        <f t="shared" si="4"/>
        <v>0.02777777778</v>
      </c>
      <c r="G349" s="21">
        <f>IFERROR(VLOOKUP(B349,DADOS!$A$2:$H$252,8,0),"")</f>
        <v>100</v>
      </c>
      <c r="H349" s="22">
        <v>80.0</v>
      </c>
      <c r="I349" s="23">
        <f>IFERROR(VLOOKUP(B349,DADOS!$A$2:$H$252,4,0)*H349,"")</f>
        <v>4.2372</v>
      </c>
      <c r="J349" s="36"/>
      <c r="K349" s="25">
        <f>IFERROR(VLOOKUP(B349,DADOS!$A$2:$H$252,4,0)*J349,"")</f>
        <v>0</v>
      </c>
      <c r="L349" s="26">
        <f t="shared" si="5"/>
        <v>0</v>
      </c>
      <c r="M349" s="27"/>
      <c r="N349" s="30"/>
      <c r="O349" s="28"/>
      <c r="P349" s="28"/>
      <c r="Q349" s="28"/>
      <c r="R349" s="28"/>
      <c r="S349" s="28"/>
    </row>
    <row r="350">
      <c r="A350" s="17">
        <v>45449.0</v>
      </c>
      <c r="B350" s="18" t="s">
        <v>37</v>
      </c>
      <c r="C350" s="18" t="s">
        <v>17</v>
      </c>
      <c r="D350" s="19"/>
      <c r="E350" s="19"/>
      <c r="F350" s="20">
        <f t="shared" si="4"/>
        <v>0</v>
      </c>
      <c r="G350" s="21" t="str">
        <f>IFERROR(VLOOKUP(B350,DADOS!$A$2:$H$252,8,0),"")</f>
        <v/>
      </c>
      <c r="H350" s="22">
        <v>17.0</v>
      </c>
      <c r="I350" s="23" t="str">
        <f>IFERROR(VLOOKUP(B350,DADOS!$A$2:$H$252,4,0)*H350,"")</f>
        <v/>
      </c>
      <c r="J350" s="36"/>
      <c r="K350" s="25" t="str">
        <f>IFERROR(VLOOKUP(B350,DADOS!$A$2:$H$252,4,0)*J350,"")</f>
        <v/>
      </c>
      <c r="L350" s="26" t="str">
        <f t="shared" si="5"/>
        <v/>
      </c>
      <c r="M350" s="27"/>
      <c r="N350" s="30"/>
      <c r="O350" s="28"/>
      <c r="P350" s="28"/>
      <c r="Q350" s="28"/>
      <c r="R350" s="28"/>
      <c r="S350" s="28"/>
    </row>
    <row r="351">
      <c r="A351" s="17">
        <v>45449.0</v>
      </c>
      <c r="B351" s="18" t="s">
        <v>116</v>
      </c>
      <c r="C351" s="18" t="s">
        <v>19</v>
      </c>
      <c r="D351" s="19"/>
      <c r="E351" s="19"/>
      <c r="F351" s="20">
        <f t="shared" si="4"/>
        <v>0</v>
      </c>
      <c r="G351" s="21">
        <f>IFERROR(VLOOKUP(B351,DADOS!$A$2:$H$252,8,0),"")</f>
        <v>15</v>
      </c>
      <c r="H351" s="22">
        <v>2.0</v>
      </c>
      <c r="I351" s="23">
        <f>IFERROR(VLOOKUP(B351,DADOS!$A$2:$H$252,4,0)*H351,"")</f>
        <v>0.554688</v>
      </c>
      <c r="J351" s="36"/>
      <c r="K351" s="25">
        <f>IFERROR(VLOOKUP(B351,DADOS!$A$2:$H$252,4,0)*J351,"")</f>
        <v>0</v>
      </c>
      <c r="L351" s="26">
        <f t="shared" si="5"/>
        <v>0</v>
      </c>
      <c r="M351" s="27"/>
      <c r="N351" s="30"/>
      <c r="O351" s="28"/>
      <c r="P351" s="28"/>
      <c r="Q351" s="28"/>
      <c r="R351" s="28"/>
      <c r="S351" s="28"/>
    </row>
    <row r="352">
      <c r="A352" s="17">
        <v>45449.0</v>
      </c>
      <c r="B352" s="18" t="s">
        <v>115</v>
      </c>
      <c r="C352" s="18" t="s">
        <v>19</v>
      </c>
      <c r="D352" s="19"/>
      <c r="E352" s="19"/>
      <c r="F352" s="20">
        <f t="shared" si="4"/>
        <v>0</v>
      </c>
      <c r="G352" s="21">
        <f>IFERROR(VLOOKUP(B352,DADOS!$A$2:$H$252,8,0),"")</f>
        <v>12</v>
      </c>
      <c r="H352" s="22">
        <v>5.0</v>
      </c>
      <c r="I352" s="23">
        <f>IFERROR(VLOOKUP(B352,DADOS!$A$2:$H$252,4,0)*H352,"")</f>
        <v>1.46483</v>
      </c>
      <c r="J352" s="24">
        <v>2.0</v>
      </c>
      <c r="K352" s="25">
        <f>IFERROR(VLOOKUP(B352,DADOS!$A$2:$H$252,4,0)*J352,"")</f>
        <v>0.585932</v>
      </c>
      <c r="L352" s="26">
        <f t="shared" si="5"/>
        <v>0.4</v>
      </c>
      <c r="M352" s="27"/>
      <c r="N352" s="30"/>
      <c r="O352" s="28"/>
      <c r="P352" s="28"/>
      <c r="Q352" s="28"/>
      <c r="R352" s="28"/>
      <c r="S352" s="28"/>
    </row>
    <row r="353">
      <c r="A353" s="17">
        <v>45449.0</v>
      </c>
      <c r="B353" s="18" t="s">
        <v>34</v>
      </c>
      <c r="C353" s="18" t="s">
        <v>97</v>
      </c>
      <c r="D353" s="19"/>
      <c r="E353" s="19"/>
      <c r="F353" s="20">
        <f t="shared" si="4"/>
        <v>0</v>
      </c>
      <c r="G353" s="21">
        <f>IFERROR(VLOOKUP(B353,DADOS!$A$2:$H$252,8,0),"")</f>
        <v>12</v>
      </c>
      <c r="H353" s="22">
        <v>20.0</v>
      </c>
      <c r="I353" s="23">
        <f>IFERROR(VLOOKUP(B353,DADOS!$A$2:$H$252,4,0)*H353,"")</f>
        <v>7.91372</v>
      </c>
      <c r="J353" s="24">
        <v>2.0</v>
      </c>
      <c r="K353" s="25">
        <f>IFERROR(VLOOKUP(B353,DADOS!$A$2:$H$252,4,0)*J353,"")</f>
        <v>0.791372</v>
      </c>
      <c r="L353" s="26">
        <f t="shared" si="5"/>
        <v>0.1</v>
      </c>
      <c r="M353" s="27"/>
      <c r="N353" s="30"/>
      <c r="O353" s="28"/>
      <c r="P353" s="28"/>
      <c r="Q353" s="28"/>
      <c r="R353" s="28"/>
      <c r="S353" s="28"/>
    </row>
    <row r="354">
      <c r="A354" s="17">
        <v>45449.0</v>
      </c>
      <c r="B354" s="18" t="s">
        <v>18</v>
      </c>
      <c r="C354" s="18" t="s">
        <v>97</v>
      </c>
      <c r="D354" s="19"/>
      <c r="E354" s="19"/>
      <c r="F354" s="20">
        <f t="shared" si="4"/>
        <v>0</v>
      </c>
      <c r="G354" s="21">
        <f>IFERROR(VLOOKUP(B354,DADOS!$A$2:$H$252,8,0),"")</f>
        <v>21</v>
      </c>
      <c r="H354" s="22">
        <v>2.0</v>
      </c>
      <c r="I354" s="23">
        <f>IFERROR(VLOOKUP(B354,DADOS!$A$2:$H$252,4,0)*H354,"")</f>
        <v>0.585932</v>
      </c>
      <c r="J354" s="36"/>
      <c r="K354" s="25">
        <f>IFERROR(VLOOKUP(B354,DADOS!$A$2:$H$252,4,0)*J354,"")</f>
        <v>0</v>
      </c>
      <c r="L354" s="26">
        <f t="shared" si="5"/>
        <v>0</v>
      </c>
      <c r="M354" s="27"/>
      <c r="N354" s="30"/>
      <c r="O354" s="28"/>
      <c r="P354" s="28"/>
      <c r="Q354" s="28"/>
      <c r="R354" s="28"/>
      <c r="S354" s="28"/>
    </row>
    <row r="355">
      <c r="A355" s="17">
        <v>45453.0</v>
      </c>
      <c r="B355" s="18" t="s">
        <v>37</v>
      </c>
      <c r="C355" s="18" t="s">
        <v>17</v>
      </c>
      <c r="D355" s="19">
        <v>0.3451388888888889</v>
      </c>
      <c r="E355" s="19">
        <v>0.40555555555555556</v>
      </c>
      <c r="F355" s="20">
        <f t="shared" si="4"/>
        <v>0.06041666667</v>
      </c>
      <c r="G355" s="21" t="str">
        <f>IFERROR(VLOOKUP(B355,DADOS!$A$2:$H$252,8,0),"")</f>
        <v/>
      </c>
      <c r="H355" s="22">
        <v>106.0</v>
      </c>
      <c r="I355" s="23" t="str">
        <f>IFERROR(VLOOKUP(B355,DADOS!$A$2:$H$252,4,0)*H355,"")</f>
        <v/>
      </c>
      <c r="J355" s="36"/>
      <c r="K355" s="25" t="str">
        <f>IFERROR(VLOOKUP(B355,DADOS!$A$2:$H$252,4,0)*J355,"")</f>
        <v/>
      </c>
      <c r="L355" s="26" t="str">
        <f t="shared" si="5"/>
        <v/>
      </c>
      <c r="M355" s="27"/>
      <c r="N355" s="30"/>
      <c r="O355" s="28"/>
      <c r="P355" s="28"/>
      <c r="Q355" s="28"/>
      <c r="R355" s="28"/>
      <c r="S355" s="28"/>
    </row>
    <row r="356">
      <c r="A356" s="17">
        <v>45453.0</v>
      </c>
      <c r="B356" s="18" t="s">
        <v>37</v>
      </c>
      <c r="C356" s="18" t="s">
        <v>17</v>
      </c>
      <c r="D356" s="19">
        <v>0.4513888888888889</v>
      </c>
      <c r="E356" s="19">
        <v>0.49375</v>
      </c>
      <c r="F356" s="20">
        <f t="shared" si="4"/>
        <v>0.04236111111</v>
      </c>
      <c r="G356" s="21" t="str">
        <f>IFERROR(VLOOKUP(B356,DADOS!$A$2:$H$252,8,0),"")</f>
        <v/>
      </c>
      <c r="H356" s="22">
        <v>69.0</v>
      </c>
      <c r="I356" s="23" t="str">
        <f>IFERROR(VLOOKUP(B356,DADOS!$A$2:$H$252,4,0)*H356,"")</f>
        <v/>
      </c>
      <c r="J356" s="36"/>
      <c r="K356" s="25" t="str">
        <f>IFERROR(VLOOKUP(B356,DADOS!$A$2:$H$252,4,0)*J356,"")</f>
        <v/>
      </c>
      <c r="L356" s="26" t="str">
        <f t="shared" si="5"/>
        <v/>
      </c>
      <c r="M356" s="27"/>
      <c r="N356" s="30"/>
      <c r="O356" s="28"/>
      <c r="P356" s="28"/>
      <c r="Q356" s="28"/>
      <c r="R356" s="28"/>
      <c r="S356" s="28"/>
    </row>
    <row r="357">
      <c r="A357" s="17">
        <v>45453.0</v>
      </c>
      <c r="B357" s="18" t="s">
        <v>37</v>
      </c>
      <c r="C357" s="18" t="s">
        <v>17</v>
      </c>
      <c r="D357" s="19">
        <v>0.6805555555555556</v>
      </c>
      <c r="E357" s="19">
        <v>0.7083333333333334</v>
      </c>
      <c r="F357" s="20">
        <f t="shared" si="4"/>
        <v>0.02777777778</v>
      </c>
      <c r="G357" s="21" t="str">
        <f>IFERROR(VLOOKUP(B357,DADOS!$A$2:$H$252,8,0),"")</f>
        <v/>
      </c>
      <c r="H357" s="22">
        <v>65.0</v>
      </c>
      <c r="I357" s="23" t="str">
        <f>IFERROR(VLOOKUP(B357,DADOS!$A$2:$H$252,4,0)*H357,"")</f>
        <v/>
      </c>
      <c r="J357" s="36"/>
      <c r="K357" s="25" t="str">
        <f>IFERROR(VLOOKUP(B357,DADOS!$A$2:$H$252,4,0)*J357,"")</f>
        <v/>
      </c>
      <c r="L357" s="26" t="str">
        <f t="shared" si="5"/>
        <v/>
      </c>
      <c r="M357" s="27"/>
      <c r="N357" s="30"/>
      <c r="O357" s="28"/>
      <c r="P357" s="28"/>
      <c r="Q357" s="28"/>
      <c r="R357" s="28"/>
      <c r="S357" s="28"/>
    </row>
    <row r="358">
      <c r="A358" s="17">
        <v>45453.0</v>
      </c>
      <c r="B358" s="18" t="s">
        <v>26</v>
      </c>
      <c r="C358" s="18" t="s">
        <v>97</v>
      </c>
      <c r="D358" s="19">
        <v>0.3194444444444444</v>
      </c>
      <c r="E358" s="19">
        <v>0.4965277777777778</v>
      </c>
      <c r="F358" s="20">
        <f t="shared" si="4"/>
        <v>0.1770833333</v>
      </c>
      <c r="G358" s="21">
        <f>IFERROR(VLOOKUP(B358,DADOS!$A$2:$H$252,8,0),"")</f>
        <v>50</v>
      </c>
      <c r="H358" s="22">
        <v>50.0</v>
      </c>
      <c r="I358" s="23">
        <f>IFERROR(VLOOKUP(B358,DADOS!$A$2:$H$252,4,0)*H358,"")</f>
        <v>5.69668</v>
      </c>
      <c r="J358" s="24">
        <v>7.0</v>
      </c>
      <c r="K358" s="25">
        <f>IFERROR(VLOOKUP(B358,DADOS!$A$2:$H$252,4,0)*J358,"")</f>
        <v>0.7975352</v>
      </c>
      <c r="L358" s="26">
        <f t="shared" si="5"/>
        <v>0.14</v>
      </c>
      <c r="M358" s="27"/>
      <c r="N358" s="30"/>
      <c r="O358" s="28"/>
      <c r="P358" s="28"/>
      <c r="Q358" s="28"/>
      <c r="R358" s="28"/>
      <c r="S358" s="28"/>
    </row>
    <row r="359">
      <c r="A359" s="17">
        <v>45453.0</v>
      </c>
      <c r="B359" s="18" t="s">
        <v>18</v>
      </c>
      <c r="C359" s="18" t="s">
        <v>97</v>
      </c>
      <c r="D359" s="19">
        <v>0.5659722222222222</v>
      </c>
      <c r="E359" s="19">
        <v>0.7222222222222222</v>
      </c>
      <c r="F359" s="20">
        <f t="shared" si="4"/>
        <v>0.15625</v>
      </c>
      <c r="G359" s="21">
        <f>IFERROR(VLOOKUP(B359,DADOS!$A$2:$H$252,8,0),"")</f>
        <v>21</v>
      </c>
      <c r="H359" s="22">
        <v>40.0</v>
      </c>
      <c r="I359" s="23">
        <f>IFERROR(VLOOKUP(B359,DADOS!$A$2:$H$252,4,0)*H359,"")</f>
        <v>11.71864</v>
      </c>
      <c r="J359" s="36"/>
      <c r="K359" s="25">
        <f>IFERROR(VLOOKUP(B359,DADOS!$A$2:$H$252,4,0)*J359,"")</f>
        <v>0</v>
      </c>
      <c r="L359" s="26">
        <f t="shared" si="5"/>
        <v>0</v>
      </c>
      <c r="M359" s="27"/>
      <c r="N359" s="30"/>
      <c r="O359" s="28"/>
      <c r="P359" s="28"/>
      <c r="Q359" s="28"/>
      <c r="R359" s="28"/>
      <c r="S359" s="28"/>
    </row>
    <row r="360">
      <c r="A360" s="17">
        <v>45454.0</v>
      </c>
      <c r="B360" s="18" t="s">
        <v>18</v>
      </c>
      <c r="C360" s="18" t="s">
        <v>97</v>
      </c>
      <c r="D360" s="19">
        <v>0.3194444444444444</v>
      </c>
      <c r="E360" s="19">
        <v>0.71875</v>
      </c>
      <c r="F360" s="20">
        <f t="shared" si="4"/>
        <v>0.3993055556</v>
      </c>
      <c r="G360" s="21">
        <f>IFERROR(VLOOKUP(B360,DADOS!$A$2:$H$252,8,0),"")</f>
        <v>21</v>
      </c>
      <c r="H360" s="22">
        <v>92.0</v>
      </c>
      <c r="I360" s="23">
        <f>IFERROR(VLOOKUP(B360,DADOS!$A$2:$H$252,4,0)*H360,"")</f>
        <v>26.952872</v>
      </c>
      <c r="J360" s="36"/>
      <c r="K360" s="25">
        <f>IFERROR(VLOOKUP(B360,DADOS!$A$2:$H$252,4,0)*J360,"")</f>
        <v>0</v>
      </c>
      <c r="L360" s="26">
        <f t="shared" si="5"/>
        <v>0</v>
      </c>
      <c r="M360" s="27"/>
      <c r="N360" s="30"/>
      <c r="O360" s="28"/>
      <c r="P360" s="28"/>
      <c r="Q360" s="28"/>
      <c r="R360" s="28"/>
      <c r="S360" s="28"/>
    </row>
    <row r="361">
      <c r="A361" s="17">
        <v>45455.0</v>
      </c>
      <c r="B361" s="18" t="s">
        <v>25</v>
      </c>
      <c r="C361" s="18" t="s">
        <v>97</v>
      </c>
      <c r="D361" s="19">
        <v>0.3194444444444444</v>
      </c>
      <c r="E361" s="19">
        <v>0.71875</v>
      </c>
      <c r="F361" s="20">
        <f t="shared" si="4"/>
        <v>0.3993055556</v>
      </c>
      <c r="G361" s="21">
        <f>IFERROR(VLOOKUP(B361,DADOS!$A$2:$H$252,8,0),"")</f>
        <v>40</v>
      </c>
      <c r="H361" s="22">
        <v>97.0</v>
      </c>
      <c r="I361" s="23">
        <f>IFERROR(VLOOKUP(B361,DADOS!$A$2:$H$252,4,0)*H361,"")</f>
        <v>10.046872</v>
      </c>
      <c r="J361" s="24">
        <v>11.0</v>
      </c>
      <c r="K361" s="25">
        <f>IFERROR(VLOOKUP(B361,DADOS!$A$2:$H$252,4,0)*J361,"")</f>
        <v>1.139336</v>
      </c>
      <c r="L361" s="26">
        <f t="shared" si="5"/>
        <v>0.1134020619</v>
      </c>
      <c r="M361" s="27"/>
      <c r="N361" s="30"/>
      <c r="O361" s="28"/>
      <c r="P361" s="28"/>
      <c r="Q361" s="28"/>
      <c r="R361" s="28"/>
      <c r="S361" s="28"/>
    </row>
    <row r="362">
      <c r="A362" s="17">
        <v>45456.0</v>
      </c>
      <c r="B362" s="18" t="s">
        <v>22</v>
      </c>
      <c r="C362" s="18" t="s">
        <v>23</v>
      </c>
      <c r="D362" s="19"/>
      <c r="E362" s="19"/>
      <c r="F362" s="20">
        <f t="shared" si="4"/>
        <v>0</v>
      </c>
      <c r="G362" s="21">
        <f>IFERROR(VLOOKUP(B362,DADOS!$A$2:$H$252,8,0),"")</f>
        <v>15</v>
      </c>
      <c r="H362" s="22">
        <v>25.0</v>
      </c>
      <c r="I362" s="23">
        <f>IFERROR(VLOOKUP(B362,DADOS!$A$2:$H$252,4,0)*H362,"")</f>
        <v>15.306885</v>
      </c>
      <c r="J362" s="36"/>
      <c r="K362" s="25">
        <f>IFERROR(VLOOKUP(B362,DADOS!$A$2:$H$252,4,0)*J362,"")</f>
        <v>0</v>
      </c>
      <c r="L362" s="26">
        <f t="shared" si="5"/>
        <v>0</v>
      </c>
      <c r="M362" s="27"/>
      <c r="N362" s="30"/>
      <c r="O362" s="28"/>
      <c r="P362" s="28"/>
      <c r="Q362" s="28"/>
      <c r="R362" s="28"/>
      <c r="S362" s="28"/>
    </row>
    <row r="363">
      <c r="A363" s="17">
        <v>45460.0</v>
      </c>
      <c r="B363" s="18" t="s">
        <v>54</v>
      </c>
      <c r="C363" s="18" t="s">
        <v>23</v>
      </c>
      <c r="D363" s="19"/>
      <c r="E363" s="19"/>
      <c r="F363" s="20">
        <f t="shared" si="4"/>
        <v>0</v>
      </c>
      <c r="G363" s="21" t="str">
        <f>IFERROR(VLOOKUP(B363,DADOS!$A$2:$H$252,8,0),"")</f>
        <v/>
      </c>
      <c r="H363" s="22">
        <v>40.0</v>
      </c>
      <c r="I363" s="23">
        <f>IFERROR(VLOOKUP(B363,DADOS!$A$2:$H$252,4,0)*H363,"")</f>
        <v>56.096248</v>
      </c>
      <c r="J363" s="36"/>
      <c r="K363" s="25">
        <f>IFERROR(VLOOKUP(B363,DADOS!$A$2:$H$252,4,0)*J363,"")</f>
        <v>0</v>
      </c>
      <c r="L363" s="26">
        <f t="shared" si="5"/>
        <v>0</v>
      </c>
      <c r="M363" s="27"/>
      <c r="N363" s="30"/>
      <c r="O363" s="28"/>
      <c r="P363" s="28"/>
      <c r="Q363" s="28"/>
      <c r="R363" s="28"/>
      <c r="S363" s="28"/>
    </row>
    <row r="364">
      <c r="A364" s="17">
        <v>45460.0</v>
      </c>
      <c r="B364" s="18" t="s">
        <v>33</v>
      </c>
      <c r="C364" s="18" t="s">
        <v>23</v>
      </c>
      <c r="D364" s="19"/>
      <c r="E364" s="19"/>
      <c r="F364" s="20">
        <f t="shared" si="4"/>
        <v>0</v>
      </c>
      <c r="G364" s="21">
        <f>IFERROR(VLOOKUP(B364,DADOS!$A$2:$H$252,8,0),"")</f>
        <v>7</v>
      </c>
      <c r="H364" s="22">
        <v>39.0</v>
      </c>
      <c r="I364" s="23">
        <f>IFERROR(VLOOKUP(B364,DADOS!$A$2:$H$252,4,0)*H364,"")</f>
        <v>54.6938418</v>
      </c>
      <c r="J364" s="24">
        <v>1.0</v>
      </c>
      <c r="K364" s="25">
        <f>IFERROR(VLOOKUP(B364,DADOS!$A$2:$H$252,4,0)*J364,"")</f>
        <v>1.4024062</v>
      </c>
      <c r="L364" s="26">
        <f t="shared" si="5"/>
        <v>0.02564102564</v>
      </c>
      <c r="M364" s="27"/>
      <c r="N364" s="30"/>
      <c r="O364" s="28"/>
      <c r="P364" s="28"/>
      <c r="Q364" s="28"/>
      <c r="R364" s="28"/>
      <c r="S364" s="28"/>
    </row>
    <row r="365">
      <c r="A365" s="17">
        <v>45461.0</v>
      </c>
      <c r="B365" s="18" t="s">
        <v>26</v>
      </c>
      <c r="C365" s="18" t="s">
        <v>97</v>
      </c>
      <c r="D365" s="19"/>
      <c r="E365" s="19"/>
      <c r="F365" s="20">
        <f t="shared" si="4"/>
        <v>0</v>
      </c>
      <c r="G365" s="21">
        <f>IFERROR(VLOOKUP(B365,DADOS!$A$2:$H$252,8,0),"")</f>
        <v>50</v>
      </c>
      <c r="H365" s="22">
        <v>66.0</v>
      </c>
      <c r="I365" s="23">
        <f>IFERROR(VLOOKUP(B365,DADOS!$A$2:$H$252,4,0)*H365,"")</f>
        <v>7.5196176</v>
      </c>
      <c r="J365" s="24">
        <v>10.0</v>
      </c>
      <c r="K365" s="25">
        <f>IFERROR(VLOOKUP(B365,DADOS!$A$2:$H$252,4,0)*J365,"")</f>
        <v>1.139336</v>
      </c>
      <c r="L365" s="26">
        <f t="shared" si="5"/>
        <v>0.1515151515</v>
      </c>
      <c r="M365" s="27"/>
      <c r="N365" s="30"/>
      <c r="O365" s="28"/>
      <c r="P365" s="28"/>
      <c r="Q365" s="28"/>
      <c r="R365" s="28"/>
      <c r="S365" s="28"/>
    </row>
    <row r="366">
      <c r="A366" s="17">
        <v>45462.0</v>
      </c>
      <c r="B366" s="18" t="s">
        <v>33</v>
      </c>
      <c r="C366" s="18" t="s">
        <v>97</v>
      </c>
      <c r="D366" s="19"/>
      <c r="E366" s="19"/>
      <c r="F366" s="20">
        <f t="shared" si="4"/>
        <v>0</v>
      </c>
      <c r="G366" s="21">
        <f>IFERROR(VLOOKUP(B366,DADOS!$A$2:$H$252,8,0),"")</f>
        <v>7</v>
      </c>
      <c r="H366" s="22">
        <v>10.0</v>
      </c>
      <c r="I366" s="23">
        <f>IFERROR(VLOOKUP(B366,DADOS!$A$2:$H$252,4,0)*H366,"")</f>
        <v>14.024062</v>
      </c>
      <c r="J366" s="36"/>
      <c r="K366" s="25">
        <f>IFERROR(VLOOKUP(B366,DADOS!$A$2:$H$252,4,0)*J366,"")</f>
        <v>0</v>
      </c>
      <c r="L366" s="26">
        <f t="shared" si="5"/>
        <v>0</v>
      </c>
      <c r="M366" s="27"/>
      <c r="N366" s="30"/>
      <c r="O366" s="28"/>
      <c r="P366" s="28"/>
      <c r="Q366" s="28"/>
      <c r="R366" s="28"/>
      <c r="S366" s="28"/>
    </row>
    <row r="367">
      <c r="A367" s="17">
        <v>45463.0</v>
      </c>
      <c r="B367" s="18" t="s">
        <v>47</v>
      </c>
      <c r="C367" s="18" t="s">
        <v>97</v>
      </c>
      <c r="D367" s="19">
        <v>0.3263888888888889</v>
      </c>
      <c r="E367" s="19">
        <v>0.71875</v>
      </c>
      <c r="F367" s="20">
        <f t="shared" si="4"/>
        <v>0.3923611111</v>
      </c>
      <c r="G367" s="21">
        <f>IFERROR(VLOOKUP(B367,DADOS!$A$2:$H$252,8,0),"")</f>
        <v>35</v>
      </c>
      <c r="H367" s="22">
        <v>75.0</v>
      </c>
      <c r="I367" s="23">
        <f>IFERROR(VLOOKUP(B367,DADOS!$A$2:$H$252,4,0)*H367,"")</f>
        <v>8.54502</v>
      </c>
      <c r="J367" s="24">
        <v>9.0</v>
      </c>
      <c r="K367" s="25">
        <f>IFERROR(VLOOKUP(B367,DADOS!$A$2:$H$252,4,0)*J367,"")</f>
        <v>1.0254024</v>
      </c>
      <c r="L367" s="26">
        <f t="shared" si="5"/>
        <v>0.12</v>
      </c>
      <c r="M367" s="27"/>
      <c r="N367" s="30"/>
      <c r="O367" s="28"/>
      <c r="P367" s="28"/>
      <c r="Q367" s="28"/>
      <c r="R367" s="28"/>
      <c r="S367" s="28"/>
    </row>
    <row r="368">
      <c r="A368" s="17">
        <v>45464.0</v>
      </c>
      <c r="B368" s="18" t="s">
        <v>61</v>
      </c>
      <c r="C368" s="18" t="s">
        <v>17</v>
      </c>
      <c r="D368" s="19">
        <v>0.34791666666666665</v>
      </c>
      <c r="E368" s="19">
        <v>0.36527777777777776</v>
      </c>
      <c r="F368" s="20">
        <f t="shared" si="4"/>
        <v>0.01736111111</v>
      </c>
      <c r="G368" s="21">
        <f>IFERROR(VLOOKUP(B368,DADOS!$A$2:$H$252,8,0),"")</f>
        <v>112</v>
      </c>
      <c r="H368" s="22">
        <v>45.0</v>
      </c>
      <c r="I368" s="23">
        <f>IFERROR(VLOOKUP(B368,DADOS!$A$2:$H$252,4,0)*H368,"")</f>
        <v>0.6741</v>
      </c>
      <c r="J368" s="36"/>
      <c r="K368" s="25">
        <f>IFERROR(VLOOKUP(B368,DADOS!$A$2:$H$252,4,0)*J368,"")</f>
        <v>0</v>
      </c>
      <c r="L368" s="26">
        <f t="shared" si="5"/>
        <v>0</v>
      </c>
      <c r="M368" s="27"/>
      <c r="N368" s="30"/>
      <c r="O368" s="28"/>
      <c r="P368" s="28"/>
      <c r="Q368" s="28"/>
      <c r="R368" s="28"/>
      <c r="S368" s="28"/>
    </row>
    <row r="369">
      <c r="A369" s="17">
        <v>45464.0</v>
      </c>
      <c r="B369" s="18" t="s">
        <v>61</v>
      </c>
      <c r="C369" s="18" t="s">
        <v>17</v>
      </c>
      <c r="D369" s="19">
        <v>0.4013888888888889</v>
      </c>
      <c r="E369" s="19">
        <v>0.44305555555555554</v>
      </c>
      <c r="F369" s="20">
        <f t="shared" si="4"/>
        <v>0.04166666667</v>
      </c>
      <c r="G369" s="21">
        <f>IFERROR(VLOOKUP(B369,DADOS!$A$2:$H$252,8,0),"")</f>
        <v>112</v>
      </c>
      <c r="H369" s="22">
        <v>150.0</v>
      </c>
      <c r="I369" s="23">
        <f>IFERROR(VLOOKUP(B369,DADOS!$A$2:$H$252,4,0)*H369,"")</f>
        <v>2.247</v>
      </c>
      <c r="J369" s="36"/>
      <c r="K369" s="25">
        <f>IFERROR(VLOOKUP(B369,DADOS!$A$2:$H$252,4,0)*J369,"")</f>
        <v>0</v>
      </c>
      <c r="L369" s="26">
        <f t="shared" si="5"/>
        <v>0</v>
      </c>
      <c r="M369" s="27"/>
      <c r="N369" s="30"/>
      <c r="O369" s="28"/>
      <c r="P369" s="28"/>
      <c r="Q369" s="28"/>
      <c r="R369" s="28"/>
      <c r="S369" s="28"/>
    </row>
    <row r="370">
      <c r="A370" s="17">
        <v>45464.0</v>
      </c>
      <c r="B370" s="18" t="s">
        <v>47</v>
      </c>
      <c r="C370" s="18" t="s">
        <v>97</v>
      </c>
      <c r="D370" s="19">
        <v>0.32222222222222224</v>
      </c>
      <c r="E370" s="19">
        <v>0.3680555555555556</v>
      </c>
      <c r="F370" s="20">
        <f t="shared" si="4"/>
        <v>0.04583333333</v>
      </c>
      <c r="G370" s="21">
        <f>IFERROR(VLOOKUP(B370,DADOS!$A$2:$H$252,8,0),"")</f>
        <v>35</v>
      </c>
      <c r="H370" s="22">
        <v>15.0</v>
      </c>
      <c r="I370" s="23">
        <f>IFERROR(VLOOKUP(B370,DADOS!$A$2:$H$252,4,0)*H370,"")</f>
        <v>1.709004</v>
      </c>
      <c r="J370" s="24">
        <v>4.0</v>
      </c>
      <c r="K370" s="25">
        <f>IFERROR(VLOOKUP(B370,DADOS!$A$2:$H$252,4,0)*J370,"")</f>
        <v>0.4557344</v>
      </c>
      <c r="L370" s="26">
        <f t="shared" si="5"/>
        <v>0.2666666667</v>
      </c>
      <c r="M370" s="27"/>
      <c r="N370" s="30"/>
      <c r="O370" s="28"/>
      <c r="P370" s="28"/>
      <c r="Q370" s="28"/>
      <c r="R370" s="28"/>
      <c r="S370" s="28"/>
    </row>
    <row r="371">
      <c r="A371" s="17">
        <v>45464.0</v>
      </c>
      <c r="B371" s="18" t="s">
        <v>49</v>
      </c>
      <c r="C371" s="18" t="s">
        <v>97</v>
      </c>
      <c r="D371" s="19">
        <v>0.3819444444444444</v>
      </c>
      <c r="E371" s="19">
        <v>0.6805555555555556</v>
      </c>
      <c r="F371" s="20">
        <f t="shared" si="4"/>
        <v>0.2986111111</v>
      </c>
      <c r="G371" s="21">
        <f>IFERROR(VLOOKUP(B371,DADOS!$A$2:$H$252,8,0),"")</f>
        <v>42</v>
      </c>
      <c r="H371" s="22">
        <v>66.0</v>
      </c>
      <c r="I371" s="23">
        <f>IFERROR(VLOOKUP(B371,DADOS!$A$2:$H$252,4,0)*H371,"")</f>
        <v>4.4900196</v>
      </c>
      <c r="J371" s="24">
        <v>1.0</v>
      </c>
      <c r="K371" s="25">
        <f>IFERROR(VLOOKUP(B371,DADOS!$A$2:$H$252,4,0)*J371,"")</f>
        <v>0.0680306</v>
      </c>
      <c r="L371" s="26">
        <f t="shared" si="5"/>
        <v>0.01515151515</v>
      </c>
      <c r="M371" s="27"/>
      <c r="N371" s="30"/>
      <c r="O371" s="28"/>
      <c r="P371" s="28"/>
      <c r="Q371" s="28"/>
      <c r="R371" s="28"/>
      <c r="S371" s="28"/>
    </row>
    <row r="372">
      <c r="A372" s="17">
        <v>45467.0</v>
      </c>
      <c r="B372" s="18" t="s">
        <v>33</v>
      </c>
      <c r="C372" s="18" t="s">
        <v>97</v>
      </c>
      <c r="D372" s="19">
        <v>0.3333333333333333</v>
      </c>
      <c r="E372" s="19">
        <v>0.625</v>
      </c>
      <c r="F372" s="20">
        <f t="shared" si="4"/>
        <v>0.2916666667</v>
      </c>
      <c r="G372" s="21">
        <f>IFERROR(VLOOKUP(B372,DADOS!$A$2:$H$252,8,0),"")</f>
        <v>7</v>
      </c>
      <c r="H372" s="22">
        <v>16.0</v>
      </c>
      <c r="I372" s="23">
        <f>IFERROR(VLOOKUP(B372,DADOS!$A$2:$H$252,4,0)*H372,"")</f>
        <v>22.4384992</v>
      </c>
      <c r="J372" s="24">
        <v>2.0</v>
      </c>
      <c r="K372" s="25">
        <f>IFERROR(VLOOKUP(B372,DADOS!$A$2:$H$252,4,0)*J372,"")</f>
        <v>2.8048124</v>
      </c>
      <c r="L372" s="26">
        <f t="shared" si="5"/>
        <v>0.125</v>
      </c>
      <c r="M372" s="30" t="s">
        <v>83</v>
      </c>
      <c r="N372" s="33" t="s">
        <v>88</v>
      </c>
      <c r="O372" s="28"/>
      <c r="P372" s="28"/>
      <c r="Q372" s="28"/>
      <c r="R372" s="28"/>
      <c r="S372" s="28"/>
    </row>
    <row r="373">
      <c r="A373" s="17">
        <v>45467.0</v>
      </c>
      <c r="B373" s="18" t="s">
        <v>49</v>
      </c>
      <c r="C373" s="18" t="s">
        <v>97</v>
      </c>
      <c r="D373" s="19">
        <v>0.6319444444444444</v>
      </c>
      <c r="E373" s="19">
        <v>0.71875</v>
      </c>
      <c r="F373" s="20">
        <f t="shared" si="4"/>
        <v>0.08680555556</v>
      </c>
      <c r="G373" s="21">
        <f>IFERROR(VLOOKUP(B373,DADOS!$A$2:$H$252,8,0),"")</f>
        <v>42</v>
      </c>
      <c r="H373" s="22">
        <v>35.0</v>
      </c>
      <c r="I373" s="23">
        <f>IFERROR(VLOOKUP(B373,DADOS!$A$2:$H$252,4,0)*H373,"")</f>
        <v>2.381071</v>
      </c>
      <c r="J373" s="24">
        <v>3.0</v>
      </c>
      <c r="K373" s="25">
        <f>IFERROR(VLOOKUP(B373,DADOS!$A$2:$H$252,4,0)*J373,"")</f>
        <v>0.2040918</v>
      </c>
      <c r="L373" s="26">
        <f t="shared" si="5"/>
        <v>0.08571428571</v>
      </c>
      <c r="M373" s="27"/>
      <c r="N373" s="30"/>
      <c r="O373" s="28"/>
      <c r="P373" s="28"/>
      <c r="Q373" s="28"/>
      <c r="R373" s="28"/>
      <c r="S373" s="28"/>
    </row>
    <row r="374">
      <c r="A374" s="17">
        <v>45467.0</v>
      </c>
      <c r="B374" s="18" t="s">
        <v>43</v>
      </c>
      <c r="C374" s="18" t="s">
        <v>80</v>
      </c>
      <c r="D374" s="19"/>
      <c r="E374" s="19"/>
      <c r="F374" s="20">
        <f t="shared" si="4"/>
        <v>0</v>
      </c>
      <c r="G374" s="21" t="str">
        <f>IFERROR(VLOOKUP(B374,DADOS!$A$2:$H$252,8,0),"")</f>
        <v/>
      </c>
      <c r="H374" s="35"/>
      <c r="I374" s="23" t="str">
        <f>IFERROR(VLOOKUP(B374,DADOS!$A$2:$H$252,4,0)*H374,"")</f>
        <v/>
      </c>
      <c r="J374" s="24">
        <v>1.0</v>
      </c>
      <c r="K374" s="25" t="str">
        <f>IFERROR(VLOOKUP(B374,DADOS!$A$2:$H$252,4,0)*J374,"")</f>
        <v/>
      </c>
      <c r="L374" s="26">
        <f t="shared" si="5"/>
        <v>0</v>
      </c>
      <c r="M374" s="30" t="s">
        <v>39</v>
      </c>
      <c r="N374" s="33" t="s">
        <v>84</v>
      </c>
      <c r="O374" s="28"/>
      <c r="P374" s="28"/>
      <c r="Q374" s="28"/>
      <c r="R374" s="28"/>
      <c r="S374" s="28"/>
    </row>
    <row r="375">
      <c r="A375" s="17">
        <v>45467.0</v>
      </c>
      <c r="B375" s="18" t="s">
        <v>22</v>
      </c>
      <c r="C375" s="18" t="s">
        <v>80</v>
      </c>
      <c r="D375" s="19"/>
      <c r="E375" s="19"/>
      <c r="F375" s="20">
        <f t="shared" si="4"/>
        <v>0</v>
      </c>
      <c r="G375" s="21">
        <f>IFERROR(VLOOKUP(B375,DADOS!$A$2:$H$252,8,0),"")</f>
        <v>15</v>
      </c>
      <c r="H375" s="35"/>
      <c r="I375" s="23">
        <f>IFERROR(VLOOKUP(B375,DADOS!$A$2:$H$252,4,0)*H375,"")</f>
        <v>0</v>
      </c>
      <c r="J375" s="24">
        <v>1.0</v>
      </c>
      <c r="K375" s="25">
        <f>IFERROR(VLOOKUP(B375,DADOS!$A$2:$H$252,4,0)*J375,"")</f>
        <v>0.6122754</v>
      </c>
      <c r="L375" s="26">
        <f t="shared" si="5"/>
        <v>0.6122754</v>
      </c>
      <c r="M375" s="30" t="s">
        <v>39</v>
      </c>
      <c r="N375" s="33" t="s">
        <v>102</v>
      </c>
      <c r="O375" s="28"/>
      <c r="P375" s="28"/>
      <c r="Q375" s="28"/>
      <c r="R375" s="28"/>
      <c r="S375" s="28"/>
    </row>
    <row r="376">
      <c r="A376" s="17">
        <v>45467.0</v>
      </c>
      <c r="B376" s="18" t="s">
        <v>96</v>
      </c>
      <c r="C376" s="18" t="s">
        <v>80</v>
      </c>
      <c r="D376" s="19"/>
      <c r="E376" s="19"/>
      <c r="F376" s="20">
        <f t="shared" si="4"/>
        <v>0</v>
      </c>
      <c r="G376" s="21">
        <f>IFERROR(VLOOKUP(B376,DADOS!$A$2:$H$252,8,0),"")</f>
        <v>27</v>
      </c>
      <c r="H376" s="35"/>
      <c r="I376" s="23">
        <f>IFERROR(VLOOKUP(B376,DADOS!$A$2:$H$252,4,0)*H376,"")</f>
        <v>0</v>
      </c>
      <c r="J376" s="24">
        <v>3.0</v>
      </c>
      <c r="K376" s="25">
        <f>IFERROR(VLOOKUP(B376,DADOS!$A$2:$H$252,4,0)*J376,"")</f>
        <v>0.28248</v>
      </c>
      <c r="L376" s="26">
        <f t="shared" si="5"/>
        <v>0.09416</v>
      </c>
      <c r="M376" s="30" t="s">
        <v>39</v>
      </c>
      <c r="N376" s="33" t="s">
        <v>86</v>
      </c>
      <c r="O376" s="28"/>
      <c r="P376" s="28"/>
      <c r="Q376" s="28"/>
      <c r="R376" s="28"/>
      <c r="S376" s="28"/>
    </row>
    <row r="377">
      <c r="A377" s="17">
        <v>45467.0</v>
      </c>
      <c r="B377" s="18" t="s">
        <v>127</v>
      </c>
      <c r="C377" s="18" t="s">
        <v>80</v>
      </c>
      <c r="D377" s="19"/>
      <c r="E377" s="19"/>
      <c r="F377" s="20">
        <f t="shared" si="4"/>
        <v>0</v>
      </c>
      <c r="G377" s="21" t="str">
        <f>IFERROR(VLOOKUP(B377,DADOS!$A$2:$H$252,8,0),"")</f>
        <v/>
      </c>
      <c r="H377" s="35"/>
      <c r="I377" s="23">
        <f>IFERROR(VLOOKUP(B377,DADOS!$A$2:$H$252,4,0)*H377,"")</f>
        <v>0</v>
      </c>
      <c r="J377" s="24">
        <v>1.0</v>
      </c>
      <c r="K377" s="25">
        <f>IFERROR(VLOOKUP(B377,DADOS!$A$2:$H$252,4,0)*J377,"")</f>
        <v>0</v>
      </c>
      <c r="L377" s="26">
        <f t="shared" si="5"/>
        <v>0</v>
      </c>
      <c r="M377" s="30" t="s">
        <v>39</v>
      </c>
      <c r="N377" s="33" t="s">
        <v>86</v>
      </c>
      <c r="O377" s="28"/>
      <c r="P377" s="28"/>
      <c r="Q377" s="28"/>
      <c r="R377" s="28"/>
      <c r="S377" s="28"/>
    </row>
    <row r="378">
      <c r="A378" s="17">
        <v>45467.0</v>
      </c>
      <c r="B378" s="18" t="s">
        <v>75</v>
      </c>
      <c r="C378" s="18" t="s">
        <v>80</v>
      </c>
      <c r="D378" s="19"/>
      <c r="E378" s="19"/>
      <c r="F378" s="20">
        <f t="shared" si="4"/>
        <v>0</v>
      </c>
      <c r="G378" s="21">
        <f>IFERROR(VLOOKUP(B378,DADOS!$A$2:$H$252,8,0),"")</f>
        <v>23</v>
      </c>
      <c r="H378" s="35"/>
      <c r="I378" s="23">
        <f>IFERROR(VLOOKUP(B378,DADOS!$A$2:$H$252,4,0)*H378,"")</f>
        <v>0</v>
      </c>
      <c r="J378" s="24">
        <v>1.0</v>
      </c>
      <c r="K378" s="25">
        <f>IFERROR(VLOOKUP(B378,DADOS!$A$2:$H$252,4,0)*J378,"")</f>
        <v>0.1139336</v>
      </c>
      <c r="L378" s="26">
        <f t="shared" si="5"/>
        <v>0.1139336</v>
      </c>
      <c r="M378" s="30" t="s">
        <v>83</v>
      </c>
      <c r="N378" s="33" t="s">
        <v>88</v>
      </c>
      <c r="O378" s="28"/>
      <c r="P378" s="28"/>
      <c r="Q378" s="28"/>
      <c r="R378" s="28"/>
      <c r="S378" s="28"/>
    </row>
    <row r="379">
      <c r="A379" s="17">
        <v>45467.0</v>
      </c>
      <c r="B379" s="18" t="s">
        <v>58</v>
      </c>
      <c r="C379" s="18" t="s">
        <v>80</v>
      </c>
      <c r="D379" s="19"/>
      <c r="E379" s="19"/>
      <c r="F379" s="20">
        <f t="shared" si="4"/>
        <v>0</v>
      </c>
      <c r="G379" s="21">
        <f>IFERROR(VLOOKUP(B379,DADOS!$A$2:$H$252,8,0),"")</f>
        <v>31</v>
      </c>
      <c r="H379" s="35"/>
      <c r="I379" s="23">
        <f>IFERROR(VLOOKUP(B379,DADOS!$A$2:$H$252,4,0)*H379,"")</f>
        <v>0</v>
      </c>
      <c r="J379" s="24">
        <v>2.0</v>
      </c>
      <c r="K379" s="25">
        <f>IFERROR(VLOOKUP(B379,DADOS!$A$2:$H$252,4,0)*J379,"")</f>
        <v>0.2278672</v>
      </c>
      <c r="L379" s="26">
        <f t="shared" si="5"/>
        <v>0.1139336</v>
      </c>
      <c r="M379" s="30" t="s">
        <v>83</v>
      </c>
      <c r="N379" s="33" t="s">
        <v>88</v>
      </c>
      <c r="O379" s="28"/>
      <c r="P379" s="28"/>
      <c r="Q379" s="28"/>
      <c r="R379" s="28"/>
      <c r="S379" s="28"/>
    </row>
    <row r="380">
      <c r="A380" s="17">
        <v>45467.0</v>
      </c>
      <c r="B380" s="18" t="s">
        <v>92</v>
      </c>
      <c r="C380" s="18" t="s">
        <v>80</v>
      </c>
      <c r="D380" s="19"/>
      <c r="E380" s="19"/>
      <c r="F380" s="20">
        <f t="shared" si="4"/>
        <v>0</v>
      </c>
      <c r="G380" s="21">
        <f>IFERROR(VLOOKUP(B380,DADOS!$A$2:$H$252,8,0),"")</f>
        <v>100</v>
      </c>
      <c r="H380" s="35"/>
      <c r="I380" s="23">
        <f>IFERROR(VLOOKUP(B380,DADOS!$A$2:$H$252,4,0)*H380,"")</f>
        <v>0</v>
      </c>
      <c r="J380" s="24">
        <v>2.0</v>
      </c>
      <c r="K380" s="25">
        <f>IFERROR(VLOOKUP(B380,DADOS!$A$2:$H$252,4,0)*J380,"")</f>
        <v>0.0506324</v>
      </c>
      <c r="L380" s="26">
        <f t="shared" si="5"/>
        <v>0.0253162</v>
      </c>
      <c r="M380" s="30" t="s">
        <v>83</v>
      </c>
      <c r="N380" s="33" t="s">
        <v>88</v>
      </c>
      <c r="O380" s="28"/>
      <c r="P380" s="28"/>
      <c r="Q380" s="28"/>
      <c r="R380" s="28"/>
      <c r="S380" s="28"/>
    </row>
    <row r="381">
      <c r="A381" s="17">
        <v>45467.0</v>
      </c>
      <c r="B381" s="18" t="s">
        <v>44</v>
      </c>
      <c r="C381" s="18" t="s">
        <v>80</v>
      </c>
      <c r="D381" s="19"/>
      <c r="E381" s="19"/>
      <c r="F381" s="20">
        <f t="shared" si="4"/>
        <v>0</v>
      </c>
      <c r="G381" s="21">
        <f>IFERROR(VLOOKUP(B381,DADOS!$A$2:$H$252,8,0),"")</f>
        <v>15</v>
      </c>
      <c r="H381" s="35"/>
      <c r="I381" s="23">
        <f>IFERROR(VLOOKUP(B381,DADOS!$A$2:$H$252,4,0)*H381,"")</f>
        <v>0</v>
      </c>
      <c r="J381" s="24">
        <v>2.0</v>
      </c>
      <c r="K381" s="25">
        <f>IFERROR(VLOOKUP(B381,DADOS!$A$2:$H$252,4,0)*J381,"")</f>
        <v>0.3691072</v>
      </c>
      <c r="L381" s="26">
        <f t="shared" si="5"/>
        <v>0.1845536</v>
      </c>
      <c r="M381" s="30" t="s">
        <v>39</v>
      </c>
      <c r="N381" s="33" t="s">
        <v>89</v>
      </c>
      <c r="O381" s="28"/>
      <c r="P381" s="28"/>
      <c r="Q381" s="28"/>
      <c r="R381" s="28"/>
      <c r="S381" s="28"/>
    </row>
    <row r="382">
      <c r="A382" s="17">
        <v>45467.0</v>
      </c>
      <c r="B382" s="18" t="s">
        <v>26</v>
      </c>
      <c r="C382" s="37" t="s">
        <v>80</v>
      </c>
      <c r="D382" s="19"/>
      <c r="E382" s="19"/>
      <c r="F382" s="20">
        <f t="shared" si="4"/>
        <v>0</v>
      </c>
      <c r="G382" s="21">
        <f>IFERROR(VLOOKUP(B382,DADOS!$A$2:$H$252,8,0),"")</f>
        <v>50</v>
      </c>
      <c r="H382" s="35"/>
      <c r="I382" s="23">
        <f>IFERROR(VLOOKUP(B382,DADOS!$A$2:$H$252,4,0)*H382,"")</f>
        <v>0</v>
      </c>
      <c r="J382" s="24">
        <v>1.0</v>
      </c>
      <c r="K382" s="25">
        <f>IFERROR(VLOOKUP(B382,DADOS!$A$2:$H$252,4,0)*J382,"")</f>
        <v>0.1139336</v>
      </c>
      <c r="L382" s="26">
        <f>IFERROR(IF(C381="TAMBOR", K382/J382, K382/I382), "")
</f>
        <v>0.1139336</v>
      </c>
      <c r="M382" s="30" t="s">
        <v>39</v>
      </c>
      <c r="N382" s="33" t="s">
        <v>128</v>
      </c>
      <c r="O382" s="28"/>
      <c r="P382" s="28"/>
      <c r="Q382" s="28"/>
      <c r="R382" s="28"/>
      <c r="S382" s="28"/>
    </row>
    <row r="383">
      <c r="A383" s="17">
        <v>45467.0</v>
      </c>
      <c r="B383" s="18" t="s">
        <v>31</v>
      </c>
      <c r="C383" s="18" t="s">
        <v>80</v>
      </c>
      <c r="D383" s="19"/>
      <c r="E383" s="19"/>
      <c r="F383" s="20">
        <f t="shared" si="4"/>
        <v>0</v>
      </c>
      <c r="G383" s="21">
        <f>IFERROR(VLOOKUP(B383,DADOS!$A$2:$H$252,8,0),"")</f>
        <v>10</v>
      </c>
      <c r="H383" s="35"/>
      <c r="I383" s="23">
        <f>IFERROR(VLOOKUP(B383,DADOS!$A$2:$H$252,4,0)*H383,"")</f>
        <v>0</v>
      </c>
      <c r="J383" s="36"/>
      <c r="K383" s="25">
        <f>IFERROR(VLOOKUP(B383,DADOS!$A$2:$H$252,4,0)*J383,"")</f>
        <v>0</v>
      </c>
      <c r="L383" s="26" t="str">
        <f>IFERROR(IF(#REF!="TAMBOR", K383/J383, K383/I383), "")
</f>
        <v/>
      </c>
      <c r="M383" s="27"/>
      <c r="N383" s="30"/>
      <c r="O383" s="28"/>
      <c r="P383" s="28"/>
      <c r="Q383" s="28"/>
      <c r="R383" s="28"/>
      <c r="S383" s="28"/>
    </row>
    <row r="384">
      <c r="A384" s="17">
        <v>45468.0</v>
      </c>
      <c r="B384" s="18" t="s">
        <v>27</v>
      </c>
      <c r="C384" s="18" t="s">
        <v>17</v>
      </c>
      <c r="D384" s="19"/>
      <c r="E384" s="19"/>
      <c r="F384" s="20">
        <f t="shared" si="4"/>
        <v>0</v>
      </c>
      <c r="G384" s="21">
        <f>IFERROR(VLOOKUP(B384,DADOS!$A$2:$H$252,8,0),"")</f>
        <v>30</v>
      </c>
      <c r="H384" s="22">
        <v>218.0</v>
      </c>
      <c r="I384" s="23">
        <f>IFERROR(VLOOKUP(B384,DADOS!$A$2:$H$252,4,0)*H384,"")</f>
        <v>3.73216</v>
      </c>
      <c r="J384" s="24">
        <v>11.0</v>
      </c>
      <c r="K384" s="25">
        <f>IFERROR(VLOOKUP(B384,DADOS!$A$2:$H$252,4,0)*J384,"")</f>
        <v>0.18832</v>
      </c>
      <c r="L384" s="26">
        <f t="shared" ref="L384:L388" si="6">IFERROR(IF(C384="TAMBOR", K384/J384, K384/I384), "")
</f>
        <v>0.0504587156</v>
      </c>
      <c r="M384" s="27"/>
      <c r="N384" s="30"/>
      <c r="O384" s="28"/>
      <c r="P384" s="28"/>
      <c r="Q384" s="28"/>
      <c r="R384" s="28"/>
      <c r="S384" s="28"/>
    </row>
    <row r="385">
      <c r="A385" s="17">
        <v>45468.0</v>
      </c>
      <c r="B385" s="18" t="s">
        <v>33</v>
      </c>
      <c r="C385" s="18" t="s">
        <v>97</v>
      </c>
      <c r="D385" s="19">
        <v>0.3194444444444444</v>
      </c>
      <c r="E385" s="19">
        <v>0.4930555555555556</v>
      </c>
      <c r="F385" s="20">
        <f t="shared" si="4"/>
        <v>0.1736111111</v>
      </c>
      <c r="G385" s="21">
        <f>IFERROR(VLOOKUP(B385,DADOS!$A$2:$H$252,8,0),"")</f>
        <v>7</v>
      </c>
      <c r="H385" s="22">
        <v>11.0</v>
      </c>
      <c r="I385" s="23">
        <f>IFERROR(VLOOKUP(B385,DADOS!$A$2:$H$252,4,0)*H385,"")</f>
        <v>15.4264682</v>
      </c>
      <c r="J385" s="24">
        <v>1.0</v>
      </c>
      <c r="K385" s="25">
        <f>IFERROR(VLOOKUP(B385,DADOS!$A$2:$H$252,4,0)*J385,"")</f>
        <v>1.4024062</v>
      </c>
      <c r="L385" s="26">
        <f t="shared" si="6"/>
        <v>0.09090909091</v>
      </c>
      <c r="M385" s="27"/>
      <c r="N385" s="30"/>
      <c r="O385" s="28"/>
      <c r="P385" s="28"/>
      <c r="Q385" s="28"/>
      <c r="R385" s="28"/>
      <c r="S385" s="28"/>
    </row>
    <row r="386">
      <c r="A386" s="17">
        <v>45468.0</v>
      </c>
      <c r="B386" s="18" t="s">
        <v>49</v>
      </c>
      <c r="C386" s="18" t="s">
        <v>97</v>
      </c>
      <c r="D386" s="19">
        <v>0.5486111111111112</v>
      </c>
      <c r="E386" s="19">
        <v>0.71875</v>
      </c>
      <c r="F386" s="20">
        <f t="shared" si="4"/>
        <v>0.1701388889</v>
      </c>
      <c r="G386" s="21">
        <f>IFERROR(VLOOKUP(B386,DADOS!$A$2:$H$252,8,0),"")</f>
        <v>42</v>
      </c>
      <c r="H386" s="22">
        <v>92.0</v>
      </c>
      <c r="I386" s="23">
        <f>IFERROR(VLOOKUP(B386,DADOS!$A$2:$H$252,4,0)*H386,"")</f>
        <v>6.2588152</v>
      </c>
      <c r="J386" s="24">
        <v>1.0</v>
      </c>
      <c r="K386" s="25">
        <f>IFERROR(VLOOKUP(B386,DADOS!$A$2:$H$252,4,0)*J386,"")</f>
        <v>0.0680306</v>
      </c>
      <c r="L386" s="26">
        <f t="shared" si="6"/>
        <v>0.01086956522</v>
      </c>
      <c r="M386" s="27"/>
      <c r="N386" s="30"/>
      <c r="O386" s="28"/>
      <c r="P386" s="28"/>
      <c r="Q386" s="28"/>
      <c r="R386" s="28"/>
      <c r="S386" s="28"/>
    </row>
    <row r="387">
      <c r="A387" s="17">
        <v>45469.0</v>
      </c>
      <c r="B387" s="18" t="s">
        <v>27</v>
      </c>
      <c r="C387" s="18" t="s">
        <v>17</v>
      </c>
      <c r="D387" s="19"/>
      <c r="E387" s="19"/>
      <c r="F387" s="20">
        <f t="shared" si="4"/>
        <v>0</v>
      </c>
      <c r="G387" s="21">
        <f>IFERROR(VLOOKUP(B387,DADOS!$A$2:$H$252,8,0),"")</f>
        <v>30</v>
      </c>
      <c r="H387" s="22">
        <v>22.0</v>
      </c>
      <c r="I387" s="23">
        <f>IFERROR(VLOOKUP(B387,DADOS!$A$2:$H$252,4,0)*H387,"")</f>
        <v>0.37664</v>
      </c>
      <c r="J387" s="36"/>
      <c r="K387" s="25">
        <f>IFERROR(VLOOKUP(B387,DADOS!$A$2:$H$252,4,0)*J387,"")</f>
        <v>0</v>
      </c>
      <c r="L387" s="26">
        <f t="shared" si="6"/>
        <v>0</v>
      </c>
      <c r="M387" s="27"/>
      <c r="N387" s="30"/>
      <c r="O387" s="28"/>
      <c r="P387" s="28"/>
      <c r="Q387" s="28"/>
      <c r="R387" s="28"/>
      <c r="S387" s="28"/>
    </row>
    <row r="388">
      <c r="A388" s="17">
        <v>45469.0</v>
      </c>
      <c r="B388" s="18" t="s">
        <v>33</v>
      </c>
      <c r="C388" s="18" t="s">
        <v>97</v>
      </c>
      <c r="D388" s="19">
        <v>0.3194444444444444</v>
      </c>
      <c r="E388" s="19">
        <v>0.7083333333333334</v>
      </c>
      <c r="F388" s="20">
        <f t="shared" si="4"/>
        <v>0.3888888889</v>
      </c>
      <c r="G388" s="21">
        <f>IFERROR(VLOOKUP(B388,DADOS!$A$2:$H$252,8,0),"")</f>
        <v>7</v>
      </c>
      <c r="H388" s="22">
        <v>25.0</v>
      </c>
      <c r="I388" s="23">
        <f>IFERROR(VLOOKUP(B388,DADOS!$A$2:$H$252,4,0)*H388,"")</f>
        <v>35.060155</v>
      </c>
      <c r="J388" s="36"/>
      <c r="K388" s="25">
        <f>IFERROR(VLOOKUP(B388,DADOS!$A$2:$H$252,4,0)*J388,"")</f>
        <v>0</v>
      </c>
      <c r="L388" s="26">
        <f t="shared" si="6"/>
        <v>0</v>
      </c>
      <c r="M388" s="27"/>
      <c r="N388" s="30"/>
      <c r="O388" s="28"/>
      <c r="P388" s="28"/>
      <c r="Q388" s="28"/>
      <c r="R388" s="28"/>
      <c r="S388" s="28"/>
    </row>
    <row r="389">
      <c r="A389" s="17">
        <v>45470.0</v>
      </c>
      <c r="B389" s="18" t="s">
        <v>59</v>
      </c>
      <c r="C389" s="18" t="s">
        <v>17</v>
      </c>
      <c r="D389" s="19"/>
      <c r="E389" s="19"/>
      <c r="F389" s="20"/>
      <c r="G389" s="21"/>
      <c r="H389" s="22">
        <v>8.0</v>
      </c>
      <c r="I389" s="23"/>
      <c r="J389" s="24">
        <v>1.0</v>
      </c>
      <c r="K389" s="25"/>
      <c r="L389" s="26"/>
      <c r="M389" s="27"/>
      <c r="N389" s="30"/>
      <c r="O389" s="28"/>
      <c r="P389" s="28"/>
      <c r="Q389" s="28"/>
      <c r="R389" s="28"/>
      <c r="S389" s="28"/>
    </row>
    <row r="390">
      <c r="A390" s="17">
        <v>45470.0</v>
      </c>
      <c r="B390" s="18" t="s">
        <v>27</v>
      </c>
      <c r="C390" s="18" t="s">
        <v>17</v>
      </c>
      <c r="D390" s="19">
        <v>0.33055555555555555</v>
      </c>
      <c r="E390" s="19">
        <v>0.5986111111111111</v>
      </c>
      <c r="F390" s="20"/>
      <c r="G390" s="21"/>
      <c r="H390" s="22">
        <v>250.0</v>
      </c>
      <c r="I390" s="23"/>
      <c r="J390" s="24">
        <v>7.0</v>
      </c>
      <c r="K390" s="25"/>
      <c r="L390" s="26"/>
      <c r="M390" s="27"/>
      <c r="N390" s="30"/>
      <c r="O390" s="28"/>
      <c r="P390" s="28"/>
      <c r="Q390" s="28"/>
      <c r="R390" s="28"/>
      <c r="S390" s="28"/>
    </row>
    <row r="391">
      <c r="A391" s="17">
        <v>45470.0</v>
      </c>
      <c r="B391" s="18" t="s">
        <v>18</v>
      </c>
      <c r="C391" s="18" t="s">
        <v>97</v>
      </c>
      <c r="D391" s="19">
        <v>0.3333333333333333</v>
      </c>
      <c r="E391" s="19">
        <v>0.6944444444444444</v>
      </c>
      <c r="F391" s="20">
        <f>E391-D391</f>
        <v>0.3611111111</v>
      </c>
      <c r="G391" s="21">
        <f>IFERROR(VLOOKUP(B391,DADOS!$A$2:$H$252,8,0),"")</f>
        <v>21</v>
      </c>
      <c r="H391" s="22">
        <v>79.0</v>
      </c>
      <c r="I391" s="23">
        <f>IFERROR(VLOOKUP(B391,DADOS!$A$2:$H$252,4,0)*H391,"")</f>
        <v>23.144314</v>
      </c>
      <c r="J391" s="24">
        <v>2.0</v>
      </c>
      <c r="K391" s="25">
        <f>IFERROR(VLOOKUP(B391,DADOS!$A$2:$H$252,4,0)*J391,"")</f>
        <v>0.585932</v>
      </c>
      <c r="L391" s="26">
        <f>IFERROR(IF(C391="TAMBOR", K391/J391, K391/I391), "")
</f>
        <v>0.0253164557</v>
      </c>
      <c r="M391" s="27"/>
      <c r="N391" s="30"/>
      <c r="O391" s="28"/>
      <c r="P391" s="28"/>
      <c r="Q391" s="28"/>
      <c r="R391" s="28"/>
      <c r="S391" s="28"/>
    </row>
    <row r="392">
      <c r="A392" s="17">
        <v>45471.0</v>
      </c>
      <c r="B392" s="18" t="s">
        <v>129</v>
      </c>
      <c r="C392" s="18" t="s">
        <v>23</v>
      </c>
      <c r="D392" s="19"/>
      <c r="E392" s="19"/>
      <c r="F392" s="20"/>
      <c r="G392" s="21"/>
      <c r="H392" s="22"/>
      <c r="I392" s="23"/>
      <c r="J392" s="24"/>
      <c r="K392" s="25"/>
      <c r="L392" s="26"/>
      <c r="M392" s="27"/>
      <c r="N392" s="30"/>
      <c r="O392" s="28"/>
      <c r="P392" s="28"/>
      <c r="Q392" s="28"/>
      <c r="R392" s="28"/>
      <c r="S392" s="28"/>
    </row>
    <row r="393">
      <c r="A393" s="17">
        <v>45471.0</v>
      </c>
      <c r="B393" s="18" t="s">
        <v>130</v>
      </c>
      <c r="C393" s="18" t="s">
        <v>23</v>
      </c>
      <c r="D393" s="19"/>
      <c r="E393" s="19"/>
      <c r="F393" s="20">
        <f t="shared" ref="F393:F839" si="7">E393-D393</f>
        <v>0</v>
      </c>
      <c r="G393" s="21" t="str">
        <f>IFERROR(VLOOKUP(B393,DADOS!$A$2:$H$252,8,0),"")</f>
        <v/>
      </c>
      <c r="H393" s="35"/>
      <c r="I393" s="23">
        <f>IFERROR(VLOOKUP(B393,DADOS!$A$2:$H$252,4,0)*H393,"")</f>
        <v>0</v>
      </c>
      <c r="J393" s="36"/>
      <c r="K393" s="25">
        <f>IFERROR(VLOOKUP(B393,DADOS!$A$2:$H$252,4,0)*J393,"")</f>
        <v>0</v>
      </c>
      <c r="L393" s="26" t="str">
        <f t="shared" ref="L393:L451" si="8">IFERROR(IF(C393="TAMBOR", K393/J393, K393/I393), "")
</f>
        <v/>
      </c>
      <c r="M393" s="27"/>
      <c r="N393" s="30"/>
      <c r="O393" s="28"/>
      <c r="P393" s="28"/>
      <c r="Q393" s="28"/>
      <c r="R393" s="28"/>
      <c r="S393" s="28"/>
    </row>
    <row r="394">
      <c r="A394" s="17">
        <v>45471.0</v>
      </c>
      <c r="B394" s="18" t="s">
        <v>25</v>
      </c>
      <c r="C394" s="18" t="s">
        <v>97</v>
      </c>
      <c r="D394" s="19">
        <v>0.3333333333333333</v>
      </c>
      <c r="E394" s="19">
        <v>0.6284722222222222</v>
      </c>
      <c r="F394" s="20">
        <f t="shared" si="7"/>
        <v>0.2951388889</v>
      </c>
      <c r="G394" s="21">
        <f>IFERROR(VLOOKUP(B394,DADOS!$A$2:$H$252,8,0),"")</f>
        <v>40</v>
      </c>
      <c r="H394" s="22">
        <v>101.0</v>
      </c>
      <c r="I394" s="23">
        <f>IFERROR(VLOOKUP(B394,DADOS!$A$2:$H$252,4,0)*H394,"")</f>
        <v>10.461176</v>
      </c>
      <c r="J394" s="24">
        <v>2.0</v>
      </c>
      <c r="K394" s="25">
        <f>IFERROR(VLOOKUP(B394,DADOS!$A$2:$H$252,4,0)*J394,"")</f>
        <v>0.207152</v>
      </c>
      <c r="L394" s="26">
        <f t="shared" si="8"/>
        <v>0.0198019802</v>
      </c>
      <c r="M394" s="27"/>
      <c r="N394" s="30"/>
      <c r="O394" s="28"/>
      <c r="P394" s="28"/>
      <c r="Q394" s="28"/>
      <c r="R394" s="28"/>
      <c r="S394" s="28"/>
    </row>
    <row r="395">
      <c r="A395" s="17">
        <v>45474.0</v>
      </c>
      <c r="B395" s="18" t="s">
        <v>59</v>
      </c>
      <c r="C395" s="18" t="s">
        <v>17</v>
      </c>
      <c r="D395" s="19">
        <v>0.4791666666666667</v>
      </c>
      <c r="E395" s="19">
        <v>0.7</v>
      </c>
      <c r="F395" s="20">
        <f t="shared" si="7"/>
        <v>0.2208333333</v>
      </c>
      <c r="G395" s="21">
        <f>IFERROR(VLOOKUP(B395,DADOS!$A$2:$H$252,8,0),"")</f>
        <v>50</v>
      </c>
      <c r="H395" s="22">
        <v>153.0</v>
      </c>
      <c r="I395" s="23">
        <f>IFERROR(VLOOKUP(B395,DADOS!$A$2:$H$252,4,0)*H395,"")</f>
        <v>2.61936</v>
      </c>
      <c r="J395" s="24">
        <v>5.0</v>
      </c>
      <c r="K395" s="25">
        <f>IFERROR(VLOOKUP(B395,DADOS!$A$2:$H$252,4,0)*J395,"")</f>
        <v>0.0856</v>
      </c>
      <c r="L395" s="26">
        <f t="shared" si="8"/>
        <v>0.03267973856</v>
      </c>
      <c r="M395" s="27"/>
      <c r="N395" s="30"/>
      <c r="O395" s="28"/>
      <c r="P395" s="28"/>
      <c r="Q395" s="28"/>
      <c r="R395" s="28"/>
      <c r="S395" s="28"/>
    </row>
    <row r="396">
      <c r="A396" s="17">
        <v>45474.0</v>
      </c>
      <c r="B396" s="18" t="s">
        <v>25</v>
      </c>
      <c r="C396" s="18" t="s">
        <v>97</v>
      </c>
      <c r="D396" s="19">
        <v>0.3194444444444444</v>
      </c>
      <c r="E396" s="19">
        <v>0.3472222222222222</v>
      </c>
      <c r="F396" s="20">
        <f t="shared" si="7"/>
        <v>0.02777777778</v>
      </c>
      <c r="G396" s="21">
        <f>IFERROR(VLOOKUP(B396,DADOS!$A$2:$H$252,8,0),"")</f>
        <v>40</v>
      </c>
      <c r="H396" s="22">
        <v>13.0</v>
      </c>
      <c r="I396" s="23">
        <f>IFERROR(VLOOKUP(B396,DADOS!$A$2:$H$252,4,0)*H396,"")</f>
        <v>1.346488</v>
      </c>
      <c r="J396" s="24">
        <v>1.0</v>
      </c>
      <c r="K396" s="25">
        <f>IFERROR(VLOOKUP(B396,DADOS!$A$2:$H$252,4,0)*J396,"")</f>
        <v>0.103576</v>
      </c>
      <c r="L396" s="26">
        <f t="shared" si="8"/>
        <v>0.07692307692</v>
      </c>
      <c r="M396" s="27"/>
      <c r="N396" s="30"/>
      <c r="O396" s="28"/>
      <c r="P396" s="28"/>
      <c r="Q396" s="28"/>
      <c r="R396" s="28"/>
      <c r="S396" s="28"/>
    </row>
    <row r="397">
      <c r="A397" s="17">
        <v>45474.0</v>
      </c>
      <c r="B397" s="18" t="s">
        <v>26</v>
      </c>
      <c r="C397" s="18" t="s">
        <v>97</v>
      </c>
      <c r="D397" s="19">
        <v>0.3541666666666667</v>
      </c>
      <c r="E397" s="19">
        <v>0.6111111111111112</v>
      </c>
      <c r="F397" s="20">
        <f t="shared" si="7"/>
        <v>0.2569444444</v>
      </c>
      <c r="G397" s="21">
        <f>IFERROR(VLOOKUP(B397,DADOS!$A$2:$H$252,8,0),"")</f>
        <v>50</v>
      </c>
      <c r="H397" s="22">
        <v>65.0</v>
      </c>
      <c r="I397" s="23">
        <f>IFERROR(VLOOKUP(B397,DADOS!$A$2:$H$252,4,0)*H397,"")</f>
        <v>7.405684</v>
      </c>
      <c r="J397" s="24">
        <v>1.0</v>
      </c>
      <c r="K397" s="25">
        <f>IFERROR(VLOOKUP(B397,DADOS!$A$2:$H$252,4,0)*J397,"")</f>
        <v>0.1139336</v>
      </c>
      <c r="L397" s="26">
        <f t="shared" si="8"/>
        <v>0.01538461538</v>
      </c>
      <c r="M397" s="27"/>
      <c r="N397" s="30"/>
      <c r="O397" s="28"/>
      <c r="P397" s="28"/>
      <c r="Q397" s="28"/>
      <c r="R397" s="28"/>
      <c r="S397" s="28"/>
    </row>
    <row r="398">
      <c r="A398" s="17">
        <v>45474.0</v>
      </c>
      <c r="B398" s="18" t="s">
        <v>64</v>
      </c>
      <c r="C398" s="18" t="s">
        <v>97</v>
      </c>
      <c r="D398" s="19">
        <v>0.625</v>
      </c>
      <c r="E398" s="19">
        <v>0.7222222222222222</v>
      </c>
      <c r="F398" s="20">
        <f t="shared" si="7"/>
        <v>0.09722222222</v>
      </c>
      <c r="G398" s="21">
        <f>IFERROR(VLOOKUP(B398,DADOS!$A$2:$H$252,8,0),"")</f>
        <v>21</v>
      </c>
      <c r="H398" s="22">
        <v>27.0</v>
      </c>
      <c r="I398" s="23">
        <f>IFERROR(VLOOKUP(B398,DADOS!$A$2:$H$252,4,0)*H398,"")</f>
        <v>6.292242</v>
      </c>
      <c r="J398" s="24">
        <v>2.0</v>
      </c>
      <c r="K398" s="25">
        <f>IFERROR(VLOOKUP(B398,DADOS!$A$2:$H$252,4,0)*J398,"")</f>
        <v>0.466092</v>
      </c>
      <c r="L398" s="26">
        <f t="shared" si="8"/>
        <v>0.07407407407</v>
      </c>
      <c r="M398" s="27"/>
      <c r="N398" s="30"/>
      <c r="O398" s="28"/>
      <c r="P398" s="28"/>
      <c r="Q398" s="28"/>
      <c r="R398" s="28"/>
      <c r="S398" s="28"/>
    </row>
    <row r="399">
      <c r="A399" s="17">
        <v>45475.0</v>
      </c>
      <c r="B399" s="18" t="s">
        <v>72</v>
      </c>
      <c r="C399" s="18" t="s">
        <v>17</v>
      </c>
      <c r="D399" s="19">
        <v>0.42916666666666664</v>
      </c>
      <c r="E399" s="19">
        <v>0.6333333333333333</v>
      </c>
      <c r="F399" s="20">
        <f t="shared" si="7"/>
        <v>0.2041666667</v>
      </c>
      <c r="G399" s="21">
        <f>IFERROR(VLOOKUP(B399,DADOS!$A$2:$H$252,8,0),"")</f>
        <v>43</v>
      </c>
      <c r="H399" s="22">
        <v>214.0</v>
      </c>
      <c r="I399" s="23">
        <f>IFERROR(VLOOKUP(B399,DADOS!$A$2:$H$252,4,0)*H399,"")</f>
        <v>3.66368</v>
      </c>
      <c r="J399" s="24">
        <v>1.0</v>
      </c>
      <c r="K399" s="25">
        <f>IFERROR(VLOOKUP(B399,DADOS!$A$2:$H$252,4,0)*J399,"")</f>
        <v>0.01712</v>
      </c>
      <c r="L399" s="26">
        <f t="shared" si="8"/>
        <v>0.004672897196</v>
      </c>
      <c r="M399" s="27"/>
      <c r="N399" s="30"/>
      <c r="O399" s="28"/>
      <c r="P399" s="28"/>
      <c r="Q399" s="28"/>
      <c r="R399" s="28"/>
      <c r="S399" s="28"/>
    </row>
    <row r="400">
      <c r="A400" s="17">
        <v>45475.0</v>
      </c>
      <c r="B400" s="18" t="s">
        <v>63</v>
      </c>
      <c r="C400" s="18" t="s">
        <v>52</v>
      </c>
      <c r="D400" s="19"/>
      <c r="E400" s="19"/>
      <c r="F400" s="20">
        <f t="shared" si="7"/>
        <v>0</v>
      </c>
      <c r="G400" s="21" t="str">
        <f>IFERROR(VLOOKUP(B400,DADOS!$A$2:$H$252,8,0),"")</f>
        <v/>
      </c>
      <c r="H400" s="22">
        <v>11.0</v>
      </c>
      <c r="I400" s="23">
        <f>IFERROR(VLOOKUP(B400,DADOS!$A$2:$H$252,4,0)*H400,"")</f>
        <v>0</v>
      </c>
      <c r="J400" s="24">
        <v>2.0</v>
      </c>
      <c r="K400" s="25">
        <f>IFERROR(VLOOKUP(B400,DADOS!$A$2:$H$252,4,0)*J400,"")</f>
        <v>0</v>
      </c>
      <c r="L400" s="26" t="str">
        <f t="shared" si="8"/>
        <v/>
      </c>
      <c r="M400" s="27"/>
      <c r="N400" s="30"/>
      <c r="O400" s="28"/>
      <c r="P400" s="28"/>
      <c r="Q400" s="28"/>
      <c r="R400" s="28"/>
      <c r="S400" s="28"/>
    </row>
    <row r="401">
      <c r="A401" s="17">
        <v>45475.0</v>
      </c>
      <c r="B401" s="18" t="s">
        <v>26</v>
      </c>
      <c r="C401" s="18" t="s">
        <v>97</v>
      </c>
      <c r="D401" s="19"/>
      <c r="E401" s="19"/>
      <c r="F401" s="20">
        <f t="shared" si="7"/>
        <v>0</v>
      </c>
      <c r="G401" s="21">
        <f>IFERROR(VLOOKUP(B401,DADOS!$A$2:$H$252,8,0),"")</f>
        <v>50</v>
      </c>
      <c r="H401" s="22">
        <v>45.0</v>
      </c>
      <c r="I401" s="23">
        <f>IFERROR(VLOOKUP(B401,DADOS!$A$2:$H$252,4,0)*H401,"")</f>
        <v>5.127012</v>
      </c>
      <c r="J401" s="24">
        <v>1.0</v>
      </c>
      <c r="K401" s="25">
        <f>IFERROR(VLOOKUP(B401,DADOS!$A$2:$H$252,4,0)*J401,"")</f>
        <v>0.1139336</v>
      </c>
      <c r="L401" s="26">
        <f t="shared" si="8"/>
        <v>0.02222222222</v>
      </c>
      <c r="M401" s="27"/>
      <c r="N401" s="30"/>
      <c r="O401" s="28"/>
      <c r="P401" s="28"/>
      <c r="Q401" s="28"/>
      <c r="R401" s="28"/>
      <c r="S401" s="28"/>
    </row>
    <row r="402">
      <c r="A402" s="17">
        <v>45476.0</v>
      </c>
      <c r="B402" s="18" t="s">
        <v>16</v>
      </c>
      <c r="C402" s="18" t="s">
        <v>17</v>
      </c>
      <c r="D402" s="19">
        <v>0.3506944444444444</v>
      </c>
      <c r="E402" s="19">
        <v>0.7111111111111111</v>
      </c>
      <c r="F402" s="20">
        <f t="shared" si="7"/>
        <v>0.3604166667</v>
      </c>
      <c r="G402" s="21">
        <f>IFERROR(VLOOKUP(B402,DADOS!$A$2:$H$252,8,0),"")</f>
        <v>150</v>
      </c>
      <c r="H402" s="22">
        <v>922.0</v>
      </c>
      <c r="I402" s="23">
        <f>IFERROR(VLOOKUP(B402,DADOS!$A$2:$H$252,4,0)*H402,"")</f>
        <v>26.6760416</v>
      </c>
      <c r="J402" s="24">
        <v>1.0</v>
      </c>
      <c r="K402" s="25">
        <f>IFERROR(VLOOKUP(B402,DADOS!$A$2:$H$252,4,0)*J402,"")</f>
        <v>0.0289328</v>
      </c>
      <c r="L402" s="26">
        <f t="shared" si="8"/>
        <v>0.001084598698</v>
      </c>
      <c r="M402" s="27"/>
      <c r="N402" s="30"/>
      <c r="O402" s="28"/>
      <c r="P402" s="28"/>
      <c r="Q402" s="28"/>
      <c r="R402" s="28"/>
      <c r="S402" s="28"/>
    </row>
    <row r="403">
      <c r="A403" s="17">
        <v>45476.0</v>
      </c>
      <c r="B403" s="18" t="s">
        <v>25</v>
      </c>
      <c r="C403" s="18" t="s">
        <v>97</v>
      </c>
      <c r="D403" s="19">
        <v>0.3194444444444444</v>
      </c>
      <c r="E403" s="19">
        <v>0.6041666666666666</v>
      </c>
      <c r="F403" s="20">
        <f t="shared" si="7"/>
        <v>0.2847222222</v>
      </c>
      <c r="G403" s="21">
        <f>IFERROR(VLOOKUP(B403,DADOS!$A$2:$H$252,8,0),"")</f>
        <v>40</v>
      </c>
      <c r="H403" s="22">
        <v>59.0</v>
      </c>
      <c r="I403" s="23">
        <f>IFERROR(VLOOKUP(B403,DADOS!$A$2:$H$252,4,0)*H403,"")</f>
        <v>6.110984</v>
      </c>
      <c r="J403" s="36"/>
      <c r="K403" s="25">
        <f>IFERROR(VLOOKUP(B403,DADOS!$A$2:$H$252,4,0)*J403,"")</f>
        <v>0</v>
      </c>
      <c r="L403" s="26">
        <f t="shared" si="8"/>
        <v>0</v>
      </c>
      <c r="M403" s="27"/>
      <c r="N403" s="30"/>
      <c r="O403" s="28"/>
      <c r="P403" s="28"/>
      <c r="Q403" s="28"/>
      <c r="R403" s="28"/>
      <c r="S403" s="28"/>
    </row>
    <row r="404">
      <c r="A404" s="17">
        <v>45476.0</v>
      </c>
      <c r="B404" s="18" t="s">
        <v>26</v>
      </c>
      <c r="C404" s="18" t="s">
        <v>97</v>
      </c>
      <c r="D404" s="19">
        <v>0.6111111111111112</v>
      </c>
      <c r="E404" s="19">
        <v>0.71875</v>
      </c>
      <c r="F404" s="20">
        <f t="shared" si="7"/>
        <v>0.1076388889</v>
      </c>
      <c r="G404" s="21">
        <f>IFERROR(VLOOKUP(B404,DADOS!$A$2:$H$252,8,0),"")</f>
        <v>50</v>
      </c>
      <c r="H404" s="22">
        <v>39.0</v>
      </c>
      <c r="I404" s="23">
        <f>IFERROR(VLOOKUP(B404,DADOS!$A$2:$H$252,4,0)*H404,"")</f>
        <v>4.4434104</v>
      </c>
      <c r="J404" s="24">
        <v>2.0</v>
      </c>
      <c r="K404" s="25">
        <f>IFERROR(VLOOKUP(B404,DADOS!$A$2:$H$252,4,0)*J404,"")</f>
        <v>0.2278672</v>
      </c>
      <c r="L404" s="26">
        <f t="shared" si="8"/>
        <v>0.05128205128</v>
      </c>
      <c r="M404" s="27"/>
      <c r="N404" s="30"/>
      <c r="O404" s="28"/>
      <c r="P404" s="28"/>
      <c r="Q404" s="28"/>
      <c r="R404" s="28"/>
      <c r="S404" s="28"/>
    </row>
    <row r="405">
      <c r="A405" s="17">
        <v>45477.0</v>
      </c>
      <c r="B405" s="18" t="s">
        <v>22</v>
      </c>
      <c r="C405" s="18" t="s">
        <v>19</v>
      </c>
      <c r="D405" s="19"/>
      <c r="E405" s="19"/>
      <c r="F405" s="20">
        <f t="shared" si="7"/>
        <v>0</v>
      </c>
      <c r="G405" s="21">
        <f>IFERROR(VLOOKUP(B405,DADOS!$A$2:$H$252,8,0),"")</f>
        <v>15</v>
      </c>
      <c r="H405" s="22">
        <v>10.0</v>
      </c>
      <c r="I405" s="23">
        <f>IFERROR(VLOOKUP(B405,DADOS!$A$2:$H$252,4,0)*H405,"")</f>
        <v>6.122754</v>
      </c>
      <c r="J405" s="36"/>
      <c r="K405" s="25">
        <f>IFERROR(VLOOKUP(B405,DADOS!$A$2:$H$252,4,0)*J405,"")</f>
        <v>0</v>
      </c>
      <c r="L405" s="26">
        <f t="shared" si="8"/>
        <v>0</v>
      </c>
      <c r="M405" s="27"/>
      <c r="N405" s="30"/>
      <c r="O405" s="28"/>
      <c r="P405" s="28"/>
      <c r="Q405" s="28"/>
      <c r="R405" s="28"/>
      <c r="S405" s="28"/>
    </row>
    <row r="406">
      <c r="A406" s="17">
        <v>45477.0</v>
      </c>
      <c r="B406" s="18" t="s">
        <v>78</v>
      </c>
      <c r="C406" s="18" t="s">
        <v>19</v>
      </c>
      <c r="D406" s="19"/>
      <c r="E406" s="19"/>
      <c r="F406" s="20">
        <f t="shared" si="7"/>
        <v>0</v>
      </c>
      <c r="G406" s="21">
        <f>IFERROR(VLOOKUP(B406,DADOS!$A$2:$H$252,8,0),"")</f>
        <v>25</v>
      </c>
      <c r="H406" s="22">
        <v>11.0</v>
      </c>
      <c r="I406" s="23">
        <f>IFERROR(VLOOKUP(B406,DADOS!$A$2:$H$252,4,0)*H406,"")</f>
        <v>3.580434</v>
      </c>
      <c r="J406" s="24">
        <v>1.0</v>
      </c>
      <c r="K406" s="25">
        <f>IFERROR(VLOOKUP(B406,DADOS!$A$2:$H$252,4,0)*J406,"")</f>
        <v>0.325494</v>
      </c>
      <c r="L406" s="26">
        <f t="shared" si="8"/>
        <v>0.09090909091</v>
      </c>
      <c r="M406" s="27"/>
      <c r="N406" s="30"/>
      <c r="O406" s="28"/>
      <c r="P406" s="28"/>
      <c r="Q406" s="28"/>
      <c r="R406" s="28"/>
      <c r="S406" s="28"/>
    </row>
    <row r="407">
      <c r="A407" s="17">
        <v>45477.0</v>
      </c>
      <c r="B407" s="18" t="s">
        <v>41</v>
      </c>
      <c r="C407" s="18" t="s">
        <v>19</v>
      </c>
      <c r="D407" s="19"/>
      <c r="E407" s="19"/>
      <c r="F407" s="20">
        <f t="shared" si="7"/>
        <v>0</v>
      </c>
      <c r="G407" s="21">
        <f>IFERROR(VLOOKUP(B407,DADOS!$A$2:$H$252,8,0),"")</f>
        <v>14</v>
      </c>
      <c r="H407" s="22">
        <v>20.0</v>
      </c>
      <c r="I407" s="23">
        <f>IFERROR(VLOOKUP(B407,DADOS!$A$2:$H$252,4,0)*H407,"")</f>
        <v>5.54688</v>
      </c>
      <c r="J407" s="36"/>
      <c r="K407" s="25">
        <f>IFERROR(VLOOKUP(B407,DADOS!$A$2:$H$252,4,0)*J407,"")</f>
        <v>0</v>
      </c>
      <c r="L407" s="26">
        <f t="shared" si="8"/>
        <v>0</v>
      </c>
      <c r="M407" s="27"/>
      <c r="N407" s="30"/>
      <c r="O407" s="28"/>
      <c r="P407" s="28"/>
      <c r="Q407" s="28"/>
      <c r="R407" s="28"/>
      <c r="S407" s="28"/>
    </row>
    <row r="408">
      <c r="A408" s="17">
        <v>45478.0</v>
      </c>
      <c r="B408" s="18" t="s">
        <v>16</v>
      </c>
      <c r="C408" s="18" t="s">
        <v>17</v>
      </c>
      <c r="D408" s="19"/>
      <c r="E408" s="19"/>
      <c r="F408" s="20">
        <f t="shared" si="7"/>
        <v>0</v>
      </c>
      <c r="G408" s="21">
        <f>IFERROR(VLOOKUP(B408,DADOS!$A$2:$H$252,8,0),"")</f>
        <v>150</v>
      </c>
      <c r="H408" s="22">
        <v>128.0</v>
      </c>
      <c r="I408" s="23">
        <f>IFERROR(VLOOKUP(B408,DADOS!$A$2:$H$252,4,0)*H408,"")</f>
        <v>3.7033984</v>
      </c>
      <c r="J408" s="36"/>
      <c r="K408" s="25">
        <f>IFERROR(VLOOKUP(B408,DADOS!$A$2:$H$252,4,0)*J408,"")</f>
        <v>0</v>
      </c>
      <c r="L408" s="26">
        <f t="shared" si="8"/>
        <v>0</v>
      </c>
      <c r="M408" s="27"/>
      <c r="N408" s="30"/>
      <c r="O408" s="28"/>
      <c r="P408" s="28"/>
      <c r="Q408" s="28"/>
      <c r="R408" s="28"/>
      <c r="S408" s="28"/>
    </row>
    <row r="409">
      <c r="A409" s="17">
        <v>45478.0</v>
      </c>
      <c r="B409" s="18" t="s">
        <v>78</v>
      </c>
      <c r="C409" s="18" t="s">
        <v>97</v>
      </c>
      <c r="D409" s="19">
        <v>0.3541666666666667</v>
      </c>
      <c r="E409" s="19">
        <v>0.4513888888888889</v>
      </c>
      <c r="F409" s="20">
        <f t="shared" si="7"/>
        <v>0.09722222222</v>
      </c>
      <c r="G409" s="21">
        <f>IFERROR(VLOOKUP(B409,DADOS!$A$2:$H$252,8,0),"")</f>
        <v>25</v>
      </c>
      <c r="H409" s="22">
        <v>26.0</v>
      </c>
      <c r="I409" s="23">
        <f>IFERROR(VLOOKUP(B409,DADOS!$A$2:$H$252,4,0)*H409,"")</f>
        <v>8.462844</v>
      </c>
      <c r="J409" s="24">
        <v>3.0</v>
      </c>
      <c r="K409" s="25">
        <f>IFERROR(VLOOKUP(B409,DADOS!$A$2:$H$252,4,0)*J409,"")</f>
        <v>0.976482</v>
      </c>
      <c r="L409" s="26">
        <f t="shared" si="8"/>
        <v>0.1153846154</v>
      </c>
      <c r="M409" s="27"/>
      <c r="N409" s="30"/>
      <c r="O409" s="28"/>
      <c r="P409" s="28"/>
      <c r="Q409" s="28"/>
      <c r="R409" s="28"/>
      <c r="S409" s="28"/>
    </row>
    <row r="410">
      <c r="A410" s="17">
        <v>45478.0</v>
      </c>
      <c r="B410" s="18" t="s">
        <v>41</v>
      </c>
      <c r="C410" s="18" t="s">
        <v>97</v>
      </c>
      <c r="D410" s="19">
        <v>0.4583333333333333</v>
      </c>
      <c r="E410" s="19">
        <v>0.6666666666666666</v>
      </c>
      <c r="F410" s="20">
        <f t="shared" si="7"/>
        <v>0.2083333333</v>
      </c>
      <c r="G410" s="21">
        <f>IFERROR(VLOOKUP(B410,DADOS!$A$2:$H$252,8,0),"")</f>
        <v>14</v>
      </c>
      <c r="H410" s="22">
        <v>44.0</v>
      </c>
      <c r="I410" s="23">
        <f>IFERROR(VLOOKUP(B410,DADOS!$A$2:$H$252,4,0)*H410,"")</f>
        <v>12.203136</v>
      </c>
      <c r="J410" s="24">
        <v>6.0</v>
      </c>
      <c r="K410" s="25">
        <f>IFERROR(VLOOKUP(B410,DADOS!$A$2:$H$252,4,0)*J410,"")</f>
        <v>1.664064</v>
      </c>
      <c r="L410" s="26">
        <f t="shared" si="8"/>
        <v>0.1363636364</v>
      </c>
      <c r="M410" s="27"/>
      <c r="N410" s="30"/>
      <c r="O410" s="28"/>
      <c r="P410" s="28"/>
      <c r="Q410" s="28"/>
      <c r="R410" s="28"/>
      <c r="S410" s="28"/>
    </row>
    <row r="411">
      <c r="A411" s="17">
        <v>45479.0</v>
      </c>
      <c r="B411" s="18" t="s">
        <v>22</v>
      </c>
      <c r="C411" s="18" t="s">
        <v>23</v>
      </c>
      <c r="D411" s="19"/>
      <c r="E411" s="19"/>
      <c r="F411" s="20">
        <f t="shared" si="7"/>
        <v>0</v>
      </c>
      <c r="G411" s="21">
        <f>IFERROR(VLOOKUP(B411,DADOS!$A$2:$H$252,8,0),"")</f>
        <v>15</v>
      </c>
      <c r="H411" s="22">
        <v>20.0</v>
      </c>
      <c r="I411" s="23">
        <f>IFERROR(VLOOKUP(B411,DADOS!$A$2:$H$252,4,0)*H411,"")</f>
        <v>12.245508</v>
      </c>
      <c r="J411" s="36"/>
      <c r="K411" s="25">
        <f>IFERROR(VLOOKUP(B411,DADOS!$A$2:$H$252,4,0)*J411,"")</f>
        <v>0</v>
      </c>
      <c r="L411" s="26">
        <f t="shared" si="8"/>
        <v>0</v>
      </c>
      <c r="M411" s="27"/>
      <c r="N411" s="30"/>
      <c r="O411" s="28"/>
      <c r="P411" s="28"/>
      <c r="Q411" s="28"/>
      <c r="R411" s="28"/>
      <c r="S411" s="28"/>
    </row>
    <row r="412">
      <c r="A412" s="17">
        <v>45481.0</v>
      </c>
      <c r="B412" s="18" t="s">
        <v>18</v>
      </c>
      <c r="C412" s="18" t="s">
        <v>97</v>
      </c>
      <c r="D412" s="19">
        <v>0.3541666666666667</v>
      </c>
      <c r="E412" s="19">
        <v>0.4930555555555556</v>
      </c>
      <c r="F412" s="20">
        <f t="shared" si="7"/>
        <v>0.1388888889</v>
      </c>
      <c r="G412" s="21">
        <f>IFERROR(VLOOKUP(B412,DADOS!$A$2:$H$252,8,0),"")</f>
        <v>21</v>
      </c>
      <c r="H412" s="22">
        <v>40.0</v>
      </c>
      <c r="I412" s="23">
        <f>IFERROR(VLOOKUP(B412,DADOS!$A$2:$H$252,4,0)*H412,"")</f>
        <v>11.71864</v>
      </c>
      <c r="J412" s="36"/>
      <c r="K412" s="25">
        <f>IFERROR(VLOOKUP(B412,DADOS!$A$2:$H$252,4,0)*J412,"")</f>
        <v>0</v>
      </c>
      <c r="L412" s="26">
        <f t="shared" si="8"/>
        <v>0</v>
      </c>
      <c r="M412" s="27"/>
      <c r="N412" s="30"/>
      <c r="O412" s="28"/>
      <c r="P412" s="28"/>
      <c r="Q412" s="28"/>
      <c r="R412" s="28"/>
      <c r="S412" s="28"/>
    </row>
    <row r="413">
      <c r="A413" s="17">
        <v>45481.0</v>
      </c>
      <c r="B413" s="18" t="s">
        <v>62</v>
      </c>
      <c r="C413" s="18" t="s">
        <v>97</v>
      </c>
      <c r="D413" s="19">
        <v>0.5416666666666666</v>
      </c>
      <c r="E413" s="19">
        <v>0.7222222222222222</v>
      </c>
      <c r="F413" s="20">
        <f t="shared" si="7"/>
        <v>0.1805555556</v>
      </c>
      <c r="G413" s="21">
        <f>IFERROR(VLOOKUP(B413,DADOS!$A$2:$H$252,8,0),"")</f>
        <v>14</v>
      </c>
      <c r="H413" s="22">
        <v>35.0</v>
      </c>
      <c r="I413" s="23">
        <f>IFERROR(VLOOKUP(B413,DADOS!$A$2:$H$252,4,0)*H413,"")</f>
        <v>2.974279</v>
      </c>
      <c r="J413" s="24">
        <v>2.0</v>
      </c>
      <c r="K413" s="25">
        <f>IFERROR(VLOOKUP(B413,DADOS!$A$2:$H$252,4,0)*J413,"")</f>
        <v>0.1699588</v>
      </c>
      <c r="L413" s="26">
        <f t="shared" si="8"/>
        <v>0.05714285714</v>
      </c>
      <c r="M413" s="27"/>
      <c r="N413" s="30"/>
      <c r="O413" s="28"/>
      <c r="P413" s="28"/>
      <c r="Q413" s="28"/>
      <c r="R413" s="28"/>
      <c r="S413" s="28"/>
    </row>
    <row r="414">
      <c r="A414" s="17">
        <v>45483.0</v>
      </c>
      <c r="B414" s="18" t="s">
        <v>62</v>
      </c>
      <c r="C414" s="18" t="s">
        <v>97</v>
      </c>
      <c r="D414" s="19"/>
      <c r="E414" s="19"/>
      <c r="F414" s="20">
        <f t="shared" si="7"/>
        <v>0</v>
      </c>
      <c r="G414" s="21">
        <f>IFERROR(VLOOKUP(B414,DADOS!$A$2:$H$252,8,0),"")</f>
        <v>14</v>
      </c>
      <c r="H414" s="22">
        <v>21.0</v>
      </c>
      <c r="I414" s="23">
        <f>IFERROR(VLOOKUP(B414,DADOS!$A$2:$H$252,4,0)*H414,"")</f>
        <v>1.7845674</v>
      </c>
      <c r="J414" s="24">
        <v>2.0</v>
      </c>
      <c r="K414" s="25">
        <f>IFERROR(VLOOKUP(B414,DADOS!$A$2:$H$252,4,0)*J414,"")</f>
        <v>0.1699588</v>
      </c>
      <c r="L414" s="26">
        <f t="shared" si="8"/>
        <v>0.09523809524</v>
      </c>
      <c r="M414" s="27"/>
      <c r="N414" s="30"/>
      <c r="O414" s="28"/>
      <c r="P414" s="28"/>
      <c r="Q414" s="28"/>
      <c r="R414" s="28"/>
      <c r="S414" s="28"/>
    </row>
    <row r="415">
      <c r="A415" s="17">
        <v>45483.0</v>
      </c>
      <c r="B415" s="18" t="s">
        <v>131</v>
      </c>
      <c r="C415" s="18" t="s">
        <v>97</v>
      </c>
      <c r="D415" s="19"/>
      <c r="E415" s="19"/>
      <c r="F415" s="20">
        <f t="shared" si="7"/>
        <v>0</v>
      </c>
      <c r="G415" s="21">
        <f>IFERROR(VLOOKUP(B415,DADOS!$A$2:$H$252,8,0),"")</f>
        <v>15</v>
      </c>
      <c r="H415" s="22">
        <v>13.0</v>
      </c>
      <c r="I415" s="23">
        <f>IFERROR(VLOOKUP(B415,DADOS!$A$2:$H$252,4,0)*H415,"")</f>
        <v>4.4512</v>
      </c>
      <c r="J415" s="24">
        <v>1.0</v>
      </c>
      <c r="K415" s="25">
        <f>IFERROR(VLOOKUP(B415,DADOS!$A$2:$H$252,4,0)*J415,"")</f>
        <v>0.3424</v>
      </c>
      <c r="L415" s="26">
        <f t="shared" si="8"/>
        <v>0.07692307692</v>
      </c>
      <c r="M415" s="27"/>
      <c r="N415" s="30"/>
      <c r="O415" s="28"/>
      <c r="P415" s="28"/>
      <c r="Q415" s="28"/>
      <c r="R415" s="28"/>
      <c r="S415" s="28"/>
    </row>
    <row r="416">
      <c r="A416" s="17">
        <v>45483.0</v>
      </c>
      <c r="B416" s="18" t="s">
        <v>18</v>
      </c>
      <c r="C416" s="18" t="s">
        <v>97</v>
      </c>
      <c r="D416" s="19"/>
      <c r="E416" s="19"/>
      <c r="F416" s="20">
        <f t="shared" si="7"/>
        <v>0</v>
      </c>
      <c r="G416" s="21">
        <f>IFERROR(VLOOKUP(B416,DADOS!$A$2:$H$252,8,0),"")</f>
        <v>21</v>
      </c>
      <c r="H416" s="22">
        <v>36.0</v>
      </c>
      <c r="I416" s="23">
        <f>IFERROR(VLOOKUP(B416,DADOS!$A$2:$H$252,4,0)*H416,"")</f>
        <v>10.546776</v>
      </c>
      <c r="J416" s="24">
        <v>3.0</v>
      </c>
      <c r="K416" s="25">
        <f>IFERROR(VLOOKUP(B416,DADOS!$A$2:$H$252,4,0)*J416,"")</f>
        <v>0.878898</v>
      </c>
      <c r="L416" s="26">
        <f t="shared" si="8"/>
        <v>0.08333333333</v>
      </c>
      <c r="M416" s="27"/>
      <c r="N416" s="30"/>
      <c r="O416" s="28"/>
      <c r="P416" s="28"/>
      <c r="Q416" s="28"/>
      <c r="R416" s="28"/>
      <c r="S416" s="28"/>
    </row>
    <row r="417">
      <c r="A417" s="17">
        <v>45484.0</v>
      </c>
      <c r="B417" s="18" t="s">
        <v>26</v>
      </c>
      <c r="C417" s="18" t="s">
        <v>97</v>
      </c>
      <c r="D417" s="19"/>
      <c r="E417" s="19"/>
      <c r="F417" s="20">
        <f t="shared" si="7"/>
        <v>0</v>
      </c>
      <c r="G417" s="21">
        <f>IFERROR(VLOOKUP(B417,DADOS!$A$2:$H$252,8,0),"")</f>
        <v>50</v>
      </c>
      <c r="H417" s="22">
        <v>6.0</v>
      </c>
      <c r="I417" s="23">
        <f>IFERROR(VLOOKUP(B417,DADOS!$A$2:$H$252,4,0)*H417,"")</f>
        <v>0.6836016</v>
      </c>
      <c r="J417" s="24">
        <v>1.0</v>
      </c>
      <c r="K417" s="25">
        <f>IFERROR(VLOOKUP(B417,DADOS!$A$2:$H$252,4,0)*J417,"")</f>
        <v>0.1139336</v>
      </c>
      <c r="L417" s="26">
        <f t="shared" si="8"/>
        <v>0.1666666667</v>
      </c>
      <c r="M417" s="27"/>
      <c r="N417" s="30"/>
      <c r="O417" s="28"/>
      <c r="P417" s="28"/>
      <c r="Q417" s="28"/>
      <c r="R417" s="28"/>
      <c r="S417" s="28"/>
    </row>
    <row r="418">
      <c r="A418" s="17">
        <v>45484.0</v>
      </c>
      <c r="B418" s="18" t="s">
        <v>22</v>
      </c>
      <c r="C418" s="18"/>
      <c r="D418" s="19"/>
      <c r="E418" s="19"/>
      <c r="F418" s="20">
        <f t="shared" si="7"/>
        <v>0</v>
      </c>
      <c r="G418" s="21">
        <f>IFERROR(VLOOKUP(B418,DADOS!$A$2:$H$252,8,0),"")</f>
        <v>15</v>
      </c>
      <c r="H418" s="22">
        <v>21.0</v>
      </c>
      <c r="I418" s="23">
        <f>IFERROR(VLOOKUP(B418,DADOS!$A$2:$H$252,4,0)*H418,"")</f>
        <v>12.8577834</v>
      </c>
      <c r="J418" s="36"/>
      <c r="K418" s="25">
        <f>IFERROR(VLOOKUP(B418,DADOS!$A$2:$H$252,4,0)*J418,"")</f>
        <v>0</v>
      </c>
      <c r="L418" s="26">
        <f t="shared" si="8"/>
        <v>0</v>
      </c>
      <c r="M418" s="27"/>
      <c r="N418" s="30"/>
      <c r="O418" s="28"/>
      <c r="P418" s="28"/>
      <c r="Q418" s="28"/>
      <c r="R418" s="28"/>
      <c r="S418" s="28"/>
    </row>
    <row r="419">
      <c r="A419" s="17">
        <v>45485.0</v>
      </c>
      <c r="B419" s="18" t="s">
        <v>25</v>
      </c>
      <c r="C419" s="18" t="s">
        <v>97</v>
      </c>
      <c r="D419" s="19"/>
      <c r="E419" s="19"/>
      <c r="F419" s="20">
        <f t="shared" si="7"/>
        <v>0</v>
      </c>
      <c r="G419" s="21">
        <f>IFERROR(VLOOKUP(B419,DADOS!$A$2:$H$252,8,0),"")</f>
        <v>40</v>
      </c>
      <c r="H419" s="22">
        <v>55.0</v>
      </c>
      <c r="I419" s="23">
        <f>IFERROR(VLOOKUP(B419,DADOS!$A$2:$H$252,4,0)*H419,"")</f>
        <v>5.69668</v>
      </c>
      <c r="J419" s="36"/>
      <c r="K419" s="25">
        <f>IFERROR(VLOOKUP(B419,DADOS!$A$2:$H$252,4,0)*J419,"")</f>
        <v>0</v>
      </c>
      <c r="L419" s="26">
        <f t="shared" si="8"/>
        <v>0</v>
      </c>
      <c r="M419" s="27"/>
      <c r="N419" s="30"/>
      <c r="O419" s="28"/>
      <c r="P419" s="28"/>
      <c r="Q419" s="28"/>
      <c r="R419" s="28"/>
      <c r="S419" s="28"/>
    </row>
    <row r="420">
      <c r="A420" s="17">
        <v>45485.0</v>
      </c>
      <c r="B420" s="18" t="s">
        <v>26</v>
      </c>
      <c r="C420" s="18" t="s">
        <v>97</v>
      </c>
      <c r="D420" s="19"/>
      <c r="E420" s="19"/>
      <c r="F420" s="20">
        <f t="shared" si="7"/>
        <v>0</v>
      </c>
      <c r="G420" s="21">
        <f>IFERROR(VLOOKUP(B420,DADOS!$A$2:$H$252,8,0),"")</f>
        <v>50</v>
      </c>
      <c r="H420" s="22">
        <v>35.0</v>
      </c>
      <c r="I420" s="23">
        <f>IFERROR(VLOOKUP(B420,DADOS!$A$2:$H$252,4,0)*H420,"")</f>
        <v>3.987676</v>
      </c>
      <c r="J420" s="36"/>
      <c r="K420" s="25">
        <f>IFERROR(VLOOKUP(B420,DADOS!$A$2:$H$252,4,0)*J420,"")</f>
        <v>0</v>
      </c>
      <c r="L420" s="26">
        <f t="shared" si="8"/>
        <v>0</v>
      </c>
      <c r="M420" s="27"/>
      <c r="N420" s="30"/>
      <c r="O420" s="28"/>
      <c r="P420" s="28"/>
      <c r="Q420" s="28"/>
      <c r="R420" s="28"/>
      <c r="S420" s="28"/>
    </row>
    <row r="421">
      <c r="A421" s="17">
        <v>45488.0</v>
      </c>
      <c r="B421" s="18" t="s">
        <v>26</v>
      </c>
      <c r="C421" s="18" t="s">
        <v>97</v>
      </c>
      <c r="D421" s="19"/>
      <c r="E421" s="19"/>
      <c r="F421" s="20">
        <f t="shared" si="7"/>
        <v>0</v>
      </c>
      <c r="G421" s="21">
        <f>IFERROR(VLOOKUP(B421,DADOS!$A$2:$H$252,8,0),"")</f>
        <v>50</v>
      </c>
      <c r="H421" s="22">
        <v>25.0</v>
      </c>
      <c r="I421" s="23">
        <f>IFERROR(VLOOKUP(B421,DADOS!$A$2:$H$252,4,0)*H421,"")</f>
        <v>2.84834</v>
      </c>
      <c r="J421" s="24">
        <v>2.0</v>
      </c>
      <c r="K421" s="25">
        <f>IFERROR(VLOOKUP(B421,DADOS!$A$2:$H$252,4,0)*J421,"")</f>
        <v>0.2278672</v>
      </c>
      <c r="L421" s="26">
        <f t="shared" si="8"/>
        <v>0.08</v>
      </c>
      <c r="M421" s="27"/>
      <c r="N421" s="30"/>
      <c r="O421" s="28"/>
      <c r="P421" s="28"/>
      <c r="Q421" s="28"/>
      <c r="R421" s="28"/>
      <c r="S421" s="28"/>
    </row>
    <row r="422">
      <c r="A422" s="17">
        <v>45488.0</v>
      </c>
      <c r="B422" s="18" t="s">
        <v>25</v>
      </c>
      <c r="C422" s="18" t="s">
        <v>97</v>
      </c>
      <c r="D422" s="19"/>
      <c r="E422" s="19"/>
      <c r="F422" s="20">
        <f t="shared" si="7"/>
        <v>0</v>
      </c>
      <c r="G422" s="21">
        <f>IFERROR(VLOOKUP(B422,DADOS!$A$2:$H$252,8,0),"")</f>
        <v>40</v>
      </c>
      <c r="H422" s="22">
        <v>13.0</v>
      </c>
      <c r="I422" s="23">
        <f>IFERROR(VLOOKUP(B422,DADOS!$A$2:$H$252,4,0)*H422,"")</f>
        <v>1.346488</v>
      </c>
      <c r="J422" s="24">
        <v>1.0</v>
      </c>
      <c r="K422" s="25">
        <f>IFERROR(VLOOKUP(B422,DADOS!$A$2:$H$252,4,0)*J422,"")</f>
        <v>0.103576</v>
      </c>
      <c r="L422" s="26">
        <f t="shared" si="8"/>
        <v>0.07692307692</v>
      </c>
      <c r="M422" s="27"/>
      <c r="N422" s="30"/>
      <c r="O422" s="28"/>
      <c r="P422" s="28"/>
      <c r="Q422" s="28"/>
      <c r="R422" s="28"/>
      <c r="S422" s="28"/>
    </row>
    <row r="423">
      <c r="A423" s="17">
        <v>45489.0</v>
      </c>
      <c r="B423" s="18" t="s">
        <v>92</v>
      </c>
      <c r="C423" s="18" t="s">
        <v>17</v>
      </c>
      <c r="D423" s="19"/>
      <c r="E423" s="19"/>
      <c r="F423" s="20">
        <f t="shared" si="7"/>
        <v>0</v>
      </c>
      <c r="G423" s="21">
        <f>IFERROR(VLOOKUP(B423,DADOS!$A$2:$H$252,8,0),"")</f>
        <v>100</v>
      </c>
      <c r="H423" s="22">
        <v>55.0</v>
      </c>
      <c r="I423" s="23">
        <f>IFERROR(VLOOKUP(B423,DADOS!$A$2:$H$252,4,0)*H423,"")</f>
        <v>1.392391</v>
      </c>
      <c r="J423" s="36"/>
      <c r="K423" s="25">
        <f>IFERROR(VLOOKUP(B423,DADOS!$A$2:$H$252,4,0)*J423,"")</f>
        <v>0</v>
      </c>
      <c r="L423" s="26">
        <f t="shared" si="8"/>
        <v>0</v>
      </c>
      <c r="M423" s="27"/>
      <c r="N423" s="30"/>
      <c r="O423" s="28"/>
      <c r="P423" s="28"/>
      <c r="Q423" s="28"/>
      <c r="R423" s="28"/>
      <c r="S423" s="28"/>
    </row>
    <row r="424">
      <c r="A424" s="17">
        <v>45489.0</v>
      </c>
      <c r="B424" s="18" t="s">
        <v>55</v>
      </c>
      <c r="C424" s="18" t="s">
        <v>17</v>
      </c>
      <c r="D424" s="19"/>
      <c r="E424" s="19"/>
      <c r="F424" s="20">
        <f t="shared" si="7"/>
        <v>0</v>
      </c>
      <c r="G424" s="21">
        <f>IFERROR(VLOOKUP(B424,DADOS!$A$2:$H$252,8,0),"")</f>
        <v>60</v>
      </c>
      <c r="H424" s="22">
        <v>20.0</v>
      </c>
      <c r="I424" s="23">
        <f>IFERROR(VLOOKUP(B424,DADOS!$A$2:$H$252,4,0)*H424,"")</f>
        <v>0.3424</v>
      </c>
      <c r="J424" s="36"/>
      <c r="K424" s="25">
        <f>IFERROR(VLOOKUP(B424,DADOS!$A$2:$H$252,4,0)*J424,"")</f>
        <v>0</v>
      </c>
      <c r="L424" s="26">
        <f t="shared" si="8"/>
        <v>0</v>
      </c>
      <c r="M424" s="27"/>
      <c r="N424" s="30"/>
      <c r="O424" s="28"/>
      <c r="P424" s="28"/>
      <c r="Q424" s="28"/>
      <c r="R424" s="28"/>
      <c r="S424" s="28"/>
    </row>
    <row r="425">
      <c r="A425" s="17">
        <v>45490.0</v>
      </c>
      <c r="B425" s="18" t="s">
        <v>92</v>
      </c>
      <c r="C425" s="18" t="s">
        <v>17</v>
      </c>
      <c r="D425" s="19"/>
      <c r="E425" s="19"/>
      <c r="F425" s="20">
        <f t="shared" si="7"/>
        <v>0</v>
      </c>
      <c r="G425" s="21">
        <f>IFERROR(VLOOKUP(B425,DADOS!$A$2:$H$252,8,0),"")</f>
        <v>100</v>
      </c>
      <c r="H425" s="22">
        <v>164.0</v>
      </c>
      <c r="I425" s="23">
        <f>IFERROR(VLOOKUP(B425,DADOS!$A$2:$H$252,4,0)*H425,"")</f>
        <v>4.1518568</v>
      </c>
      <c r="J425" s="36"/>
      <c r="K425" s="25">
        <f>IFERROR(VLOOKUP(B425,DADOS!$A$2:$H$252,4,0)*J425,"")</f>
        <v>0</v>
      </c>
      <c r="L425" s="26">
        <f t="shared" si="8"/>
        <v>0</v>
      </c>
      <c r="M425" s="27"/>
      <c r="N425" s="30"/>
      <c r="O425" s="28"/>
      <c r="P425" s="28"/>
      <c r="Q425" s="28"/>
      <c r="R425" s="28"/>
      <c r="S425" s="28"/>
    </row>
    <row r="426">
      <c r="A426" s="17">
        <v>45491.0</v>
      </c>
      <c r="B426" s="18" t="s">
        <v>132</v>
      </c>
      <c r="C426" s="18" t="s">
        <v>17</v>
      </c>
      <c r="D426" s="19"/>
      <c r="E426" s="19"/>
      <c r="F426" s="20">
        <f t="shared" si="7"/>
        <v>0</v>
      </c>
      <c r="G426" s="21">
        <f>IFERROR(VLOOKUP(B426,DADOS!$A$2:$H$252,8,0),"")</f>
        <v>100</v>
      </c>
      <c r="H426" s="22">
        <v>40.0</v>
      </c>
      <c r="I426" s="23">
        <f>IFERROR(VLOOKUP(B426,DADOS!$A$2:$H$252,4,0)*H426,"")</f>
        <v>0.725032</v>
      </c>
      <c r="J426" s="36"/>
      <c r="K426" s="25">
        <f>IFERROR(VLOOKUP(B426,DADOS!$A$2:$H$252,4,0)*J426,"")</f>
        <v>0</v>
      </c>
      <c r="L426" s="26">
        <f t="shared" si="8"/>
        <v>0</v>
      </c>
      <c r="M426" s="27"/>
      <c r="N426" s="30"/>
      <c r="O426" s="28"/>
      <c r="P426" s="28"/>
      <c r="Q426" s="28"/>
      <c r="R426" s="28"/>
      <c r="S426" s="28"/>
    </row>
    <row r="427">
      <c r="A427" s="17">
        <v>45491.0</v>
      </c>
      <c r="B427" s="18" t="s">
        <v>98</v>
      </c>
      <c r="C427" s="18" t="s">
        <v>17</v>
      </c>
      <c r="D427" s="19"/>
      <c r="E427" s="19"/>
      <c r="F427" s="20">
        <f t="shared" si="7"/>
        <v>0</v>
      </c>
      <c r="G427" s="21">
        <f>IFERROR(VLOOKUP(B427,DADOS!$A$2:$H$252,8,0),"")</f>
        <v>100</v>
      </c>
      <c r="H427" s="22">
        <v>20.0</v>
      </c>
      <c r="I427" s="23">
        <f>IFERROR(VLOOKUP(B427,DADOS!$A$2:$H$252,4,0)*H427,"")</f>
        <v>5.3928</v>
      </c>
      <c r="J427" s="36"/>
      <c r="K427" s="25">
        <f>IFERROR(VLOOKUP(B427,DADOS!$A$2:$H$252,4,0)*J427,"")</f>
        <v>0</v>
      </c>
      <c r="L427" s="26">
        <f t="shared" si="8"/>
        <v>0</v>
      </c>
      <c r="M427" s="27"/>
      <c r="N427" s="30"/>
      <c r="O427" s="28"/>
      <c r="P427" s="28"/>
      <c r="Q427" s="28"/>
      <c r="R427" s="28"/>
      <c r="S427" s="28"/>
    </row>
    <row r="428">
      <c r="A428" s="17">
        <v>45492.0</v>
      </c>
      <c r="B428" s="18" t="s">
        <v>98</v>
      </c>
      <c r="C428" s="18" t="s">
        <v>17</v>
      </c>
      <c r="D428" s="19"/>
      <c r="E428" s="19"/>
      <c r="F428" s="20">
        <f t="shared" si="7"/>
        <v>0</v>
      </c>
      <c r="G428" s="21">
        <f>IFERROR(VLOOKUP(B428,DADOS!$A$2:$H$252,8,0),"")</f>
        <v>100</v>
      </c>
      <c r="H428" s="22">
        <v>28.0</v>
      </c>
      <c r="I428" s="23">
        <f>IFERROR(VLOOKUP(B428,DADOS!$A$2:$H$252,4,0)*H428,"")</f>
        <v>7.54992</v>
      </c>
      <c r="J428" s="24">
        <v>2.0</v>
      </c>
      <c r="K428" s="25">
        <f>IFERROR(VLOOKUP(B428,DADOS!$A$2:$H$252,4,0)*J428,"")</f>
        <v>0.53928</v>
      </c>
      <c r="L428" s="26">
        <f t="shared" si="8"/>
        <v>0.07142857143</v>
      </c>
      <c r="M428" s="27"/>
      <c r="N428" s="30"/>
      <c r="O428" s="28"/>
      <c r="P428" s="28"/>
      <c r="Q428" s="28"/>
      <c r="R428" s="28"/>
      <c r="S428" s="28"/>
    </row>
    <row r="429">
      <c r="A429" s="17">
        <v>45495.0</v>
      </c>
      <c r="B429" s="18" t="s">
        <v>92</v>
      </c>
      <c r="C429" s="18" t="s">
        <v>17</v>
      </c>
      <c r="D429" s="19"/>
      <c r="E429" s="19"/>
      <c r="F429" s="20">
        <f t="shared" si="7"/>
        <v>0</v>
      </c>
      <c r="G429" s="21">
        <f>IFERROR(VLOOKUP(B429,DADOS!$A$2:$H$252,8,0),"")</f>
        <v>100</v>
      </c>
      <c r="H429" s="22">
        <v>378.0</v>
      </c>
      <c r="I429" s="23">
        <f>IFERROR(VLOOKUP(B429,DADOS!$A$2:$H$252,4,0)*H429,"")</f>
        <v>9.5695236</v>
      </c>
      <c r="J429" s="36"/>
      <c r="K429" s="25">
        <f>IFERROR(VLOOKUP(B429,DADOS!$A$2:$H$252,4,0)*J429,"")</f>
        <v>0</v>
      </c>
      <c r="L429" s="26">
        <f t="shared" si="8"/>
        <v>0</v>
      </c>
      <c r="M429" s="27"/>
      <c r="N429" s="30"/>
      <c r="O429" s="28"/>
      <c r="P429" s="28"/>
      <c r="Q429" s="28"/>
      <c r="R429" s="28"/>
      <c r="S429" s="28"/>
    </row>
    <row r="430">
      <c r="A430" s="17">
        <v>45496.0</v>
      </c>
      <c r="B430" s="18" t="s">
        <v>72</v>
      </c>
      <c r="C430" s="18" t="s">
        <v>17</v>
      </c>
      <c r="D430" s="19"/>
      <c r="E430" s="19"/>
      <c r="F430" s="20">
        <f t="shared" si="7"/>
        <v>0</v>
      </c>
      <c r="G430" s="21">
        <f>IFERROR(VLOOKUP(B430,DADOS!$A$2:$H$252,8,0),"")</f>
        <v>43</v>
      </c>
      <c r="H430" s="22">
        <v>119.0</v>
      </c>
      <c r="I430" s="23">
        <f>IFERROR(VLOOKUP(B430,DADOS!$A$2:$H$252,4,0)*H430,"")</f>
        <v>2.03728</v>
      </c>
      <c r="J430" s="24">
        <v>1.0</v>
      </c>
      <c r="K430" s="25">
        <f>IFERROR(VLOOKUP(B430,DADOS!$A$2:$H$252,4,0)*J430,"")</f>
        <v>0.01712</v>
      </c>
      <c r="L430" s="26">
        <f t="shared" si="8"/>
        <v>0.008403361345</v>
      </c>
      <c r="M430" s="27"/>
      <c r="N430" s="30"/>
      <c r="O430" s="28"/>
      <c r="P430" s="28"/>
      <c r="Q430" s="28"/>
      <c r="R430" s="28"/>
      <c r="S430" s="28"/>
    </row>
    <row r="431">
      <c r="A431" s="17">
        <v>45497.0</v>
      </c>
      <c r="B431" s="18" t="s">
        <v>93</v>
      </c>
      <c r="C431" s="18" t="s">
        <v>19</v>
      </c>
      <c r="D431" s="19"/>
      <c r="E431" s="19"/>
      <c r="F431" s="20">
        <f t="shared" si="7"/>
        <v>0</v>
      </c>
      <c r="G431" s="21" t="str">
        <f>IFERROR(VLOOKUP(B431,DADOS!$A$2:$H$252,8,0),"")</f>
        <v/>
      </c>
      <c r="H431" s="22">
        <v>59.0</v>
      </c>
      <c r="I431" s="23" t="str">
        <f>IFERROR(VLOOKUP(B431,DADOS!$A$2:$H$252,4,0)*H431,"")</f>
        <v/>
      </c>
      <c r="J431" s="24">
        <v>1.0</v>
      </c>
      <c r="K431" s="25" t="str">
        <f>IFERROR(VLOOKUP(B431,DADOS!$A$2:$H$252,4,0)*J431,"")</f>
        <v/>
      </c>
      <c r="L431" s="26" t="str">
        <f t="shared" si="8"/>
        <v/>
      </c>
      <c r="M431" s="27"/>
      <c r="N431" s="30"/>
      <c r="O431" s="28"/>
      <c r="P431" s="28"/>
      <c r="Q431" s="28"/>
      <c r="R431" s="28"/>
      <c r="S431" s="28"/>
    </row>
    <row r="432">
      <c r="A432" s="17">
        <v>45497.0</v>
      </c>
      <c r="B432" s="18" t="s">
        <v>133</v>
      </c>
      <c r="C432" s="18" t="s">
        <v>19</v>
      </c>
      <c r="D432" s="19"/>
      <c r="E432" s="19"/>
      <c r="F432" s="20">
        <f t="shared" si="7"/>
        <v>0</v>
      </c>
      <c r="G432" s="21">
        <f>IFERROR(VLOOKUP(B432,DADOS!$A$2:$H$252,8,0),"")</f>
        <v>20</v>
      </c>
      <c r="H432" s="22">
        <v>8.0</v>
      </c>
      <c r="I432" s="23">
        <f>IFERROR(VLOOKUP(B432,DADOS!$A$2:$H$252,4,0)*H432,"")</f>
        <v>0.618032</v>
      </c>
      <c r="J432" s="36"/>
      <c r="K432" s="25">
        <f>IFERROR(VLOOKUP(B432,DADOS!$A$2:$H$252,4,0)*J432,"")</f>
        <v>0</v>
      </c>
      <c r="L432" s="26">
        <f t="shared" si="8"/>
        <v>0</v>
      </c>
      <c r="M432" s="27"/>
      <c r="N432" s="30"/>
      <c r="O432" s="28"/>
      <c r="P432" s="28"/>
      <c r="Q432" s="28"/>
      <c r="R432" s="28"/>
      <c r="S432" s="28"/>
    </row>
    <row r="433">
      <c r="A433" s="17">
        <v>45497.0</v>
      </c>
      <c r="B433" s="18" t="s">
        <v>134</v>
      </c>
      <c r="C433" s="18" t="s">
        <v>19</v>
      </c>
      <c r="D433" s="19"/>
      <c r="E433" s="19"/>
      <c r="F433" s="20">
        <f t="shared" si="7"/>
        <v>0</v>
      </c>
      <c r="G433" s="21">
        <f>IFERROR(VLOOKUP(B433,DADOS!$A$2:$H$252,8,0),"")</f>
        <v>17</v>
      </c>
      <c r="H433" s="22">
        <v>34.0</v>
      </c>
      <c r="I433" s="23">
        <f>IFERROR(VLOOKUP(B433,DADOS!$A$2:$H$252,4,0)*H433,"")</f>
        <v>2.626636</v>
      </c>
      <c r="J433" s="24">
        <v>14.0</v>
      </c>
      <c r="K433" s="25">
        <f>IFERROR(VLOOKUP(B433,DADOS!$A$2:$H$252,4,0)*J433,"")</f>
        <v>1.081556</v>
      </c>
      <c r="L433" s="26">
        <f t="shared" si="8"/>
        <v>0.4117647059</v>
      </c>
      <c r="M433" s="27"/>
      <c r="N433" s="30"/>
      <c r="O433" s="28"/>
      <c r="P433" s="28"/>
      <c r="Q433" s="28"/>
      <c r="R433" s="28"/>
      <c r="S433" s="28"/>
    </row>
    <row r="434">
      <c r="A434" s="17">
        <v>45497.0</v>
      </c>
      <c r="B434" s="18" t="s">
        <v>58</v>
      </c>
      <c r="C434" s="18" t="s">
        <v>19</v>
      </c>
      <c r="D434" s="19"/>
      <c r="E434" s="19"/>
      <c r="F434" s="20">
        <f t="shared" si="7"/>
        <v>0</v>
      </c>
      <c r="G434" s="21">
        <f>IFERROR(VLOOKUP(B434,DADOS!$A$2:$H$252,8,0),"")</f>
        <v>31</v>
      </c>
      <c r="H434" s="22">
        <v>10.0</v>
      </c>
      <c r="I434" s="23">
        <f>IFERROR(VLOOKUP(B434,DADOS!$A$2:$H$252,4,0)*H434,"")</f>
        <v>1.139336</v>
      </c>
      <c r="J434" s="24">
        <v>1.0</v>
      </c>
      <c r="K434" s="25">
        <f>IFERROR(VLOOKUP(B434,DADOS!$A$2:$H$252,4,0)*J434,"")</f>
        <v>0.1139336</v>
      </c>
      <c r="L434" s="26">
        <f t="shared" si="8"/>
        <v>0.1</v>
      </c>
      <c r="M434" s="27"/>
      <c r="N434" s="30"/>
      <c r="O434" s="28"/>
      <c r="P434" s="28"/>
      <c r="Q434" s="28"/>
      <c r="R434" s="28"/>
      <c r="S434" s="28"/>
    </row>
    <row r="435">
      <c r="A435" s="17">
        <v>45498.0</v>
      </c>
      <c r="B435" s="18" t="s">
        <v>58</v>
      </c>
      <c r="C435" s="18" t="s">
        <v>19</v>
      </c>
      <c r="D435" s="19"/>
      <c r="E435" s="19"/>
      <c r="F435" s="20">
        <f t="shared" si="7"/>
        <v>0</v>
      </c>
      <c r="G435" s="21">
        <f>IFERROR(VLOOKUP(B435,DADOS!$A$2:$H$252,8,0),"")</f>
        <v>31</v>
      </c>
      <c r="H435" s="22">
        <v>84.0</v>
      </c>
      <c r="I435" s="23">
        <f>IFERROR(VLOOKUP(B435,DADOS!$A$2:$H$252,4,0)*H435,"")</f>
        <v>9.5704224</v>
      </c>
      <c r="J435" s="24">
        <v>6.0</v>
      </c>
      <c r="K435" s="25">
        <f>IFERROR(VLOOKUP(B435,DADOS!$A$2:$H$252,4,0)*J435,"")</f>
        <v>0.6836016</v>
      </c>
      <c r="L435" s="26">
        <f t="shared" si="8"/>
        <v>0.07142857143</v>
      </c>
      <c r="M435" s="27"/>
      <c r="N435" s="30"/>
      <c r="O435" s="28"/>
      <c r="P435" s="28"/>
      <c r="Q435" s="28"/>
      <c r="R435" s="28"/>
      <c r="S435" s="28"/>
    </row>
    <row r="436">
      <c r="A436" s="17">
        <v>45498.0</v>
      </c>
      <c r="B436" s="18" t="s">
        <v>24</v>
      </c>
      <c r="C436" s="18" t="s">
        <v>19</v>
      </c>
      <c r="D436" s="19"/>
      <c r="E436" s="19"/>
      <c r="F436" s="20">
        <f t="shared" si="7"/>
        <v>0</v>
      </c>
      <c r="G436" s="21">
        <f>IFERROR(VLOOKUP(B436,DADOS!$A$2:$H$252,8,0),"")</f>
        <v>37</v>
      </c>
      <c r="H436" s="22">
        <v>1.0</v>
      </c>
      <c r="I436" s="23">
        <f>IFERROR(VLOOKUP(B436,DADOS!$A$2:$H$252,4,0)*H436,"")</f>
        <v>0.1139336</v>
      </c>
      <c r="J436" s="36"/>
      <c r="K436" s="25">
        <f>IFERROR(VLOOKUP(B436,DADOS!$A$2:$H$252,4,0)*J436,"")</f>
        <v>0</v>
      </c>
      <c r="L436" s="26">
        <f t="shared" si="8"/>
        <v>0</v>
      </c>
      <c r="M436" s="27"/>
      <c r="N436" s="30"/>
      <c r="O436" s="28"/>
      <c r="P436" s="28"/>
      <c r="Q436" s="28"/>
      <c r="R436" s="28"/>
      <c r="S436" s="28"/>
    </row>
    <row r="437">
      <c r="A437" s="17">
        <v>45498.0</v>
      </c>
      <c r="B437" s="18" t="s">
        <v>21</v>
      </c>
      <c r="C437" s="18" t="s">
        <v>19</v>
      </c>
      <c r="D437" s="19"/>
      <c r="E437" s="19"/>
      <c r="F437" s="20">
        <f t="shared" si="7"/>
        <v>0</v>
      </c>
      <c r="G437" s="21">
        <f>IFERROR(VLOOKUP(B437,DADOS!$A$2:$H$252,8,0),"")</f>
        <v>33</v>
      </c>
      <c r="H437" s="22">
        <v>27.0</v>
      </c>
      <c r="I437" s="23">
        <f>IFERROR(VLOOKUP(B437,DADOS!$A$2:$H$252,4,0)*H437,"")</f>
        <v>3.0762072</v>
      </c>
      <c r="J437" s="36"/>
      <c r="K437" s="25">
        <f>IFERROR(VLOOKUP(B437,DADOS!$A$2:$H$252,4,0)*J437,"")</f>
        <v>0</v>
      </c>
      <c r="L437" s="26">
        <f t="shared" si="8"/>
        <v>0</v>
      </c>
      <c r="M437" s="27"/>
      <c r="N437" s="30"/>
      <c r="O437" s="28"/>
      <c r="P437" s="28"/>
      <c r="Q437" s="28"/>
      <c r="R437" s="28"/>
      <c r="S437" s="28"/>
    </row>
    <row r="438">
      <c r="A438" s="17">
        <v>45499.0</v>
      </c>
      <c r="B438" s="18" t="s">
        <v>57</v>
      </c>
      <c r="C438" s="18" t="s">
        <v>17</v>
      </c>
      <c r="D438" s="19"/>
      <c r="E438" s="19"/>
      <c r="F438" s="20">
        <f t="shared" si="7"/>
        <v>0</v>
      </c>
      <c r="G438" s="21">
        <f>IFERROR(VLOOKUP(B438,DADOS!$A$2:$H$252,8,0),"")</f>
        <v>100</v>
      </c>
      <c r="H438" s="22">
        <v>200.0</v>
      </c>
      <c r="I438" s="23">
        <f>IFERROR(VLOOKUP(B438,DADOS!$A$2:$H$252,4,0)*H438,"")</f>
        <v>3.424</v>
      </c>
      <c r="J438" s="36"/>
      <c r="K438" s="25">
        <f>IFERROR(VLOOKUP(B438,DADOS!$A$2:$H$252,4,0)*J438,"")</f>
        <v>0</v>
      </c>
      <c r="L438" s="26">
        <f t="shared" si="8"/>
        <v>0</v>
      </c>
      <c r="M438" s="27"/>
      <c r="N438" s="30"/>
      <c r="O438" s="28"/>
      <c r="P438" s="28"/>
      <c r="Q438" s="28"/>
      <c r="R438" s="28"/>
      <c r="S438" s="28"/>
    </row>
    <row r="439">
      <c r="A439" s="17">
        <v>45502.0</v>
      </c>
      <c r="B439" s="18" t="s">
        <v>56</v>
      </c>
      <c r="C439" s="18" t="s">
        <v>17</v>
      </c>
      <c r="D439" s="19"/>
      <c r="E439" s="19"/>
      <c r="F439" s="20">
        <f t="shared" si="7"/>
        <v>0</v>
      </c>
      <c r="G439" s="21">
        <f>IFERROR(VLOOKUP(B439,DADOS!$A$2:$H$252,8,0),"")</f>
        <v>162</v>
      </c>
      <c r="H439" s="22">
        <v>90.0</v>
      </c>
      <c r="I439" s="23">
        <f>IFERROR(VLOOKUP(B439,DADOS!$A$2:$H$252,4,0)*H439,"")</f>
        <v>0.8667</v>
      </c>
      <c r="J439" s="36"/>
      <c r="K439" s="25">
        <f>IFERROR(VLOOKUP(B439,DADOS!$A$2:$H$252,4,0)*J439,"")</f>
        <v>0</v>
      </c>
      <c r="L439" s="26">
        <f t="shared" si="8"/>
        <v>0</v>
      </c>
      <c r="M439" s="27"/>
      <c r="N439" s="30"/>
      <c r="O439" s="28"/>
      <c r="P439" s="28"/>
      <c r="Q439" s="28"/>
      <c r="R439" s="28"/>
      <c r="S439" s="28"/>
    </row>
    <row r="440">
      <c r="A440" s="17">
        <v>45502.0</v>
      </c>
      <c r="B440" s="18" t="s">
        <v>18</v>
      </c>
      <c r="C440" s="18" t="s">
        <v>19</v>
      </c>
      <c r="D440" s="19"/>
      <c r="E440" s="19"/>
      <c r="F440" s="20">
        <f t="shared" si="7"/>
        <v>0</v>
      </c>
      <c r="G440" s="21">
        <f>IFERROR(VLOOKUP(B440,DADOS!$A$2:$H$252,8,0),"")</f>
        <v>21</v>
      </c>
      <c r="H440" s="22">
        <v>32.0</v>
      </c>
      <c r="I440" s="23">
        <f>IFERROR(VLOOKUP(B440,DADOS!$A$2:$H$252,4,0)*H440,"")</f>
        <v>9.374912</v>
      </c>
      <c r="J440" s="36"/>
      <c r="K440" s="25">
        <f>IFERROR(VLOOKUP(B440,DADOS!$A$2:$H$252,4,0)*J440,"")</f>
        <v>0</v>
      </c>
      <c r="L440" s="26">
        <f t="shared" si="8"/>
        <v>0</v>
      </c>
      <c r="M440" s="27"/>
      <c r="N440" s="30"/>
      <c r="O440" s="28"/>
      <c r="P440" s="28"/>
      <c r="Q440" s="28"/>
      <c r="R440" s="28"/>
      <c r="S440" s="28"/>
    </row>
    <row r="441">
      <c r="A441" s="17">
        <v>45502.0</v>
      </c>
      <c r="B441" s="18" t="s">
        <v>53</v>
      </c>
      <c r="C441" s="18" t="s">
        <v>19</v>
      </c>
      <c r="D441" s="19"/>
      <c r="E441" s="19"/>
      <c r="F441" s="20">
        <f t="shared" si="7"/>
        <v>0</v>
      </c>
      <c r="G441" s="21">
        <f>IFERROR(VLOOKUP(B441,DADOS!$A$2:$H$252,8,0),"")</f>
        <v>120</v>
      </c>
      <c r="H441" s="22">
        <v>98.0</v>
      </c>
      <c r="I441" s="23">
        <f>IFERROR(VLOOKUP(B441,DADOS!$A$2:$H$252,4,0)*H441,"")</f>
        <v>0.94374</v>
      </c>
      <c r="J441" s="36"/>
      <c r="K441" s="25">
        <f>IFERROR(VLOOKUP(B441,DADOS!$A$2:$H$252,4,0)*J441,"")</f>
        <v>0</v>
      </c>
      <c r="L441" s="26">
        <f t="shared" si="8"/>
        <v>0</v>
      </c>
      <c r="M441" s="27"/>
      <c r="N441" s="30"/>
      <c r="O441" s="28"/>
      <c r="P441" s="28"/>
      <c r="Q441" s="28"/>
      <c r="R441" s="28"/>
      <c r="S441" s="28"/>
    </row>
    <row r="442">
      <c r="A442" s="17">
        <v>45502.0</v>
      </c>
      <c r="B442" s="18" t="s">
        <v>25</v>
      </c>
      <c r="C442" s="18" t="s">
        <v>19</v>
      </c>
      <c r="D442" s="19"/>
      <c r="E442" s="19"/>
      <c r="F442" s="20">
        <f t="shared" si="7"/>
        <v>0</v>
      </c>
      <c r="G442" s="21">
        <f>IFERROR(VLOOKUP(B442,DADOS!$A$2:$H$252,8,0),"")</f>
        <v>40</v>
      </c>
      <c r="H442" s="22">
        <v>100.0</v>
      </c>
      <c r="I442" s="23">
        <f>IFERROR(VLOOKUP(B442,DADOS!$A$2:$H$252,4,0)*H442,"")</f>
        <v>10.3576</v>
      </c>
      <c r="J442" s="36"/>
      <c r="K442" s="25">
        <f>IFERROR(VLOOKUP(B442,DADOS!$A$2:$H$252,4,0)*J442,"")</f>
        <v>0</v>
      </c>
      <c r="L442" s="26">
        <f t="shared" si="8"/>
        <v>0</v>
      </c>
      <c r="M442" s="27"/>
      <c r="N442" s="30"/>
      <c r="O442" s="28"/>
      <c r="P442" s="28"/>
      <c r="Q442" s="28"/>
      <c r="R442" s="28"/>
      <c r="S442" s="28"/>
    </row>
    <row r="443">
      <c r="A443" s="17">
        <v>45502.0</v>
      </c>
      <c r="B443" s="18" t="s">
        <v>26</v>
      </c>
      <c r="C443" s="18" t="s">
        <v>19</v>
      </c>
      <c r="D443" s="19"/>
      <c r="E443" s="19"/>
      <c r="F443" s="20">
        <f t="shared" si="7"/>
        <v>0</v>
      </c>
      <c r="G443" s="21">
        <f>IFERROR(VLOOKUP(B443,DADOS!$A$2:$H$252,8,0),"")</f>
        <v>50</v>
      </c>
      <c r="H443" s="22">
        <v>99.0</v>
      </c>
      <c r="I443" s="23">
        <f>IFERROR(VLOOKUP(B443,DADOS!$A$2:$H$252,4,0)*H443,"")</f>
        <v>11.2794264</v>
      </c>
      <c r="J443" s="24">
        <v>1.0</v>
      </c>
      <c r="K443" s="25">
        <f>IFERROR(VLOOKUP(B443,DADOS!$A$2:$H$252,4,0)*J443,"")</f>
        <v>0.1139336</v>
      </c>
      <c r="L443" s="26">
        <f t="shared" si="8"/>
        <v>0.0101010101</v>
      </c>
      <c r="M443" s="27"/>
      <c r="N443" s="30"/>
      <c r="O443" s="28"/>
      <c r="P443" s="28"/>
      <c r="Q443" s="28"/>
      <c r="R443" s="28"/>
      <c r="S443" s="28"/>
    </row>
    <row r="444">
      <c r="A444" s="17">
        <v>45502.0</v>
      </c>
      <c r="B444" s="18" t="s">
        <v>33</v>
      </c>
      <c r="C444" s="18" t="s">
        <v>19</v>
      </c>
      <c r="D444" s="19"/>
      <c r="E444" s="19"/>
      <c r="F444" s="20">
        <f t="shared" si="7"/>
        <v>0</v>
      </c>
      <c r="G444" s="21">
        <f>IFERROR(VLOOKUP(B444,DADOS!$A$2:$H$252,8,0),"")</f>
        <v>7</v>
      </c>
      <c r="H444" s="22">
        <v>5.0</v>
      </c>
      <c r="I444" s="23">
        <f>IFERROR(VLOOKUP(B444,DADOS!$A$2:$H$252,4,0)*H444,"")</f>
        <v>7.012031</v>
      </c>
      <c r="J444" s="36"/>
      <c r="K444" s="25">
        <f>IFERROR(VLOOKUP(B444,DADOS!$A$2:$H$252,4,0)*J444,"")</f>
        <v>0</v>
      </c>
      <c r="L444" s="26">
        <f t="shared" si="8"/>
        <v>0</v>
      </c>
      <c r="M444" s="27"/>
      <c r="N444" s="30"/>
      <c r="O444" s="28"/>
      <c r="P444" s="28"/>
      <c r="Q444" s="28"/>
      <c r="R444" s="28"/>
      <c r="S444" s="28"/>
    </row>
    <row r="445">
      <c r="A445" s="17">
        <v>45505.0</v>
      </c>
      <c r="B445" s="18" t="s">
        <v>62</v>
      </c>
      <c r="C445" s="18" t="s">
        <v>19</v>
      </c>
      <c r="D445" s="19"/>
      <c r="E445" s="19"/>
      <c r="F445" s="20">
        <f t="shared" si="7"/>
        <v>0</v>
      </c>
      <c r="G445" s="21">
        <f>IFERROR(VLOOKUP(B445,DADOS!$A$2:$H$252,8,0),"")</f>
        <v>14</v>
      </c>
      <c r="H445" s="22">
        <v>65.0</v>
      </c>
      <c r="I445" s="23">
        <f>IFERROR(VLOOKUP(B445,DADOS!$A$2:$H$252,4,0)*H445,"")</f>
        <v>5.523661</v>
      </c>
      <c r="J445" s="24">
        <v>1.0</v>
      </c>
      <c r="K445" s="25">
        <f>IFERROR(VLOOKUP(B445,DADOS!$A$2:$H$252,4,0)*J445,"")</f>
        <v>0.0849794</v>
      </c>
      <c r="L445" s="26">
        <f t="shared" si="8"/>
        <v>0.01538461538</v>
      </c>
      <c r="M445" s="27"/>
      <c r="N445" s="30"/>
      <c r="O445" s="28"/>
      <c r="P445" s="28"/>
      <c r="Q445" s="28"/>
      <c r="R445" s="28"/>
      <c r="S445" s="28"/>
    </row>
    <row r="446">
      <c r="A446" s="17">
        <v>45505.0</v>
      </c>
      <c r="B446" s="18" t="s">
        <v>43</v>
      </c>
      <c r="C446" s="18" t="s">
        <v>19</v>
      </c>
      <c r="D446" s="19"/>
      <c r="E446" s="19"/>
      <c r="F446" s="20">
        <f t="shared" si="7"/>
        <v>0</v>
      </c>
      <c r="G446" s="21" t="str">
        <f>IFERROR(VLOOKUP(B446,DADOS!$A$2:$H$252,8,0),"")</f>
        <v/>
      </c>
      <c r="H446" s="22">
        <v>45.0</v>
      </c>
      <c r="I446" s="23" t="str">
        <f>IFERROR(VLOOKUP(B446,DADOS!$A$2:$H$252,4,0)*H446,"")</f>
        <v/>
      </c>
      <c r="J446" s="24">
        <v>2.0</v>
      </c>
      <c r="K446" s="25" t="str">
        <f>IFERROR(VLOOKUP(B446,DADOS!$A$2:$H$252,4,0)*J446,"")</f>
        <v/>
      </c>
      <c r="L446" s="26" t="str">
        <f t="shared" si="8"/>
        <v/>
      </c>
      <c r="M446" s="27"/>
      <c r="N446" s="30"/>
      <c r="O446" s="28"/>
      <c r="P446" s="28"/>
      <c r="Q446" s="28"/>
      <c r="R446" s="28"/>
      <c r="S446" s="28"/>
    </row>
    <row r="447">
      <c r="A447" s="17">
        <v>45505.0</v>
      </c>
      <c r="B447" s="18" t="s">
        <v>31</v>
      </c>
      <c r="C447" s="18" t="s">
        <v>19</v>
      </c>
      <c r="D447" s="19"/>
      <c r="E447" s="19"/>
      <c r="F447" s="20">
        <f t="shared" si="7"/>
        <v>0</v>
      </c>
      <c r="G447" s="21">
        <f>IFERROR(VLOOKUP(B447,DADOS!$A$2:$H$252,8,0),"")</f>
        <v>10</v>
      </c>
      <c r="H447" s="22">
        <v>17.0</v>
      </c>
      <c r="I447" s="23">
        <f>IFERROR(VLOOKUP(B447,DADOS!$A$2:$H$252,4,0)*H447,"")</f>
        <v>2.3050368</v>
      </c>
      <c r="J447" s="36"/>
      <c r="K447" s="25">
        <f>IFERROR(VLOOKUP(B447,DADOS!$A$2:$H$252,4,0)*J447,"")</f>
        <v>0</v>
      </c>
      <c r="L447" s="26">
        <f t="shared" si="8"/>
        <v>0</v>
      </c>
      <c r="M447" s="27"/>
      <c r="N447" s="30"/>
      <c r="O447" s="28"/>
      <c r="P447" s="28"/>
      <c r="Q447" s="28"/>
      <c r="R447" s="28"/>
      <c r="S447" s="28"/>
    </row>
    <row r="448">
      <c r="A448" s="17">
        <v>45505.0</v>
      </c>
      <c r="B448" s="18" t="s">
        <v>24</v>
      </c>
      <c r="C448" s="18" t="s">
        <v>19</v>
      </c>
      <c r="D448" s="19"/>
      <c r="E448" s="19"/>
      <c r="F448" s="20">
        <f t="shared" si="7"/>
        <v>0</v>
      </c>
      <c r="G448" s="21">
        <f>IFERROR(VLOOKUP(B448,DADOS!$A$2:$H$252,8,0),"")</f>
        <v>37</v>
      </c>
      <c r="H448" s="22">
        <v>5.0</v>
      </c>
      <c r="I448" s="23">
        <f>IFERROR(VLOOKUP(B448,DADOS!$A$2:$H$252,4,0)*H448,"")</f>
        <v>0.569668</v>
      </c>
      <c r="J448" s="36"/>
      <c r="K448" s="25">
        <f>IFERROR(VLOOKUP(B448,DADOS!$A$2:$H$252,4,0)*J448,"")</f>
        <v>0</v>
      </c>
      <c r="L448" s="26">
        <f t="shared" si="8"/>
        <v>0</v>
      </c>
      <c r="M448" s="27"/>
      <c r="N448" s="30"/>
      <c r="O448" s="28"/>
      <c r="P448" s="28"/>
      <c r="Q448" s="28"/>
      <c r="R448" s="28"/>
      <c r="S448" s="28"/>
    </row>
    <row r="449">
      <c r="A449" s="17">
        <v>45505.0</v>
      </c>
      <c r="B449" s="18" t="s">
        <v>135</v>
      </c>
      <c r="C449" s="18" t="s">
        <v>23</v>
      </c>
      <c r="D449" s="19"/>
      <c r="E449" s="19"/>
      <c r="F449" s="20">
        <f t="shared" si="7"/>
        <v>0</v>
      </c>
      <c r="G449" s="21">
        <f>IFERROR(VLOOKUP(B449,DADOS!$A$2:$H$252,8,0),"")</f>
        <v>18</v>
      </c>
      <c r="H449" s="22">
        <v>25.0</v>
      </c>
      <c r="I449" s="23">
        <f>IFERROR(VLOOKUP(B449,DADOS!$A$2:$H$252,4,0)*H449,"")</f>
        <v>8.13735</v>
      </c>
      <c r="J449" s="36"/>
      <c r="K449" s="25">
        <f>IFERROR(VLOOKUP(B449,DADOS!$A$2:$H$252,4,0)*J449,"")</f>
        <v>0</v>
      </c>
      <c r="L449" s="26">
        <f t="shared" si="8"/>
        <v>0</v>
      </c>
      <c r="M449" s="27"/>
      <c r="N449" s="30"/>
      <c r="O449" s="28"/>
      <c r="P449" s="28"/>
      <c r="Q449" s="28"/>
      <c r="R449" s="28"/>
      <c r="S449" s="28"/>
    </row>
    <row r="450">
      <c r="A450" s="17">
        <v>45505.0</v>
      </c>
      <c r="B450" s="18" t="s">
        <v>16</v>
      </c>
      <c r="C450" s="18"/>
      <c r="D450" s="19"/>
      <c r="E450" s="19"/>
      <c r="F450" s="20">
        <f t="shared" si="7"/>
        <v>0</v>
      </c>
      <c r="G450" s="21">
        <f>IFERROR(VLOOKUP(B450,DADOS!$A$2:$H$252,8,0),"")</f>
        <v>150</v>
      </c>
      <c r="H450" s="22">
        <v>275.0</v>
      </c>
      <c r="I450" s="23">
        <f>IFERROR(VLOOKUP(B450,DADOS!$A$2:$H$252,4,0)*H450,"")</f>
        <v>7.95652</v>
      </c>
      <c r="J450" s="36"/>
      <c r="K450" s="25">
        <f>IFERROR(VLOOKUP(B450,DADOS!$A$2:$H$252,4,0)*J450,"")</f>
        <v>0</v>
      </c>
      <c r="L450" s="26">
        <f t="shared" si="8"/>
        <v>0</v>
      </c>
      <c r="M450" s="27"/>
      <c r="N450" s="30"/>
      <c r="O450" s="28"/>
      <c r="P450" s="28"/>
      <c r="Q450" s="28"/>
      <c r="R450" s="28"/>
      <c r="S450" s="28"/>
    </row>
    <row r="451">
      <c r="A451" s="17">
        <v>45506.0</v>
      </c>
      <c r="B451" s="18" t="s">
        <v>24</v>
      </c>
      <c r="C451" s="18" t="s">
        <v>19</v>
      </c>
      <c r="D451" s="19"/>
      <c r="E451" s="19"/>
      <c r="F451" s="20">
        <f t="shared" si="7"/>
        <v>0</v>
      </c>
      <c r="G451" s="21">
        <f>IFERROR(VLOOKUP(B451,DADOS!$A$2:$H$252,8,0),"")</f>
        <v>37</v>
      </c>
      <c r="H451" s="22">
        <v>45.0</v>
      </c>
      <c r="I451" s="23">
        <f>IFERROR(VLOOKUP(B451,DADOS!$A$2:$H$252,4,0)*H451,"")</f>
        <v>5.127012</v>
      </c>
      <c r="J451" s="24">
        <v>1.0</v>
      </c>
      <c r="K451" s="25">
        <f>IFERROR(VLOOKUP(B451,DADOS!$A$2:$H$252,4,0)*J451,"")</f>
        <v>0.1139336</v>
      </c>
      <c r="L451" s="26">
        <f t="shared" si="8"/>
        <v>0.02222222222</v>
      </c>
      <c r="M451" s="27"/>
      <c r="N451" s="30"/>
      <c r="O451" s="28"/>
      <c r="P451" s="28"/>
      <c r="Q451" s="28"/>
      <c r="R451" s="28"/>
      <c r="S451" s="28"/>
    </row>
    <row r="452">
      <c r="A452" s="17">
        <v>45506.0</v>
      </c>
      <c r="B452" s="18" t="s">
        <v>31</v>
      </c>
      <c r="C452" s="18" t="s">
        <v>19</v>
      </c>
      <c r="D452" s="19"/>
      <c r="E452" s="19"/>
      <c r="F452" s="20">
        <f t="shared" si="7"/>
        <v>0</v>
      </c>
      <c r="G452" s="21">
        <f>IFERROR(VLOOKUP(B452,DADOS!$A$2:$H$252,8,0),"")</f>
        <v>10</v>
      </c>
      <c r="H452" s="22">
        <v>33.0</v>
      </c>
      <c r="I452" s="23">
        <f>IFERROR(VLOOKUP(B452,DADOS!$A$2:$H$252,4,0)*H452,"")</f>
        <v>4.4744832</v>
      </c>
      <c r="J452" s="36"/>
      <c r="K452" s="25">
        <f>IFERROR(VLOOKUP(B452,DADOS!$A$2:$H$252,4,0)*J452,"")</f>
        <v>0</v>
      </c>
      <c r="L452" s="26">
        <f t="shared" ref="L452:L458" si="9">IFERROR(IF(C452="TAMBOR", $K$457/J452, $K$457/I452), "")
</f>
        <v>0</v>
      </c>
      <c r="M452" s="27"/>
      <c r="N452" s="30"/>
      <c r="O452" s="28"/>
      <c r="P452" s="28"/>
      <c r="Q452" s="28"/>
      <c r="R452" s="28"/>
      <c r="S452" s="28"/>
    </row>
    <row r="453">
      <c r="A453" s="17">
        <v>45506.0</v>
      </c>
      <c r="B453" s="18" t="s">
        <v>25</v>
      </c>
      <c r="C453" s="18" t="s">
        <v>19</v>
      </c>
      <c r="D453" s="19"/>
      <c r="E453" s="19"/>
      <c r="F453" s="20">
        <f t="shared" si="7"/>
        <v>0</v>
      </c>
      <c r="G453" s="21">
        <f>IFERROR(VLOOKUP(B453,DADOS!$A$2:$H$252,8,0),"")</f>
        <v>40</v>
      </c>
      <c r="H453" s="22">
        <v>30.0</v>
      </c>
      <c r="I453" s="23">
        <f>IFERROR(VLOOKUP(B453,DADOS!$A$2:$H$252,4,0)*H453,"")</f>
        <v>3.10728</v>
      </c>
      <c r="J453" s="36"/>
      <c r="K453" s="25">
        <f>IFERROR(VLOOKUP(B453,DADOS!$A$2:$H$252,4,0)*J453,"")</f>
        <v>0</v>
      </c>
      <c r="L453" s="26">
        <f t="shared" si="9"/>
        <v>0</v>
      </c>
      <c r="M453" s="27"/>
      <c r="N453" s="30"/>
      <c r="O453" s="28"/>
      <c r="P453" s="28"/>
      <c r="Q453" s="28"/>
      <c r="R453" s="28"/>
      <c r="S453" s="28"/>
    </row>
    <row r="454">
      <c r="A454" s="17">
        <v>45506.0</v>
      </c>
      <c r="B454" s="18" t="s">
        <v>25</v>
      </c>
      <c r="C454" s="18" t="s">
        <v>19</v>
      </c>
      <c r="D454" s="19"/>
      <c r="E454" s="19"/>
      <c r="F454" s="20">
        <f t="shared" si="7"/>
        <v>0</v>
      </c>
      <c r="G454" s="21">
        <f>IFERROR(VLOOKUP(B454,DADOS!$A$2:$H$252,8,0),"")</f>
        <v>40</v>
      </c>
      <c r="H454" s="22">
        <v>100.0</v>
      </c>
      <c r="I454" s="23">
        <f>IFERROR(VLOOKUP(B454,DADOS!$A$2:$H$252,4,0)*H454,"")</f>
        <v>10.3576</v>
      </c>
      <c r="J454" s="36"/>
      <c r="K454" s="25">
        <f>IFERROR(VLOOKUP(B454,DADOS!$A$2:$H$252,4,0)*J454,"")</f>
        <v>0</v>
      </c>
      <c r="L454" s="26">
        <f t="shared" si="9"/>
        <v>0</v>
      </c>
      <c r="M454" s="27"/>
      <c r="N454" s="30"/>
      <c r="O454" s="28"/>
      <c r="P454" s="28"/>
      <c r="Q454" s="28"/>
      <c r="R454" s="28"/>
      <c r="S454" s="28"/>
    </row>
    <row r="455">
      <c r="A455" s="17">
        <v>45506.0</v>
      </c>
      <c r="B455" s="18" t="s">
        <v>26</v>
      </c>
      <c r="C455" s="18" t="s">
        <v>19</v>
      </c>
      <c r="D455" s="19"/>
      <c r="E455" s="19"/>
      <c r="F455" s="20">
        <f t="shared" si="7"/>
        <v>0</v>
      </c>
      <c r="G455" s="21">
        <f>IFERROR(VLOOKUP(B455,DADOS!$A$2:$H$252,8,0),"")</f>
        <v>50</v>
      </c>
      <c r="H455" s="22">
        <v>135.0</v>
      </c>
      <c r="I455" s="23">
        <f>IFERROR(VLOOKUP(B455,DADOS!$A$2:$H$252,4,0)*H455,"")</f>
        <v>15.381036</v>
      </c>
      <c r="J455" s="36"/>
      <c r="K455" s="25">
        <f>IFERROR(VLOOKUP(B455,DADOS!$A$2:$H$252,4,0)*J455,"")</f>
        <v>0</v>
      </c>
      <c r="L455" s="26">
        <f t="shared" si="9"/>
        <v>0</v>
      </c>
      <c r="M455" s="27"/>
      <c r="N455" s="30"/>
      <c r="O455" s="28"/>
      <c r="P455" s="28"/>
      <c r="Q455" s="28"/>
      <c r="R455" s="28"/>
      <c r="S455" s="28"/>
    </row>
    <row r="456">
      <c r="A456" s="17">
        <v>45506.0</v>
      </c>
      <c r="B456" s="18" t="s">
        <v>24</v>
      </c>
      <c r="C456" s="18" t="s">
        <v>19</v>
      </c>
      <c r="D456" s="19"/>
      <c r="E456" s="19"/>
      <c r="F456" s="20">
        <f t="shared" si="7"/>
        <v>0</v>
      </c>
      <c r="G456" s="21">
        <f>IFERROR(VLOOKUP(B456,DADOS!$A$2:$H$252,8,0),"")</f>
        <v>37</v>
      </c>
      <c r="H456" s="22">
        <v>21.0</v>
      </c>
      <c r="I456" s="23">
        <f>IFERROR(VLOOKUP(B456,DADOS!$A$2:$H$252,4,0)*H456,"")</f>
        <v>2.3926056</v>
      </c>
      <c r="J456" s="36"/>
      <c r="K456" s="25">
        <f>IFERROR(VLOOKUP(B456,DADOS!$A$2:$H$252,4,0)*J456,"")</f>
        <v>0</v>
      </c>
      <c r="L456" s="26">
        <f t="shared" si="9"/>
        <v>0</v>
      </c>
      <c r="M456" s="27"/>
      <c r="N456" s="38"/>
      <c r="O456" s="28"/>
      <c r="P456" s="28"/>
      <c r="Q456" s="28"/>
      <c r="R456" s="28"/>
      <c r="S456" s="28"/>
    </row>
    <row r="457">
      <c r="A457" s="17">
        <v>45506.0</v>
      </c>
      <c r="B457" s="18" t="s">
        <v>56</v>
      </c>
      <c r="C457" s="18" t="s">
        <v>136</v>
      </c>
      <c r="D457" s="19"/>
      <c r="E457" s="19"/>
      <c r="F457" s="20">
        <f t="shared" si="7"/>
        <v>0</v>
      </c>
      <c r="G457" s="21">
        <f>IFERROR(VLOOKUP(B457,DADOS!$A$2:$H$252,8,0),"")</f>
        <v>162</v>
      </c>
      <c r="H457" s="22">
        <v>300.0</v>
      </c>
      <c r="I457" s="23">
        <f>IFERROR(VLOOKUP(B457,DADOS!$A$2:$H$252,4,0)*H457,"")</f>
        <v>2.889</v>
      </c>
      <c r="J457" s="36"/>
      <c r="K457" s="25">
        <f>IFERROR(VLOOKUP(B457,DADOS!$A$2:$H$252,4,0)*J457,"")</f>
        <v>0</v>
      </c>
      <c r="L457" s="26">
        <f t="shared" si="9"/>
        <v>0</v>
      </c>
      <c r="M457" s="27"/>
      <c r="N457" s="38"/>
      <c r="O457" s="28"/>
      <c r="P457" s="28"/>
      <c r="Q457" s="28"/>
      <c r="R457" s="28"/>
      <c r="S457" s="28"/>
    </row>
    <row r="458">
      <c r="A458" s="17">
        <v>45506.0</v>
      </c>
      <c r="B458" s="18" t="s">
        <v>37</v>
      </c>
      <c r="C458" s="18" t="s">
        <v>136</v>
      </c>
      <c r="D458" s="19"/>
      <c r="E458" s="19"/>
      <c r="F458" s="20">
        <f t="shared" si="7"/>
        <v>0</v>
      </c>
      <c r="G458" s="21" t="str">
        <f>IFERROR(VLOOKUP(B458,DADOS!$A$2:$H$252,8,0),"")</f>
        <v/>
      </c>
      <c r="H458" s="22">
        <v>200.0</v>
      </c>
      <c r="I458" s="23" t="str">
        <f>IFERROR(VLOOKUP(B458,DADOS!$A$2:$H$252,4,0)*H458,"")</f>
        <v/>
      </c>
      <c r="J458" s="36"/>
      <c r="K458" s="25" t="str">
        <f>IFERROR(VLOOKUP(B458,DADOS!$A$2:$H$252,4,0)*J458,"")</f>
        <v/>
      </c>
      <c r="L458" s="26" t="str">
        <f t="shared" si="9"/>
        <v/>
      </c>
      <c r="M458" s="27"/>
      <c r="N458" s="38"/>
      <c r="O458" s="28"/>
      <c r="P458" s="28"/>
      <c r="Q458" s="28"/>
      <c r="R458" s="28"/>
      <c r="S458" s="28"/>
    </row>
    <row r="459">
      <c r="A459" s="17">
        <v>45506.0</v>
      </c>
      <c r="B459" s="18" t="s">
        <v>16</v>
      </c>
      <c r="C459" s="18"/>
      <c r="D459" s="19"/>
      <c r="E459" s="19"/>
      <c r="F459" s="20">
        <f t="shared" si="7"/>
        <v>0</v>
      </c>
      <c r="G459" s="21">
        <f>IFERROR(VLOOKUP(B459,DADOS!$A$2:$H$252,8,0),"")</f>
        <v>150</v>
      </c>
      <c r="H459" s="22">
        <v>374.0</v>
      </c>
      <c r="I459" s="23">
        <f>IFERROR(VLOOKUP(B459,DADOS!$A$2:$H$252,4,0)*H459,"")</f>
        <v>10.8208672</v>
      </c>
      <c r="J459" s="24">
        <v>2.0</v>
      </c>
      <c r="K459" s="25">
        <f>IFERROR(VLOOKUP(B459,DADOS!$A$2:$H$252,4,0)*J459,"")</f>
        <v>0.0578656</v>
      </c>
      <c r="L459" s="26">
        <f>IFERROR(IF(C459="TAMBOR", K459/J459, K459/I459), "")
</f>
        <v>0.005347593583</v>
      </c>
      <c r="M459" s="27"/>
      <c r="N459" s="38"/>
      <c r="O459" s="28"/>
      <c r="P459" s="28"/>
      <c r="Q459" s="28"/>
      <c r="R459" s="28"/>
      <c r="S459" s="28"/>
    </row>
    <row r="460">
      <c r="A460" s="17">
        <v>45509.0</v>
      </c>
      <c r="B460" s="18" t="s">
        <v>25</v>
      </c>
      <c r="C460" s="18" t="s">
        <v>19</v>
      </c>
      <c r="D460" s="19"/>
      <c r="E460" s="19"/>
      <c r="F460" s="20">
        <f t="shared" si="7"/>
        <v>0</v>
      </c>
      <c r="G460" s="21">
        <f>IFERROR(VLOOKUP(B460,DADOS!$A$2:$H$252,8,0),"")</f>
        <v>40</v>
      </c>
      <c r="H460" s="22">
        <v>70.0</v>
      </c>
      <c r="I460" s="23">
        <f>IFERROR(VLOOKUP(B460,DADOS!$A$2:$H$252,4,0)*H460,"")</f>
        <v>7.25032</v>
      </c>
      <c r="J460" s="36"/>
      <c r="K460" s="25">
        <f>IFERROR(VLOOKUP(B460,DADOS!$A$2:$H$252,4,0)*J460,"")</f>
        <v>0</v>
      </c>
      <c r="L460" s="26">
        <f t="shared" ref="L460:L566" si="10">IFERROR(IF(C460="TAMBOR", $K$457/J460, $K$457/I460), "")
</f>
        <v>0</v>
      </c>
      <c r="M460" s="27"/>
      <c r="N460" s="38"/>
      <c r="O460" s="28"/>
      <c r="P460" s="28"/>
      <c r="Q460" s="28"/>
      <c r="R460" s="28"/>
      <c r="S460" s="28"/>
    </row>
    <row r="461">
      <c r="A461" s="17">
        <v>45509.0</v>
      </c>
      <c r="B461" s="18" t="s">
        <v>26</v>
      </c>
      <c r="C461" s="18" t="s">
        <v>19</v>
      </c>
      <c r="D461" s="19"/>
      <c r="E461" s="19"/>
      <c r="F461" s="20">
        <f t="shared" si="7"/>
        <v>0</v>
      </c>
      <c r="G461" s="21">
        <f>IFERROR(VLOOKUP(B461,DADOS!$A$2:$H$252,8,0),"")</f>
        <v>50</v>
      </c>
      <c r="H461" s="22">
        <v>100.0</v>
      </c>
      <c r="I461" s="23">
        <f>IFERROR(VLOOKUP(B461,DADOS!$A$2:$H$252,4,0)*H461,"")</f>
        <v>11.39336</v>
      </c>
      <c r="J461" s="36"/>
      <c r="K461" s="25">
        <f>IFERROR(VLOOKUP(B461,DADOS!$A$2:$H$252,4,0)*J461,"")</f>
        <v>0</v>
      </c>
      <c r="L461" s="26">
        <f t="shared" si="10"/>
        <v>0</v>
      </c>
      <c r="M461" s="27"/>
      <c r="N461" s="38"/>
      <c r="O461" s="28"/>
      <c r="P461" s="28"/>
      <c r="Q461" s="28"/>
      <c r="R461" s="28"/>
      <c r="S461" s="28"/>
    </row>
    <row r="462">
      <c r="A462" s="17">
        <v>45509.0</v>
      </c>
      <c r="B462" s="18" t="s">
        <v>74</v>
      </c>
      <c r="C462" s="18" t="s">
        <v>19</v>
      </c>
      <c r="D462" s="19"/>
      <c r="E462" s="19"/>
      <c r="F462" s="20">
        <f t="shared" si="7"/>
        <v>0</v>
      </c>
      <c r="G462" s="21">
        <f>IFERROR(VLOOKUP(B462,DADOS!$A$2:$H$252,8,0),"")</f>
        <v>60</v>
      </c>
      <c r="H462" s="22">
        <v>27.0</v>
      </c>
      <c r="I462" s="23">
        <f>IFERROR(VLOOKUP(B462,DADOS!$A$2:$H$252,4,0)*H462,"")</f>
        <v>37.44144</v>
      </c>
      <c r="J462" s="36"/>
      <c r="K462" s="25">
        <f>IFERROR(VLOOKUP(B462,DADOS!$A$2:$H$252,4,0)*J462,"")</f>
        <v>0</v>
      </c>
      <c r="L462" s="26">
        <f t="shared" si="10"/>
        <v>0</v>
      </c>
      <c r="M462" s="27"/>
      <c r="N462" s="38"/>
      <c r="O462" s="28"/>
      <c r="P462" s="28"/>
      <c r="Q462" s="28"/>
      <c r="R462" s="28"/>
      <c r="S462" s="28"/>
    </row>
    <row r="463">
      <c r="A463" s="17">
        <v>45509.0</v>
      </c>
      <c r="B463" s="18" t="s">
        <v>72</v>
      </c>
      <c r="C463" s="18" t="s">
        <v>19</v>
      </c>
      <c r="D463" s="19"/>
      <c r="E463" s="19"/>
      <c r="F463" s="20">
        <f t="shared" si="7"/>
        <v>0</v>
      </c>
      <c r="G463" s="21">
        <f>IFERROR(VLOOKUP(B463,DADOS!$A$2:$H$252,8,0),"")</f>
        <v>43</v>
      </c>
      <c r="H463" s="22">
        <v>97.0</v>
      </c>
      <c r="I463" s="23">
        <f>IFERROR(VLOOKUP(B463,DADOS!$A$2:$H$252,4,0)*H463,"")</f>
        <v>1.66064</v>
      </c>
      <c r="J463" s="24">
        <v>3.0</v>
      </c>
      <c r="K463" s="25">
        <f>IFERROR(VLOOKUP(B463,DADOS!$A$2:$H$252,4,0)*J463,"")</f>
        <v>0.05136</v>
      </c>
      <c r="L463" s="26">
        <f t="shared" si="10"/>
        <v>0</v>
      </c>
      <c r="M463" s="27"/>
      <c r="N463" s="38"/>
      <c r="O463" s="28"/>
      <c r="P463" s="28"/>
      <c r="Q463" s="28"/>
      <c r="R463" s="28"/>
      <c r="S463" s="28"/>
    </row>
    <row r="464">
      <c r="A464" s="17">
        <v>45509.0</v>
      </c>
      <c r="B464" s="18" t="s">
        <v>51</v>
      </c>
      <c r="C464" s="18" t="s">
        <v>19</v>
      </c>
      <c r="D464" s="19"/>
      <c r="E464" s="19"/>
      <c r="F464" s="20">
        <f t="shared" si="7"/>
        <v>0</v>
      </c>
      <c r="G464" s="21">
        <f>IFERROR(VLOOKUP(B464,DADOS!$A$2:$H$252,8,0),"")</f>
        <v>28</v>
      </c>
      <c r="H464" s="22">
        <v>9.0</v>
      </c>
      <c r="I464" s="23">
        <f>IFERROR(VLOOKUP(B464,DADOS!$A$2:$H$252,4,0)*H464,"")</f>
        <v>1.0254024</v>
      </c>
      <c r="J464" s="24">
        <v>4.0</v>
      </c>
      <c r="K464" s="25">
        <f>IFERROR(VLOOKUP(B464,DADOS!$A$2:$H$252,4,0)*J464,"")</f>
        <v>0.4557344</v>
      </c>
      <c r="L464" s="26">
        <f t="shared" si="10"/>
        <v>0</v>
      </c>
      <c r="M464" s="27"/>
      <c r="N464" s="38"/>
      <c r="O464" s="28"/>
      <c r="P464" s="28"/>
      <c r="Q464" s="28"/>
      <c r="R464" s="28"/>
      <c r="S464" s="28"/>
    </row>
    <row r="465">
      <c r="A465" s="17">
        <v>45509.0</v>
      </c>
      <c r="B465" s="18" t="s">
        <v>96</v>
      </c>
      <c r="C465" s="18" t="s">
        <v>19</v>
      </c>
      <c r="D465" s="19"/>
      <c r="E465" s="19"/>
      <c r="F465" s="20">
        <f t="shared" si="7"/>
        <v>0</v>
      </c>
      <c r="G465" s="21">
        <f>IFERROR(VLOOKUP(B465,DADOS!$A$2:$H$252,8,0),"")</f>
        <v>27</v>
      </c>
      <c r="H465" s="22">
        <v>58.0</v>
      </c>
      <c r="I465" s="23">
        <f>IFERROR(VLOOKUP(B465,DADOS!$A$2:$H$252,4,0)*H465,"")</f>
        <v>5.46128</v>
      </c>
      <c r="J465" s="36"/>
      <c r="K465" s="25">
        <f>IFERROR(VLOOKUP(B465,DADOS!$A$2:$H$252,4,0)*J465,"")</f>
        <v>0</v>
      </c>
      <c r="L465" s="26">
        <f t="shared" si="10"/>
        <v>0</v>
      </c>
      <c r="M465" s="27"/>
      <c r="N465" s="38"/>
      <c r="O465" s="28"/>
      <c r="P465" s="28"/>
      <c r="Q465" s="28"/>
      <c r="R465" s="28"/>
      <c r="S465" s="28"/>
    </row>
    <row r="466">
      <c r="A466" s="17">
        <v>45510.0</v>
      </c>
      <c r="B466" s="18" t="s">
        <v>74</v>
      </c>
      <c r="C466" s="18" t="s">
        <v>17</v>
      </c>
      <c r="D466" s="19"/>
      <c r="E466" s="19"/>
      <c r="F466" s="20">
        <f t="shared" si="7"/>
        <v>0</v>
      </c>
      <c r="G466" s="21">
        <f>IFERROR(VLOOKUP(B466,DADOS!$A$2:$H$252,8,0),"")</f>
        <v>60</v>
      </c>
      <c r="H466" s="22">
        <v>115.0</v>
      </c>
      <c r="I466" s="23"/>
      <c r="J466" s="36"/>
      <c r="K466" s="25"/>
      <c r="L466" s="26" t="str">
        <f t="shared" si="10"/>
        <v/>
      </c>
      <c r="M466" s="27"/>
      <c r="N466" s="38"/>
      <c r="O466" s="28"/>
      <c r="P466" s="28"/>
      <c r="Q466" s="28"/>
      <c r="R466" s="28"/>
      <c r="S466" s="28"/>
    </row>
    <row r="467">
      <c r="A467" s="17">
        <v>45510.0</v>
      </c>
      <c r="B467" s="18" t="s">
        <v>96</v>
      </c>
      <c r="C467" s="18" t="s">
        <v>19</v>
      </c>
      <c r="D467" s="19"/>
      <c r="E467" s="19"/>
      <c r="F467" s="20">
        <f t="shared" si="7"/>
        <v>0</v>
      </c>
      <c r="G467" s="21">
        <f>IFERROR(VLOOKUP(B467,DADOS!$A$2:$H$252,8,0),"")</f>
        <v>27</v>
      </c>
      <c r="H467" s="22">
        <v>73.0</v>
      </c>
      <c r="I467" s="23">
        <f>IFERROR(VLOOKUP(B467,DADOS!$A$2:$H$252,4,0)*H467,"")</f>
        <v>6.87368</v>
      </c>
      <c r="J467" s="36"/>
      <c r="K467" s="25">
        <f>IFERROR(VLOOKUP(B467,DADOS!$A$2:$H$252,4,0)*J467,"")</f>
        <v>0</v>
      </c>
      <c r="L467" s="26">
        <f t="shared" si="10"/>
        <v>0</v>
      </c>
      <c r="M467" s="27"/>
      <c r="N467" s="38"/>
      <c r="O467" s="28"/>
      <c r="P467" s="28"/>
      <c r="Q467" s="28"/>
      <c r="R467" s="28"/>
      <c r="S467" s="28"/>
    </row>
    <row r="468">
      <c r="A468" s="17">
        <v>45510.0</v>
      </c>
      <c r="B468" s="18" t="s">
        <v>109</v>
      </c>
      <c r="C468" s="18" t="s">
        <v>19</v>
      </c>
      <c r="D468" s="19"/>
      <c r="E468" s="19"/>
      <c r="F468" s="20">
        <f t="shared" si="7"/>
        <v>0</v>
      </c>
      <c r="G468" s="21" t="str">
        <f>IFERROR(VLOOKUP(B468,DADOS!$A$2:$H$252,8,0),"")</f>
        <v/>
      </c>
      <c r="H468" s="22">
        <v>60.0</v>
      </c>
      <c r="I468" s="23" t="str">
        <f>IFERROR(VLOOKUP(B468,DADOS!$A$2:$H$252,4,0)*H468,"")</f>
        <v/>
      </c>
      <c r="J468" s="36"/>
      <c r="K468" s="25" t="str">
        <f>IFERROR(VLOOKUP(B468,DADOS!$A$2:$H$252,4,0)*J468,"")</f>
        <v/>
      </c>
      <c r="L468" s="26" t="str">
        <f t="shared" si="10"/>
        <v/>
      </c>
      <c r="M468" s="27"/>
      <c r="N468" s="38"/>
      <c r="O468" s="28"/>
      <c r="P468" s="28"/>
      <c r="Q468" s="28"/>
      <c r="R468" s="28"/>
      <c r="S468" s="28"/>
    </row>
    <row r="469">
      <c r="A469" s="17">
        <v>45510.0</v>
      </c>
      <c r="B469" s="18" t="s">
        <v>51</v>
      </c>
      <c r="C469" s="18" t="s">
        <v>19</v>
      </c>
      <c r="D469" s="19"/>
      <c r="E469" s="19"/>
      <c r="F469" s="20">
        <f t="shared" si="7"/>
        <v>0</v>
      </c>
      <c r="G469" s="21">
        <f>IFERROR(VLOOKUP(B469,DADOS!$A$2:$H$252,8,0),"")</f>
        <v>28</v>
      </c>
      <c r="H469" s="22">
        <v>27.0</v>
      </c>
      <c r="I469" s="23">
        <f>IFERROR(VLOOKUP(B469,DADOS!$A$2:$H$252,4,0)*H469,"")</f>
        <v>3.0762072</v>
      </c>
      <c r="J469" s="24">
        <v>1.0</v>
      </c>
      <c r="K469" s="25">
        <f>IFERROR(VLOOKUP(B469,DADOS!$A$2:$H$252,4,0)*J469,"")</f>
        <v>0.1139336</v>
      </c>
      <c r="L469" s="26">
        <f t="shared" si="10"/>
        <v>0</v>
      </c>
      <c r="M469" s="27"/>
      <c r="N469" s="38"/>
      <c r="O469" s="28"/>
      <c r="P469" s="28"/>
      <c r="Q469" s="28"/>
      <c r="R469" s="28"/>
      <c r="S469" s="28"/>
    </row>
    <row r="470">
      <c r="A470" s="17">
        <v>45510.0</v>
      </c>
      <c r="B470" s="18" t="s">
        <v>74</v>
      </c>
      <c r="C470" s="18" t="s">
        <v>19</v>
      </c>
      <c r="D470" s="19"/>
      <c r="E470" s="19"/>
      <c r="F470" s="20">
        <f t="shared" si="7"/>
        <v>0</v>
      </c>
      <c r="G470" s="21">
        <f>IFERROR(VLOOKUP(B470,DADOS!$A$2:$H$252,8,0),"")</f>
        <v>60</v>
      </c>
      <c r="H470" s="22">
        <v>6.0</v>
      </c>
      <c r="I470" s="23">
        <f>IFERROR(VLOOKUP(B470,DADOS!$A$2:$H$252,4,0)*H470,"")</f>
        <v>8.32032</v>
      </c>
      <c r="J470" s="36"/>
      <c r="K470" s="25">
        <f>IFERROR(VLOOKUP(B470,DADOS!$A$2:$H$252,4,0)*J470,"")</f>
        <v>0</v>
      </c>
      <c r="L470" s="26">
        <f t="shared" si="10"/>
        <v>0</v>
      </c>
      <c r="M470" s="27"/>
      <c r="N470" s="38"/>
      <c r="O470" s="28"/>
      <c r="P470" s="28"/>
      <c r="Q470" s="28"/>
      <c r="R470" s="28"/>
      <c r="S470" s="28"/>
    </row>
    <row r="471">
      <c r="A471" s="17">
        <v>45510.0</v>
      </c>
      <c r="B471" s="18" t="s">
        <v>137</v>
      </c>
      <c r="C471" s="18" t="s">
        <v>19</v>
      </c>
      <c r="D471" s="19"/>
      <c r="E471" s="19"/>
      <c r="F471" s="20">
        <f t="shared" si="7"/>
        <v>0</v>
      </c>
      <c r="G471" s="21">
        <f>IFERROR(VLOOKUP(B471,DADOS!$A$2:$H$252,8,0),"")</f>
        <v>12</v>
      </c>
      <c r="H471" s="22">
        <v>3.0</v>
      </c>
      <c r="I471" s="23">
        <f>IFERROR(VLOOKUP(B471,DADOS!$A$2:$H$252,4,0)*H471,"")</f>
        <v>0.3418008</v>
      </c>
      <c r="J471" s="36"/>
      <c r="K471" s="25">
        <f>IFERROR(VLOOKUP(B471,DADOS!$A$2:$H$252,4,0)*J471,"")</f>
        <v>0</v>
      </c>
      <c r="L471" s="26">
        <f t="shared" si="10"/>
        <v>0</v>
      </c>
      <c r="M471" s="27"/>
      <c r="N471" s="38"/>
      <c r="O471" s="28"/>
      <c r="P471" s="28"/>
      <c r="Q471" s="28"/>
      <c r="R471" s="28"/>
      <c r="S471" s="28"/>
    </row>
    <row r="472">
      <c r="A472" s="17">
        <v>45510.0</v>
      </c>
      <c r="B472" s="18" t="s">
        <v>138</v>
      </c>
      <c r="C472" s="18" t="s">
        <v>23</v>
      </c>
      <c r="D472" s="19"/>
      <c r="E472" s="19"/>
      <c r="F472" s="20">
        <f t="shared" si="7"/>
        <v>0</v>
      </c>
      <c r="G472" s="21">
        <f>IFERROR(VLOOKUP(B472,DADOS!$A$2:$H$252,8,0),"")</f>
        <v>15</v>
      </c>
      <c r="H472" s="22">
        <v>39.0</v>
      </c>
      <c r="I472" s="23"/>
      <c r="J472" s="36"/>
      <c r="K472" s="25"/>
      <c r="L472" s="26" t="str">
        <f t="shared" si="10"/>
        <v/>
      </c>
      <c r="M472" s="27"/>
      <c r="N472" s="38"/>
      <c r="O472" s="28"/>
      <c r="P472" s="28"/>
      <c r="Q472" s="28"/>
      <c r="R472" s="28"/>
      <c r="S472" s="28"/>
    </row>
    <row r="473">
      <c r="A473" s="17">
        <v>45511.0</v>
      </c>
      <c r="B473" s="18" t="s">
        <v>79</v>
      </c>
      <c r="C473" s="18" t="s">
        <v>17</v>
      </c>
      <c r="D473" s="19"/>
      <c r="E473" s="19"/>
      <c r="F473" s="20">
        <f t="shared" si="7"/>
        <v>0</v>
      </c>
      <c r="G473" s="21">
        <f>IFERROR(VLOOKUP(B473,DADOS!$A$2:$H$252,8,0),"")</f>
        <v>87</v>
      </c>
      <c r="H473" s="22">
        <v>6.0</v>
      </c>
      <c r="I473" s="23"/>
      <c r="J473" s="24">
        <v>1.0</v>
      </c>
      <c r="K473" s="25"/>
      <c r="L473" s="26" t="str">
        <f t="shared" si="10"/>
        <v/>
      </c>
      <c r="M473" s="27"/>
      <c r="N473" s="38"/>
      <c r="O473" s="28"/>
      <c r="P473" s="28"/>
      <c r="Q473" s="28"/>
      <c r="R473" s="28"/>
      <c r="S473" s="28"/>
    </row>
    <row r="474">
      <c r="A474" s="17">
        <v>45511.0</v>
      </c>
      <c r="B474" s="18" t="s">
        <v>137</v>
      </c>
      <c r="C474" s="18" t="s">
        <v>19</v>
      </c>
      <c r="D474" s="19"/>
      <c r="E474" s="19"/>
      <c r="F474" s="20">
        <f t="shared" si="7"/>
        <v>0</v>
      </c>
      <c r="G474" s="21">
        <f>IFERROR(VLOOKUP(B474,DADOS!$A$2:$H$252,8,0),"")</f>
        <v>12</v>
      </c>
      <c r="H474" s="22">
        <v>20.0</v>
      </c>
      <c r="I474" s="23">
        <f>IFERROR(VLOOKUP(B474,DADOS!$A$2:$H$252,4,0)*H474,"")</f>
        <v>2.278672</v>
      </c>
      <c r="J474" s="24">
        <v>14.0</v>
      </c>
      <c r="K474" s="25">
        <f>IFERROR(VLOOKUP(B474,DADOS!$A$2:$H$252,4,0)*J474,"")</f>
        <v>1.5950704</v>
      </c>
      <c r="L474" s="26">
        <f t="shared" si="10"/>
        <v>0</v>
      </c>
      <c r="M474" s="30" t="s">
        <v>39</v>
      </c>
      <c r="N474" s="39" t="s">
        <v>120</v>
      </c>
      <c r="O474" s="28"/>
      <c r="P474" s="28"/>
      <c r="Q474" s="28"/>
      <c r="R474" s="28"/>
      <c r="S474" s="28"/>
    </row>
    <row r="475">
      <c r="A475" s="17">
        <v>45511.0</v>
      </c>
      <c r="B475" s="18" t="s">
        <v>41</v>
      </c>
      <c r="C475" s="18" t="s">
        <v>19</v>
      </c>
      <c r="D475" s="19"/>
      <c r="E475" s="19"/>
      <c r="F475" s="20">
        <f t="shared" si="7"/>
        <v>0</v>
      </c>
      <c r="G475" s="21">
        <f>IFERROR(VLOOKUP(B475,DADOS!$A$2:$H$252,8,0),"")</f>
        <v>14</v>
      </c>
      <c r="H475" s="22">
        <v>38.0</v>
      </c>
      <c r="I475" s="23">
        <f>IFERROR(VLOOKUP(B475,DADOS!$A$2:$H$252,4,0)*H475,"")</f>
        <v>10.539072</v>
      </c>
      <c r="J475" s="24">
        <v>1.0</v>
      </c>
      <c r="K475" s="25">
        <f>IFERROR(VLOOKUP(B475,DADOS!$A$2:$H$252,4,0)*J475,"")</f>
        <v>0.277344</v>
      </c>
      <c r="L475" s="26">
        <f t="shared" si="10"/>
        <v>0</v>
      </c>
      <c r="M475" s="27"/>
      <c r="N475" s="38"/>
      <c r="O475" s="28"/>
      <c r="P475" s="28"/>
      <c r="Q475" s="28"/>
      <c r="R475" s="28"/>
      <c r="S475" s="28"/>
    </row>
    <row r="476">
      <c r="A476" s="17">
        <v>45511.0</v>
      </c>
      <c r="B476" s="18" t="s">
        <v>22</v>
      </c>
      <c r="C476" s="18" t="s">
        <v>23</v>
      </c>
      <c r="D476" s="19"/>
      <c r="E476" s="19"/>
      <c r="F476" s="20">
        <f t="shared" si="7"/>
        <v>0</v>
      </c>
      <c r="G476" s="21">
        <f>IFERROR(VLOOKUP(B476,DADOS!$A$2:$H$252,8,0),"")</f>
        <v>15</v>
      </c>
      <c r="H476" s="22">
        <v>18.0</v>
      </c>
      <c r="I476" s="23"/>
      <c r="J476" s="36"/>
      <c r="K476" s="25"/>
      <c r="L476" s="26" t="str">
        <f t="shared" si="10"/>
        <v/>
      </c>
      <c r="M476" s="27"/>
      <c r="N476" s="38"/>
      <c r="O476" s="28"/>
      <c r="P476" s="28"/>
      <c r="Q476" s="28"/>
      <c r="R476" s="28"/>
      <c r="S476" s="28"/>
    </row>
    <row r="477">
      <c r="A477" s="17">
        <v>45511.0</v>
      </c>
      <c r="B477" s="18" t="s">
        <v>100</v>
      </c>
      <c r="C477" s="18"/>
      <c r="D477" s="19"/>
      <c r="E477" s="19"/>
      <c r="F477" s="20">
        <f t="shared" si="7"/>
        <v>0</v>
      </c>
      <c r="G477" s="21">
        <f>IFERROR(VLOOKUP(B477,DADOS!$A$2:$H$252,8,0),"")</f>
        <v>15</v>
      </c>
      <c r="H477" s="22"/>
      <c r="I477" s="23"/>
      <c r="J477" s="36">
        <v>1.0</v>
      </c>
      <c r="K477" s="25">
        <f>IFERROR(VLOOKUP(B477,DADOS!$A$2:$H$252,4,0)*J477,"")</f>
        <v>0.1479168</v>
      </c>
      <c r="L477" s="26" t="str">
        <f t="shared" si="10"/>
        <v/>
      </c>
      <c r="M477" s="27" t="s">
        <v>39</v>
      </c>
      <c r="N477" s="33" t="s">
        <v>84</v>
      </c>
      <c r="O477" s="28"/>
      <c r="P477" s="28"/>
      <c r="Q477" s="28"/>
      <c r="R477" s="28"/>
      <c r="S477" s="28"/>
    </row>
    <row r="478">
      <c r="A478" s="17">
        <v>45511.0</v>
      </c>
      <c r="B478" s="18" t="s">
        <v>44</v>
      </c>
      <c r="C478" s="18"/>
      <c r="D478" s="19"/>
      <c r="E478" s="19"/>
      <c r="F478" s="20">
        <f t="shared" si="7"/>
        <v>0</v>
      </c>
      <c r="G478" s="21">
        <f>IFERROR(VLOOKUP(B478,DADOS!$A$2:$H$252,8,0),"")</f>
        <v>15</v>
      </c>
      <c r="H478" s="22"/>
      <c r="I478" s="23"/>
      <c r="J478" s="36">
        <v>1.0</v>
      </c>
      <c r="K478" s="25">
        <f>IFERROR(VLOOKUP(B478,DADOS!$A$2:$H$252,4,0)*J478,"")</f>
        <v>0.1845536</v>
      </c>
      <c r="L478" s="26" t="str">
        <f t="shared" si="10"/>
        <v/>
      </c>
      <c r="M478" s="27" t="s">
        <v>39</v>
      </c>
      <c r="N478" s="33" t="s">
        <v>102</v>
      </c>
      <c r="O478" s="28"/>
      <c r="P478" s="28"/>
      <c r="Q478" s="28"/>
      <c r="R478" s="28"/>
      <c r="S478" s="28"/>
    </row>
    <row r="479">
      <c r="A479" s="17">
        <v>45511.0</v>
      </c>
      <c r="B479" s="18" t="s">
        <v>16</v>
      </c>
      <c r="C479" s="18"/>
      <c r="D479" s="19"/>
      <c r="E479" s="19"/>
      <c r="F479" s="20">
        <f t="shared" si="7"/>
        <v>0</v>
      </c>
      <c r="G479" s="21">
        <f>IFERROR(VLOOKUP(B479,DADOS!$A$2:$H$252,8,0),"")</f>
        <v>150</v>
      </c>
      <c r="H479" s="22"/>
      <c r="I479" s="23"/>
      <c r="J479" s="36">
        <v>1.0</v>
      </c>
      <c r="K479" s="25">
        <f>IFERROR(VLOOKUP(B479,DADOS!$A$2:$H$252,4,0)*J479,"")</f>
        <v>0.0289328</v>
      </c>
      <c r="L479" s="26" t="str">
        <f t="shared" si="10"/>
        <v/>
      </c>
      <c r="M479" s="27" t="s">
        <v>39</v>
      </c>
      <c r="N479" s="33" t="s">
        <v>85</v>
      </c>
      <c r="O479" s="28"/>
      <c r="P479" s="28"/>
      <c r="Q479" s="28"/>
      <c r="R479" s="28"/>
      <c r="S479" s="28"/>
    </row>
    <row r="480">
      <c r="A480" s="17">
        <v>45511.0</v>
      </c>
      <c r="B480" s="18" t="s">
        <v>139</v>
      </c>
      <c r="C480" s="18"/>
      <c r="D480" s="19"/>
      <c r="E480" s="19"/>
      <c r="F480" s="20">
        <f t="shared" si="7"/>
        <v>0</v>
      </c>
      <c r="G480" s="21" t="str">
        <f>IFERROR(VLOOKUP(B480,DADOS!$A$2:$H$252,8,0),"")</f>
        <v/>
      </c>
      <c r="H480" s="22"/>
      <c r="I480" s="23"/>
      <c r="J480" s="36">
        <v>1.0</v>
      </c>
      <c r="K480" s="25">
        <f>IFERROR(VLOOKUP(B480,DADOS!$A$2:$H$252,4,0)*J480,"")</f>
        <v>0</v>
      </c>
      <c r="L480" s="26" t="str">
        <f t="shared" si="10"/>
        <v/>
      </c>
      <c r="M480" s="27" t="s">
        <v>83</v>
      </c>
      <c r="N480" s="33" t="s">
        <v>85</v>
      </c>
      <c r="O480" s="28"/>
      <c r="P480" s="28"/>
      <c r="Q480" s="28"/>
      <c r="R480" s="28"/>
      <c r="S480" s="28"/>
    </row>
    <row r="481">
      <c r="A481" s="17">
        <v>45511.0</v>
      </c>
      <c r="B481" s="18" t="s">
        <v>140</v>
      </c>
      <c r="C481" s="18"/>
      <c r="D481" s="19"/>
      <c r="E481" s="19"/>
      <c r="F481" s="20">
        <f t="shared" si="7"/>
        <v>0</v>
      </c>
      <c r="G481" s="21" t="str">
        <f>IFERROR(VLOOKUP(B481,DADOS!$A$2:$H$252,8,0),"")</f>
        <v/>
      </c>
      <c r="H481" s="22"/>
      <c r="I481" s="23"/>
      <c r="J481" s="36">
        <v>1.0</v>
      </c>
      <c r="K481" s="25">
        <f>IFERROR(VLOOKUP(B481,DADOS!$A$2:$H$252,4,0)*J481,"")</f>
        <v>0</v>
      </c>
      <c r="L481" s="26" t="str">
        <f t="shared" si="10"/>
        <v/>
      </c>
      <c r="M481" s="27" t="s">
        <v>83</v>
      </c>
      <c r="N481" s="33" t="s">
        <v>85</v>
      </c>
      <c r="O481" s="28"/>
      <c r="P481" s="28"/>
      <c r="Q481" s="28"/>
      <c r="R481" s="28"/>
      <c r="S481" s="28"/>
    </row>
    <row r="482">
      <c r="A482" s="17">
        <v>45511.0</v>
      </c>
      <c r="B482" s="18" t="s">
        <v>92</v>
      </c>
      <c r="C482" s="18"/>
      <c r="D482" s="19"/>
      <c r="E482" s="19"/>
      <c r="F482" s="20">
        <f t="shared" si="7"/>
        <v>0</v>
      </c>
      <c r="G482" s="21">
        <f>IFERROR(VLOOKUP(B482,DADOS!$A$2:$H$252,8,0),"")</f>
        <v>100</v>
      </c>
      <c r="H482" s="22"/>
      <c r="I482" s="23"/>
      <c r="J482" s="36">
        <v>2.0</v>
      </c>
      <c r="K482" s="25">
        <f>IFERROR(VLOOKUP(B482,DADOS!$A$2:$H$252,4,0)*J482,"")</f>
        <v>0.0506324</v>
      </c>
      <c r="L482" s="26" t="str">
        <f t="shared" si="10"/>
        <v/>
      </c>
      <c r="M482" s="27" t="s">
        <v>39</v>
      </c>
      <c r="N482" s="33" t="s">
        <v>90</v>
      </c>
      <c r="O482" s="28"/>
      <c r="P482" s="28"/>
      <c r="Q482" s="28"/>
      <c r="R482" s="28"/>
      <c r="S482" s="28"/>
    </row>
    <row r="483">
      <c r="A483" s="17">
        <v>45511.0</v>
      </c>
      <c r="B483" s="18" t="s">
        <v>119</v>
      </c>
      <c r="C483" s="18"/>
      <c r="D483" s="19"/>
      <c r="E483" s="19"/>
      <c r="F483" s="20">
        <f t="shared" si="7"/>
        <v>0</v>
      </c>
      <c r="G483" s="21">
        <f>IFERROR(VLOOKUP(B483,DADOS!$A$2:$H$252,8,0),"")</f>
        <v>25</v>
      </c>
      <c r="H483" s="22"/>
      <c r="I483" s="23"/>
      <c r="J483" s="36">
        <v>1.0</v>
      </c>
      <c r="K483" s="25">
        <f>IFERROR(VLOOKUP(B483,DADOS!$A$2:$H$252,4,0)*J483,"")</f>
        <v>0.1301976</v>
      </c>
      <c r="L483" s="26" t="str">
        <f t="shared" si="10"/>
        <v/>
      </c>
      <c r="M483" s="27" t="s">
        <v>39</v>
      </c>
      <c r="N483" s="33" t="s">
        <v>86</v>
      </c>
      <c r="O483" s="28"/>
      <c r="P483" s="28"/>
      <c r="Q483" s="28"/>
      <c r="R483" s="28"/>
      <c r="S483" s="28"/>
    </row>
    <row r="484">
      <c r="A484" s="17">
        <v>45511.0</v>
      </c>
      <c r="B484" s="18" t="s">
        <v>31</v>
      </c>
      <c r="C484" s="18"/>
      <c r="D484" s="19"/>
      <c r="E484" s="19"/>
      <c r="F484" s="20">
        <f t="shared" si="7"/>
        <v>0</v>
      </c>
      <c r="G484" s="21">
        <f>IFERROR(VLOOKUP(B484,DADOS!$A$2:$H$252,8,0),"")</f>
        <v>10</v>
      </c>
      <c r="H484" s="22"/>
      <c r="I484" s="23"/>
      <c r="J484" s="36">
        <v>1.0</v>
      </c>
      <c r="K484" s="25">
        <f>IFERROR(VLOOKUP(B484,DADOS!$A$2:$H$252,4,0)*J484,"")</f>
        <v>0.1355904</v>
      </c>
      <c r="L484" s="26" t="str">
        <f t="shared" si="10"/>
        <v/>
      </c>
      <c r="M484" s="27" t="s">
        <v>39</v>
      </c>
      <c r="N484" s="33" t="s">
        <v>86</v>
      </c>
      <c r="O484" s="28"/>
      <c r="P484" s="28"/>
      <c r="Q484" s="28"/>
      <c r="R484" s="28"/>
      <c r="S484" s="28"/>
    </row>
    <row r="485">
      <c r="A485" s="17">
        <v>45511.0</v>
      </c>
      <c r="B485" s="18" t="s">
        <v>105</v>
      </c>
      <c r="C485" s="18"/>
      <c r="D485" s="19"/>
      <c r="E485" s="19"/>
      <c r="F485" s="20">
        <f t="shared" si="7"/>
        <v>0</v>
      </c>
      <c r="G485" s="21">
        <f>IFERROR(VLOOKUP(B485,DADOS!$A$2:$H$252,8,0),"")</f>
        <v>18</v>
      </c>
      <c r="H485" s="22"/>
      <c r="I485" s="23"/>
      <c r="J485" s="36">
        <v>1.0</v>
      </c>
      <c r="K485" s="25">
        <f>IFERROR(VLOOKUP(B485,DADOS!$A$2:$H$252,4,0)*J485,"")</f>
        <v>0.0849794</v>
      </c>
      <c r="L485" s="26" t="str">
        <f t="shared" si="10"/>
        <v/>
      </c>
      <c r="M485" s="27" t="s">
        <v>39</v>
      </c>
      <c r="N485" s="33" t="s">
        <v>86</v>
      </c>
      <c r="O485" s="28"/>
      <c r="P485" s="28"/>
      <c r="Q485" s="28"/>
      <c r="R485" s="28"/>
      <c r="S485" s="28"/>
    </row>
    <row r="486">
      <c r="A486" s="17">
        <v>45511.0</v>
      </c>
      <c r="B486" s="18" t="s">
        <v>18</v>
      </c>
      <c r="C486" s="18"/>
      <c r="D486" s="19"/>
      <c r="E486" s="19"/>
      <c r="F486" s="20">
        <f t="shared" si="7"/>
        <v>0</v>
      </c>
      <c r="G486" s="21">
        <f>IFERROR(VLOOKUP(B486,DADOS!$A$2:$H$252,8,0),"")</f>
        <v>21</v>
      </c>
      <c r="H486" s="22"/>
      <c r="I486" s="23"/>
      <c r="J486" s="36">
        <v>1.0</v>
      </c>
      <c r="K486" s="25">
        <f>IFERROR(VLOOKUP(B486,DADOS!$A$2:$H$252,4,0)*J486,"")</f>
        <v>0.292966</v>
      </c>
      <c r="L486" s="26" t="str">
        <f t="shared" si="10"/>
        <v/>
      </c>
      <c r="M486" s="27" t="s">
        <v>39</v>
      </c>
      <c r="N486" s="33" t="s">
        <v>86</v>
      </c>
      <c r="O486" s="28"/>
      <c r="P486" s="28"/>
      <c r="Q486" s="28"/>
      <c r="R486" s="28"/>
      <c r="S486" s="28"/>
    </row>
    <row r="487">
      <c r="A487" s="17">
        <v>45511.0</v>
      </c>
      <c r="B487" s="18" t="s">
        <v>117</v>
      </c>
      <c r="C487" s="18"/>
      <c r="D487" s="19"/>
      <c r="E487" s="19"/>
      <c r="F487" s="20">
        <f t="shared" si="7"/>
        <v>0</v>
      </c>
      <c r="G487" s="21">
        <f>IFERROR(VLOOKUP(B487,DADOS!$A$2:$H$252,8,0),"")</f>
        <v>12</v>
      </c>
      <c r="H487" s="22"/>
      <c r="I487" s="23"/>
      <c r="J487" s="36">
        <v>1.0</v>
      </c>
      <c r="K487" s="25">
        <f>IFERROR(VLOOKUP(B487,DADOS!$A$2:$H$252,4,0)*J487,"")</f>
        <v>0.2181088</v>
      </c>
      <c r="L487" s="26" t="str">
        <f t="shared" si="10"/>
        <v/>
      </c>
      <c r="M487" s="27" t="s">
        <v>39</v>
      </c>
      <c r="N487" s="33" t="s">
        <v>86</v>
      </c>
      <c r="O487" s="28"/>
      <c r="P487" s="28"/>
      <c r="Q487" s="28"/>
      <c r="R487" s="28"/>
      <c r="S487" s="28"/>
    </row>
    <row r="488">
      <c r="A488" s="17">
        <v>45511.0</v>
      </c>
      <c r="B488" s="18" t="s">
        <v>26</v>
      </c>
      <c r="C488" s="18"/>
      <c r="D488" s="19"/>
      <c r="E488" s="19"/>
      <c r="F488" s="20">
        <f t="shared" si="7"/>
        <v>0</v>
      </c>
      <c r="G488" s="21">
        <f>IFERROR(VLOOKUP(B488,DADOS!$A$2:$H$252,8,0),"")</f>
        <v>50</v>
      </c>
      <c r="H488" s="22"/>
      <c r="I488" s="23"/>
      <c r="J488" s="36">
        <v>1.0</v>
      </c>
      <c r="K488" s="25">
        <f>IFERROR(VLOOKUP(B488,DADOS!$A$2:$H$252,4,0)*J488,"")</f>
        <v>0.1139336</v>
      </c>
      <c r="L488" s="26" t="str">
        <f t="shared" si="10"/>
        <v/>
      </c>
      <c r="M488" s="27" t="s">
        <v>39</v>
      </c>
      <c r="N488" s="33" t="s">
        <v>86</v>
      </c>
      <c r="O488" s="28"/>
      <c r="P488" s="28"/>
      <c r="Q488" s="28"/>
      <c r="R488" s="28"/>
      <c r="S488" s="28"/>
    </row>
    <row r="489">
      <c r="A489" s="17">
        <v>45511.0</v>
      </c>
      <c r="B489" s="18" t="s">
        <v>113</v>
      </c>
      <c r="C489" s="18"/>
      <c r="D489" s="19"/>
      <c r="E489" s="19"/>
      <c r="F489" s="20">
        <f t="shared" si="7"/>
        <v>0</v>
      </c>
      <c r="G489" s="21">
        <f>IFERROR(VLOOKUP(B489,DADOS!$A$2:$H$252,8,0),"")</f>
        <v>8</v>
      </c>
      <c r="H489" s="22"/>
      <c r="I489" s="23"/>
      <c r="J489" s="36">
        <v>1.0</v>
      </c>
      <c r="K489" s="25">
        <f>IFERROR(VLOOKUP(B489,DADOS!$A$2:$H$252,4,0)*J489,"")</f>
        <v>0.6365216</v>
      </c>
      <c r="L489" s="26" t="str">
        <f t="shared" si="10"/>
        <v/>
      </c>
      <c r="M489" s="27" t="s">
        <v>39</v>
      </c>
      <c r="N489" s="33" t="s">
        <v>120</v>
      </c>
      <c r="O489" s="28"/>
      <c r="P489" s="28"/>
      <c r="Q489" s="28"/>
      <c r="R489" s="28"/>
      <c r="S489" s="28"/>
    </row>
    <row r="490">
      <c r="A490" s="17">
        <v>45511.0</v>
      </c>
      <c r="B490" s="18" t="s">
        <v>24</v>
      </c>
      <c r="C490" s="18"/>
      <c r="D490" s="19"/>
      <c r="E490" s="19"/>
      <c r="F490" s="20">
        <f t="shared" si="7"/>
        <v>0</v>
      </c>
      <c r="G490" s="21">
        <f>IFERROR(VLOOKUP(B490,DADOS!$A$2:$H$252,8,0),"")</f>
        <v>37</v>
      </c>
      <c r="H490" s="22"/>
      <c r="I490" s="23"/>
      <c r="J490" s="36">
        <v>3.0</v>
      </c>
      <c r="K490" s="25">
        <f>IFERROR(VLOOKUP(B490,DADOS!$A$2:$H$252,4,0)*J490,"")</f>
        <v>0.3418008</v>
      </c>
      <c r="L490" s="26" t="str">
        <f t="shared" si="10"/>
        <v/>
      </c>
      <c r="M490" s="27" t="s">
        <v>83</v>
      </c>
      <c r="N490" s="33" t="s">
        <v>88</v>
      </c>
      <c r="O490" s="28"/>
      <c r="P490" s="28"/>
      <c r="Q490" s="28"/>
      <c r="R490" s="28"/>
      <c r="S490" s="28"/>
    </row>
    <row r="491">
      <c r="A491" s="17">
        <v>45511.0</v>
      </c>
      <c r="B491" s="18" t="s">
        <v>58</v>
      </c>
      <c r="C491" s="18"/>
      <c r="D491" s="19"/>
      <c r="E491" s="19"/>
      <c r="F491" s="20">
        <f t="shared" si="7"/>
        <v>0</v>
      </c>
      <c r="G491" s="21">
        <f>IFERROR(VLOOKUP(B491,DADOS!$A$2:$H$252,8,0),"")</f>
        <v>31</v>
      </c>
      <c r="H491" s="22"/>
      <c r="I491" s="23"/>
      <c r="J491" s="36">
        <v>9.0</v>
      </c>
      <c r="K491" s="25">
        <f>IFERROR(VLOOKUP(B491,DADOS!$A$2:$H$252,4,0)*J491,"")</f>
        <v>1.0254024</v>
      </c>
      <c r="L491" s="26" t="str">
        <f t="shared" si="10"/>
        <v/>
      </c>
      <c r="M491" s="27" t="s">
        <v>83</v>
      </c>
      <c r="N491" s="33" t="s">
        <v>88</v>
      </c>
      <c r="O491" s="28"/>
      <c r="P491" s="28"/>
      <c r="Q491" s="28"/>
      <c r="R491" s="28"/>
      <c r="S491" s="28"/>
    </row>
    <row r="492">
      <c r="A492" s="17">
        <v>45511.0</v>
      </c>
      <c r="B492" s="18" t="s">
        <v>31</v>
      </c>
      <c r="C492" s="18"/>
      <c r="D492" s="19"/>
      <c r="E492" s="19"/>
      <c r="F492" s="20">
        <f t="shared" si="7"/>
        <v>0</v>
      </c>
      <c r="G492" s="21">
        <f>IFERROR(VLOOKUP(B492,DADOS!$A$2:$H$252,8,0),"")</f>
        <v>10</v>
      </c>
      <c r="H492" s="22"/>
      <c r="I492" s="23"/>
      <c r="J492" s="36">
        <v>1.0</v>
      </c>
      <c r="K492" s="25">
        <f>IFERROR(VLOOKUP(B492,DADOS!$A$2:$H$252,4,0)*J492,"")</f>
        <v>0.1355904</v>
      </c>
      <c r="L492" s="26" t="str">
        <f t="shared" si="10"/>
        <v/>
      </c>
      <c r="M492" s="27" t="s">
        <v>83</v>
      </c>
      <c r="N492" s="33" t="s">
        <v>88</v>
      </c>
      <c r="O492" s="28"/>
      <c r="P492" s="28"/>
      <c r="Q492" s="28"/>
      <c r="R492" s="28"/>
      <c r="S492" s="28"/>
    </row>
    <row r="493">
      <c r="A493" s="17">
        <v>45511.0</v>
      </c>
      <c r="B493" s="18" t="s">
        <v>18</v>
      </c>
      <c r="C493" s="18"/>
      <c r="D493" s="19"/>
      <c r="E493" s="19"/>
      <c r="F493" s="20">
        <f t="shared" si="7"/>
        <v>0</v>
      </c>
      <c r="G493" s="21">
        <f>IFERROR(VLOOKUP(B493,DADOS!$A$2:$H$252,8,0),"")</f>
        <v>21</v>
      </c>
      <c r="H493" s="22"/>
      <c r="I493" s="23"/>
      <c r="J493" s="36">
        <v>2.0</v>
      </c>
      <c r="K493" s="25">
        <f>IFERROR(VLOOKUP(B493,DADOS!$A$2:$H$252,4,0)*J493,"")</f>
        <v>0.585932</v>
      </c>
      <c r="L493" s="26" t="str">
        <f t="shared" si="10"/>
        <v/>
      </c>
      <c r="M493" s="27" t="s">
        <v>83</v>
      </c>
      <c r="N493" s="33" t="s">
        <v>88</v>
      </c>
      <c r="O493" s="28"/>
      <c r="P493" s="28"/>
      <c r="Q493" s="28"/>
      <c r="R493" s="28"/>
      <c r="S493" s="28"/>
    </row>
    <row r="494">
      <c r="A494" s="17">
        <v>45511.0</v>
      </c>
      <c r="B494" s="18" t="s">
        <v>105</v>
      </c>
      <c r="C494" s="18"/>
      <c r="D494" s="19"/>
      <c r="E494" s="19"/>
      <c r="F494" s="20">
        <f t="shared" si="7"/>
        <v>0</v>
      </c>
      <c r="G494" s="21">
        <f>IFERROR(VLOOKUP(B494,DADOS!$A$2:$H$252,8,0),"")</f>
        <v>18</v>
      </c>
      <c r="H494" s="22"/>
      <c r="I494" s="23"/>
      <c r="J494" s="36">
        <v>1.0</v>
      </c>
      <c r="K494" s="25">
        <f>IFERROR(VLOOKUP(B494,DADOS!$A$2:$H$252,4,0)*J494,"")</f>
        <v>0.0849794</v>
      </c>
      <c r="L494" s="26" t="str">
        <f t="shared" si="10"/>
        <v/>
      </c>
      <c r="M494" s="27" t="s">
        <v>83</v>
      </c>
      <c r="N494" s="33" t="s">
        <v>88</v>
      </c>
      <c r="O494" s="28"/>
      <c r="P494" s="28"/>
      <c r="Q494" s="28"/>
      <c r="R494" s="28"/>
      <c r="S494" s="28"/>
    </row>
    <row r="495">
      <c r="A495" s="17">
        <v>45511.0</v>
      </c>
      <c r="B495" s="18" t="s">
        <v>26</v>
      </c>
      <c r="C495" s="18"/>
      <c r="D495" s="19"/>
      <c r="E495" s="19"/>
      <c r="F495" s="20">
        <f t="shared" si="7"/>
        <v>0</v>
      </c>
      <c r="G495" s="21">
        <f>IFERROR(VLOOKUP(B495,DADOS!$A$2:$H$252,8,0),"")</f>
        <v>50</v>
      </c>
      <c r="H495" s="22"/>
      <c r="I495" s="23"/>
      <c r="J495" s="36">
        <v>1.0</v>
      </c>
      <c r="K495" s="25">
        <f>IFERROR(VLOOKUP(B495,DADOS!$A$2:$H$252,4,0)*J495,"")</f>
        <v>0.1139336</v>
      </c>
      <c r="L495" s="26" t="str">
        <f t="shared" si="10"/>
        <v/>
      </c>
      <c r="M495" s="27" t="s">
        <v>83</v>
      </c>
      <c r="N495" s="33" t="s">
        <v>88</v>
      </c>
      <c r="O495" s="28"/>
      <c r="P495" s="28"/>
      <c r="Q495" s="28"/>
      <c r="R495" s="28"/>
      <c r="S495" s="28"/>
    </row>
    <row r="496">
      <c r="A496" s="17">
        <v>45511.0</v>
      </c>
      <c r="B496" s="18" t="s">
        <v>98</v>
      </c>
      <c r="C496" s="18"/>
      <c r="D496" s="19"/>
      <c r="E496" s="19"/>
      <c r="F496" s="20">
        <f t="shared" si="7"/>
        <v>0</v>
      </c>
      <c r="G496" s="21">
        <f>IFERROR(VLOOKUP(B496,DADOS!$A$2:$H$252,8,0),"")</f>
        <v>100</v>
      </c>
      <c r="H496" s="22"/>
      <c r="I496" s="23"/>
      <c r="J496" s="36">
        <v>1.0</v>
      </c>
      <c r="K496" s="25">
        <f>IFERROR(VLOOKUP(B496,DADOS!$A$2:$H$252,4,0)*J496,"")</f>
        <v>0.26964</v>
      </c>
      <c r="L496" s="26" t="str">
        <f t="shared" si="10"/>
        <v/>
      </c>
      <c r="M496" s="27" t="s">
        <v>83</v>
      </c>
      <c r="N496" s="33" t="s">
        <v>88</v>
      </c>
      <c r="O496" s="28"/>
      <c r="P496" s="28"/>
      <c r="Q496" s="28"/>
      <c r="R496" s="28"/>
      <c r="S496" s="28"/>
    </row>
    <row r="497">
      <c r="A497" s="17">
        <v>45511.0</v>
      </c>
      <c r="B497" s="18" t="s">
        <v>141</v>
      </c>
      <c r="C497" s="18"/>
      <c r="D497" s="19"/>
      <c r="E497" s="19"/>
      <c r="F497" s="20">
        <f t="shared" si="7"/>
        <v>0</v>
      </c>
      <c r="G497" s="21" t="str">
        <f>IFERROR(VLOOKUP(B497,DADOS!$A$2:$H$252,8,0),"")</f>
        <v/>
      </c>
      <c r="H497" s="22"/>
      <c r="I497" s="23"/>
      <c r="J497" s="36">
        <v>9.0</v>
      </c>
      <c r="K497" s="25">
        <f>IFERROR(VLOOKUP(B497,DADOS!$A$2:$H$252,4,0)*J497,"")</f>
        <v>0</v>
      </c>
      <c r="L497" s="26" t="str">
        <f t="shared" si="10"/>
        <v/>
      </c>
      <c r="M497" s="27" t="s">
        <v>83</v>
      </c>
      <c r="N497" s="33" t="s">
        <v>88</v>
      </c>
      <c r="O497" s="28"/>
      <c r="P497" s="28"/>
      <c r="Q497" s="28"/>
      <c r="R497" s="28"/>
      <c r="S497" s="28"/>
    </row>
    <row r="498">
      <c r="A498" s="17">
        <v>45511.0</v>
      </c>
      <c r="B498" s="18" t="s">
        <v>51</v>
      </c>
      <c r="C498" s="18"/>
      <c r="D498" s="19"/>
      <c r="E498" s="19"/>
      <c r="F498" s="20">
        <f t="shared" si="7"/>
        <v>0</v>
      </c>
      <c r="G498" s="21">
        <f>IFERROR(VLOOKUP(B498,DADOS!$A$2:$H$252,8,0),"")</f>
        <v>28</v>
      </c>
      <c r="H498" s="22"/>
      <c r="I498" s="23"/>
      <c r="J498" s="36">
        <v>1.0</v>
      </c>
      <c r="K498" s="25">
        <f>IFERROR(VLOOKUP(B498,DADOS!$A$2:$H$252,4,0)*J498,"")</f>
        <v>0.1139336</v>
      </c>
      <c r="L498" s="26" t="str">
        <f t="shared" si="10"/>
        <v/>
      </c>
      <c r="M498" s="27" t="s">
        <v>83</v>
      </c>
      <c r="N498" s="33" t="s">
        <v>88</v>
      </c>
      <c r="O498" s="28"/>
      <c r="P498" s="28"/>
      <c r="Q498" s="28"/>
      <c r="R498" s="28"/>
      <c r="S498" s="28"/>
    </row>
    <row r="499">
      <c r="A499" s="17">
        <v>45511.0</v>
      </c>
      <c r="B499" s="18" t="s">
        <v>96</v>
      </c>
      <c r="C499" s="18"/>
      <c r="D499" s="19"/>
      <c r="E499" s="19"/>
      <c r="F499" s="20">
        <f t="shared" si="7"/>
        <v>0</v>
      </c>
      <c r="G499" s="21">
        <f>IFERROR(VLOOKUP(B499,DADOS!$A$2:$H$252,8,0),"")</f>
        <v>27</v>
      </c>
      <c r="H499" s="22"/>
      <c r="I499" s="23"/>
      <c r="J499" s="36">
        <v>1.0</v>
      </c>
      <c r="K499" s="25">
        <f>IFERROR(VLOOKUP(B499,DADOS!$A$2:$H$252,4,0)*J499,"")</f>
        <v>0.09416</v>
      </c>
      <c r="L499" s="26" t="str">
        <f t="shared" si="10"/>
        <v/>
      </c>
      <c r="M499" s="27" t="s">
        <v>83</v>
      </c>
      <c r="N499" s="33" t="s">
        <v>88</v>
      </c>
      <c r="O499" s="28"/>
      <c r="P499" s="28"/>
      <c r="Q499" s="28"/>
      <c r="R499" s="28"/>
      <c r="S499" s="28"/>
    </row>
    <row r="500">
      <c r="A500" s="17">
        <v>45511.0</v>
      </c>
      <c r="B500" s="18" t="s">
        <v>62</v>
      </c>
      <c r="C500" s="18"/>
      <c r="D500" s="19"/>
      <c r="E500" s="19"/>
      <c r="F500" s="20">
        <f t="shared" si="7"/>
        <v>0</v>
      </c>
      <c r="G500" s="21">
        <f>IFERROR(VLOOKUP(B500,DADOS!$A$2:$H$252,8,0),"")</f>
        <v>14</v>
      </c>
      <c r="H500" s="22"/>
      <c r="I500" s="23"/>
      <c r="J500" s="36">
        <v>1.0</v>
      </c>
      <c r="K500" s="25">
        <f>IFERROR(VLOOKUP(B500,DADOS!$A$2:$H$252,4,0)*J500,"")</f>
        <v>0.0849794</v>
      </c>
      <c r="L500" s="26" t="str">
        <f t="shared" si="10"/>
        <v/>
      </c>
      <c r="M500" s="27" t="s">
        <v>83</v>
      </c>
      <c r="N500" s="33" t="s">
        <v>88</v>
      </c>
      <c r="O500" s="28"/>
      <c r="P500" s="28"/>
      <c r="Q500" s="28"/>
      <c r="R500" s="28"/>
      <c r="S500" s="28"/>
    </row>
    <row r="501">
      <c r="A501" s="17">
        <v>45511.0</v>
      </c>
      <c r="B501" s="18" t="s">
        <v>34</v>
      </c>
      <c r="C501" s="18"/>
      <c r="D501" s="19"/>
      <c r="E501" s="19"/>
      <c r="F501" s="20">
        <f t="shared" si="7"/>
        <v>0</v>
      </c>
      <c r="G501" s="21">
        <f>IFERROR(VLOOKUP(B501,DADOS!$A$2:$H$252,8,0),"")</f>
        <v>12</v>
      </c>
      <c r="H501" s="22"/>
      <c r="I501" s="23"/>
      <c r="J501" s="36">
        <v>4.0</v>
      </c>
      <c r="K501" s="25">
        <f>IFERROR(VLOOKUP(B501,DADOS!$A$2:$H$252,4,0)*J501,"")</f>
        <v>1.582744</v>
      </c>
      <c r="L501" s="26" t="str">
        <f t="shared" si="10"/>
        <v/>
      </c>
      <c r="M501" s="27" t="s">
        <v>83</v>
      </c>
      <c r="N501" s="33" t="s">
        <v>88</v>
      </c>
      <c r="O501" s="28"/>
      <c r="P501" s="28"/>
      <c r="Q501" s="28"/>
      <c r="R501" s="28"/>
      <c r="S501" s="28"/>
    </row>
    <row r="502">
      <c r="A502" s="17">
        <v>45511.0</v>
      </c>
      <c r="B502" s="18" t="s">
        <v>125</v>
      </c>
      <c r="C502" s="18"/>
      <c r="D502" s="19"/>
      <c r="E502" s="19"/>
      <c r="F502" s="20">
        <f t="shared" si="7"/>
        <v>0</v>
      </c>
      <c r="G502" s="21">
        <f>IFERROR(VLOOKUP(B502,DADOS!$A$2:$H$252,8,0),"")</f>
        <v>12</v>
      </c>
      <c r="H502" s="22"/>
      <c r="I502" s="23"/>
      <c r="J502" s="36">
        <v>1.0</v>
      </c>
      <c r="K502" s="25">
        <f>IFERROR(VLOOKUP(B502,DADOS!$A$2:$H$252,4,0)*J502,"")</f>
        <v>0.1845536</v>
      </c>
      <c r="L502" s="26" t="str">
        <f t="shared" si="10"/>
        <v/>
      </c>
      <c r="M502" s="27" t="s">
        <v>83</v>
      </c>
      <c r="N502" s="33" t="s">
        <v>88</v>
      </c>
      <c r="O502" s="28"/>
      <c r="P502" s="28"/>
      <c r="Q502" s="28"/>
      <c r="R502" s="28"/>
      <c r="S502" s="28"/>
    </row>
    <row r="503">
      <c r="A503" s="17">
        <v>45511.0</v>
      </c>
      <c r="B503" s="18" t="s">
        <v>142</v>
      </c>
      <c r="C503" s="18"/>
      <c r="D503" s="19"/>
      <c r="E503" s="19"/>
      <c r="F503" s="20">
        <f t="shared" si="7"/>
        <v>0</v>
      </c>
      <c r="G503" s="21" t="str">
        <f>IFERROR(VLOOKUP(B503,DADOS!$A$2:$H$252,8,0),"")</f>
        <v/>
      </c>
      <c r="H503" s="22"/>
      <c r="I503" s="23"/>
      <c r="J503" s="36">
        <v>2.0</v>
      </c>
      <c r="K503" s="25">
        <f>IFERROR(VLOOKUP(B503,DADOS!$A$2:$H$252,4,0)*J503,"")</f>
        <v>0</v>
      </c>
      <c r="L503" s="26" t="str">
        <f t="shared" si="10"/>
        <v/>
      </c>
      <c r="M503" s="27" t="s">
        <v>118</v>
      </c>
      <c r="N503" s="33" t="s">
        <v>143</v>
      </c>
      <c r="O503" s="28"/>
      <c r="P503" s="28"/>
      <c r="Q503" s="28"/>
      <c r="R503" s="28"/>
      <c r="S503" s="28"/>
    </row>
    <row r="504">
      <c r="A504" s="17">
        <v>45511.0</v>
      </c>
      <c r="B504" s="18" t="s">
        <v>43</v>
      </c>
      <c r="C504" s="18"/>
      <c r="D504" s="19"/>
      <c r="E504" s="19"/>
      <c r="F504" s="20">
        <f t="shared" si="7"/>
        <v>0</v>
      </c>
      <c r="G504" s="21" t="str">
        <f>IFERROR(VLOOKUP(B504,DADOS!$A$2:$H$252,8,0),"")</f>
        <v/>
      </c>
      <c r="H504" s="22"/>
      <c r="I504" s="23"/>
      <c r="J504" s="36">
        <v>1.0</v>
      </c>
      <c r="K504" s="25" t="str">
        <f>IFERROR(VLOOKUP(B504,DADOS!$A$2:$H$252,4,0)*J504,"")</f>
        <v/>
      </c>
      <c r="L504" s="26" t="str">
        <f t="shared" si="10"/>
        <v/>
      </c>
      <c r="M504" s="27" t="s">
        <v>39</v>
      </c>
      <c r="N504" s="33" t="s">
        <v>144</v>
      </c>
      <c r="O504" s="28"/>
      <c r="P504" s="28"/>
      <c r="Q504" s="28"/>
      <c r="R504" s="28"/>
      <c r="S504" s="28"/>
    </row>
    <row r="505">
      <c r="A505" s="17">
        <v>45511.0</v>
      </c>
      <c r="B505" s="18" t="s">
        <v>43</v>
      </c>
      <c r="C505" s="18"/>
      <c r="D505" s="19"/>
      <c r="E505" s="19"/>
      <c r="F505" s="20">
        <f t="shared" si="7"/>
        <v>0</v>
      </c>
      <c r="G505" s="21" t="str">
        <f>IFERROR(VLOOKUP(B505,DADOS!$A$2:$H$252,8,0),"")</f>
        <v/>
      </c>
      <c r="H505" s="22"/>
      <c r="I505" s="23"/>
      <c r="J505" s="36">
        <v>2.0</v>
      </c>
      <c r="K505" s="25" t="str">
        <f>IFERROR(VLOOKUP(B505,DADOS!$A$2:$H$252,4,0)*J505,"")</f>
        <v/>
      </c>
      <c r="L505" s="26" t="str">
        <f t="shared" si="10"/>
        <v/>
      </c>
      <c r="M505" s="27" t="s">
        <v>39</v>
      </c>
      <c r="N505" s="33" t="s">
        <v>89</v>
      </c>
      <c r="O505" s="28"/>
      <c r="P505" s="28"/>
      <c r="Q505" s="28"/>
      <c r="R505" s="28"/>
      <c r="S505" s="28"/>
    </row>
    <row r="506">
      <c r="A506" s="17">
        <v>45511.0</v>
      </c>
      <c r="B506" s="18" t="s">
        <v>47</v>
      </c>
      <c r="C506" s="18"/>
      <c r="D506" s="19"/>
      <c r="E506" s="19"/>
      <c r="F506" s="20">
        <f t="shared" si="7"/>
        <v>0</v>
      </c>
      <c r="G506" s="21">
        <f>IFERROR(VLOOKUP(B506,DADOS!$A$2:$H$252,8,0),"")</f>
        <v>35</v>
      </c>
      <c r="H506" s="22"/>
      <c r="I506" s="23"/>
      <c r="J506" s="36">
        <v>2.0</v>
      </c>
      <c r="K506" s="25">
        <f>IFERROR(VLOOKUP(B506,DADOS!$A$2:$H$252,4,0)*J506,"")</f>
        <v>0.2278672</v>
      </c>
      <c r="L506" s="26" t="str">
        <f t="shared" si="10"/>
        <v/>
      </c>
      <c r="M506" s="27" t="s">
        <v>39</v>
      </c>
      <c r="N506" s="33" t="s">
        <v>89</v>
      </c>
      <c r="O506" s="28"/>
      <c r="P506" s="28"/>
      <c r="Q506" s="28"/>
      <c r="R506" s="28"/>
      <c r="S506" s="28"/>
    </row>
    <row r="507">
      <c r="A507" s="17">
        <v>45511.0</v>
      </c>
      <c r="B507" s="18" t="s">
        <v>49</v>
      </c>
      <c r="C507" s="18"/>
      <c r="D507" s="19"/>
      <c r="E507" s="19"/>
      <c r="F507" s="20">
        <f t="shared" si="7"/>
        <v>0</v>
      </c>
      <c r="G507" s="21">
        <f>IFERROR(VLOOKUP(B507,DADOS!$A$2:$H$252,8,0),"")</f>
        <v>42</v>
      </c>
      <c r="H507" s="22"/>
      <c r="I507" s="23"/>
      <c r="J507" s="36">
        <v>3.0</v>
      </c>
      <c r="K507" s="25">
        <f>IFERROR(VLOOKUP(B507,DADOS!$A$2:$H$252,4,0)*J507,"")</f>
        <v>0.2040918</v>
      </c>
      <c r="L507" s="26" t="str">
        <f t="shared" si="10"/>
        <v/>
      </c>
      <c r="M507" s="27" t="s">
        <v>39</v>
      </c>
      <c r="N507" s="33" t="s">
        <v>89</v>
      </c>
      <c r="O507" s="28"/>
      <c r="P507" s="28"/>
      <c r="Q507" s="28"/>
      <c r="R507" s="28"/>
      <c r="S507" s="28"/>
    </row>
    <row r="508">
      <c r="A508" s="17">
        <v>45512.0</v>
      </c>
      <c r="B508" s="18" t="s">
        <v>125</v>
      </c>
      <c r="C508" s="18" t="s">
        <v>19</v>
      </c>
      <c r="D508" s="19"/>
      <c r="E508" s="19"/>
      <c r="F508" s="20">
        <f t="shared" si="7"/>
        <v>0</v>
      </c>
      <c r="G508" s="21">
        <f>IFERROR(VLOOKUP(B508,DADOS!$A$2:$H$252,8,0),"")</f>
        <v>12</v>
      </c>
      <c r="H508" s="22">
        <v>36.0</v>
      </c>
      <c r="I508" s="23">
        <f>IFERROR(VLOOKUP(B508,DADOS!$A$2:$H$252,4,0)*H508,"")</f>
        <v>6.6439296</v>
      </c>
      <c r="J508" s="36"/>
      <c r="K508" s="25">
        <f>IFERROR(VLOOKUP(B508,DADOS!$A$2:$H$252,4,0)*J508,"")</f>
        <v>0</v>
      </c>
      <c r="L508" s="26">
        <f t="shared" si="10"/>
        <v>0</v>
      </c>
      <c r="M508" s="27"/>
      <c r="N508" s="30"/>
      <c r="O508" s="28"/>
      <c r="P508" s="28"/>
      <c r="Q508" s="28"/>
      <c r="R508" s="28"/>
      <c r="S508" s="28"/>
    </row>
    <row r="509">
      <c r="A509" s="17">
        <v>45512.0</v>
      </c>
      <c r="B509" s="18" t="s">
        <v>47</v>
      </c>
      <c r="C509" s="18" t="s">
        <v>19</v>
      </c>
      <c r="D509" s="19"/>
      <c r="E509" s="19"/>
      <c r="F509" s="20">
        <f t="shared" si="7"/>
        <v>0</v>
      </c>
      <c r="G509" s="21">
        <f>IFERROR(VLOOKUP(B509,DADOS!$A$2:$H$252,8,0),"")</f>
        <v>35</v>
      </c>
      <c r="H509" s="22">
        <v>49.0</v>
      </c>
      <c r="I509" s="23">
        <f>IFERROR(VLOOKUP(B509,DADOS!$A$2:$H$252,4,0)*H509,"")</f>
        <v>5.5827464</v>
      </c>
      <c r="J509" s="24">
        <v>1.0</v>
      </c>
      <c r="K509" s="25">
        <f>IFERROR(VLOOKUP(B509,DADOS!$A$2:$H$252,4,0)*J509,"")</f>
        <v>0.1139336</v>
      </c>
      <c r="L509" s="26">
        <f t="shared" si="10"/>
        <v>0</v>
      </c>
      <c r="M509" s="27"/>
      <c r="N509" s="30"/>
      <c r="O509" s="28"/>
      <c r="P509" s="28"/>
      <c r="Q509" s="28"/>
      <c r="R509" s="28"/>
      <c r="S509" s="28"/>
    </row>
    <row r="510">
      <c r="A510" s="17">
        <v>45512.0</v>
      </c>
      <c r="B510" s="18" t="s">
        <v>51</v>
      </c>
      <c r="C510" s="18" t="s">
        <v>19</v>
      </c>
      <c r="D510" s="19"/>
      <c r="E510" s="19"/>
      <c r="F510" s="20">
        <f t="shared" si="7"/>
        <v>0</v>
      </c>
      <c r="G510" s="21">
        <f>IFERROR(VLOOKUP(B510,DADOS!$A$2:$H$252,8,0),"")</f>
        <v>28</v>
      </c>
      <c r="H510" s="22">
        <v>2.0</v>
      </c>
      <c r="I510" s="23">
        <f>IFERROR(VLOOKUP(B510,DADOS!$A$2:$H$252,4,0)*H510,"")</f>
        <v>0.2278672</v>
      </c>
      <c r="J510" s="24">
        <v>1.0</v>
      </c>
      <c r="K510" s="25">
        <f>IFERROR(VLOOKUP(B510,DADOS!$A$2:$H$252,4,0)*J510,"")</f>
        <v>0.1139336</v>
      </c>
      <c r="L510" s="26">
        <f t="shared" si="10"/>
        <v>0</v>
      </c>
      <c r="M510" s="27"/>
      <c r="N510" s="30"/>
      <c r="O510" s="28"/>
      <c r="P510" s="28"/>
      <c r="Q510" s="28"/>
      <c r="R510" s="28"/>
      <c r="S510" s="28"/>
    </row>
    <row r="511">
      <c r="A511" s="17">
        <v>45513.0</v>
      </c>
      <c r="B511" s="18" t="s">
        <v>51</v>
      </c>
      <c r="C511" s="18" t="s">
        <v>19</v>
      </c>
      <c r="D511" s="19"/>
      <c r="E511" s="19"/>
      <c r="F511" s="20">
        <f t="shared" si="7"/>
        <v>0</v>
      </c>
      <c r="G511" s="21">
        <f>IFERROR(VLOOKUP(B511,DADOS!$A$2:$H$252,8,0),"")</f>
        <v>28</v>
      </c>
      <c r="H511" s="22">
        <v>56.0</v>
      </c>
      <c r="I511" s="23">
        <f>IFERROR(VLOOKUP(B511,DADOS!$A$2:$H$252,4,0)*H511,"")</f>
        <v>6.3802816</v>
      </c>
      <c r="J511" s="24">
        <v>1.0</v>
      </c>
      <c r="K511" s="25">
        <f>IFERROR(VLOOKUP(B511,DADOS!$A$2:$H$252,4,0)*J511,"")</f>
        <v>0.1139336</v>
      </c>
      <c r="L511" s="26">
        <f t="shared" si="10"/>
        <v>0</v>
      </c>
      <c r="M511" s="27"/>
      <c r="N511" s="30"/>
      <c r="O511" s="28"/>
      <c r="P511" s="28"/>
      <c r="Q511" s="28"/>
      <c r="R511" s="28"/>
      <c r="S511" s="28"/>
    </row>
    <row r="512">
      <c r="A512" s="17">
        <v>45513.0</v>
      </c>
      <c r="B512" s="18" t="s">
        <v>79</v>
      </c>
      <c r="C512" s="18" t="s">
        <v>19</v>
      </c>
      <c r="D512" s="19"/>
      <c r="E512" s="19"/>
      <c r="F512" s="20">
        <f t="shared" si="7"/>
        <v>0</v>
      </c>
      <c r="G512" s="21">
        <f>IFERROR(VLOOKUP(B512,DADOS!$A$2:$H$252,8,0),"")</f>
        <v>87</v>
      </c>
      <c r="H512" s="22">
        <v>98.0</v>
      </c>
      <c r="I512" s="23">
        <f>IFERROR(VLOOKUP(B512,DADOS!$A$2:$H$252,4,0)*H512,"")</f>
        <v>1.67776</v>
      </c>
      <c r="J512" s="24">
        <v>2.0</v>
      </c>
      <c r="K512" s="25">
        <f>IFERROR(VLOOKUP(B512,DADOS!$A$2:$H$252,4,0)*J512,"")</f>
        <v>0.03424</v>
      </c>
      <c r="L512" s="26">
        <f t="shared" si="10"/>
        <v>0</v>
      </c>
      <c r="M512" s="27"/>
      <c r="N512" s="30"/>
      <c r="O512" s="28"/>
      <c r="P512" s="28"/>
      <c r="Q512" s="28"/>
      <c r="R512" s="28"/>
      <c r="S512" s="28"/>
    </row>
    <row r="513">
      <c r="A513" s="17">
        <v>45513.0</v>
      </c>
      <c r="B513" s="18" t="s">
        <v>18</v>
      </c>
      <c r="C513" s="18" t="s">
        <v>19</v>
      </c>
      <c r="D513" s="19"/>
      <c r="E513" s="19"/>
      <c r="F513" s="20">
        <f t="shared" si="7"/>
        <v>0</v>
      </c>
      <c r="G513" s="21">
        <f>IFERROR(VLOOKUP(B513,DADOS!$A$2:$H$252,8,0),"")</f>
        <v>21</v>
      </c>
      <c r="H513" s="22">
        <v>52.0</v>
      </c>
      <c r="I513" s="23">
        <f>IFERROR(VLOOKUP(B513,DADOS!$A$2:$H$252,4,0)*H513,"")</f>
        <v>15.234232</v>
      </c>
      <c r="J513" s="36"/>
      <c r="K513" s="25">
        <f>IFERROR(VLOOKUP(B513,DADOS!$A$2:$H$252,4,0)*J513,"")</f>
        <v>0</v>
      </c>
      <c r="L513" s="26">
        <f t="shared" si="10"/>
        <v>0</v>
      </c>
      <c r="M513" s="27"/>
      <c r="N513" s="30"/>
      <c r="O513" s="40"/>
      <c r="P513" s="40"/>
      <c r="Q513" s="40"/>
      <c r="R513" s="40"/>
      <c r="S513" s="40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</row>
    <row r="514">
      <c r="A514" s="17">
        <v>45516.0</v>
      </c>
      <c r="B514" s="18" t="s">
        <v>72</v>
      </c>
      <c r="C514" s="18" t="s">
        <v>17</v>
      </c>
      <c r="D514" s="19"/>
      <c r="E514" s="19"/>
      <c r="F514" s="20">
        <f t="shared" si="7"/>
        <v>0</v>
      </c>
      <c r="G514" s="21">
        <f>IFERROR(VLOOKUP(B514,DADOS!$A$2:$H$252,8,0),"")</f>
        <v>43</v>
      </c>
      <c r="H514" s="22">
        <v>42.0</v>
      </c>
      <c r="I514" s="23">
        <f>IFERROR(VLOOKUP(B514,DADOS!$A$2:$H$252,4,0)*H514,"")</f>
        <v>0.71904</v>
      </c>
      <c r="J514" s="36"/>
      <c r="K514" s="25">
        <f>IFERROR(VLOOKUP(B514,DADOS!$A$2:$H$252,4,0)*J514,"")</f>
        <v>0</v>
      </c>
      <c r="L514" s="26">
        <f t="shared" si="10"/>
        <v>0</v>
      </c>
      <c r="M514" s="27"/>
      <c r="N514" s="30"/>
      <c r="O514" s="40"/>
      <c r="P514" s="40"/>
      <c r="Q514" s="40"/>
      <c r="R514" s="40"/>
      <c r="S514" s="40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</row>
    <row r="515">
      <c r="A515" s="17">
        <v>45516.0</v>
      </c>
      <c r="B515" s="18" t="s">
        <v>18</v>
      </c>
      <c r="C515" s="18" t="s">
        <v>19</v>
      </c>
      <c r="D515" s="19"/>
      <c r="E515" s="42"/>
      <c r="F515" s="20">
        <f t="shared" si="7"/>
        <v>0</v>
      </c>
      <c r="G515" s="21">
        <f>IFERROR(VLOOKUP(B515,DADOS!$A$2:$H$252,8,0),"")</f>
        <v>21</v>
      </c>
      <c r="H515" s="22">
        <v>49.0</v>
      </c>
      <c r="I515" s="23">
        <f>IFERROR(VLOOKUP(B515,DADOS!$A$2:$H$252,4,0)*H515,"")</f>
        <v>14.355334</v>
      </c>
      <c r="J515" s="36"/>
      <c r="K515" s="25">
        <f>IFERROR(VLOOKUP(B515,DADOS!$A$2:$H$252,4,0)*J515,"")</f>
        <v>0</v>
      </c>
      <c r="L515" s="26">
        <f t="shared" si="10"/>
        <v>0</v>
      </c>
      <c r="M515" s="27"/>
      <c r="N515" s="30"/>
      <c r="O515" s="28"/>
      <c r="P515" s="28"/>
      <c r="Q515" s="28"/>
      <c r="R515" s="28"/>
      <c r="S515" s="28"/>
    </row>
    <row r="516">
      <c r="A516" s="17">
        <v>45516.0</v>
      </c>
      <c r="B516" s="18" t="s">
        <v>79</v>
      </c>
      <c r="C516" s="18" t="s">
        <v>19</v>
      </c>
      <c r="D516" s="19"/>
      <c r="E516" s="42"/>
      <c r="F516" s="20">
        <f t="shared" si="7"/>
        <v>0</v>
      </c>
      <c r="G516" s="21">
        <f>IFERROR(VLOOKUP(B516,DADOS!$A$2:$H$252,8,0),"")</f>
        <v>87</v>
      </c>
      <c r="H516" s="22">
        <v>78.0</v>
      </c>
      <c r="I516" s="23">
        <f>IFERROR(VLOOKUP(B516,DADOS!$A$2:$H$252,4,0)*H516,"")</f>
        <v>1.33536</v>
      </c>
      <c r="J516" s="36">
        <v>2.0</v>
      </c>
      <c r="K516" s="25">
        <f>IFERROR(VLOOKUP(B516,DADOS!$A$2:$H$252,4,0)*J516,"")</f>
        <v>0.03424</v>
      </c>
      <c r="L516" s="26">
        <f t="shared" si="10"/>
        <v>0</v>
      </c>
      <c r="M516" s="27"/>
      <c r="N516" s="30"/>
      <c r="O516" s="28"/>
      <c r="P516" s="28"/>
      <c r="Q516" s="28"/>
      <c r="R516" s="28"/>
      <c r="S516" s="28"/>
    </row>
    <row r="517">
      <c r="A517" s="17">
        <v>45516.0</v>
      </c>
      <c r="B517" s="18" t="s">
        <v>25</v>
      </c>
      <c r="C517" s="18" t="s">
        <v>19</v>
      </c>
      <c r="D517" s="19"/>
      <c r="E517" s="19"/>
      <c r="F517" s="20">
        <f t="shared" si="7"/>
        <v>0</v>
      </c>
      <c r="G517" s="21">
        <f>IFERROR(VLOOKUP(B517,DADOS!$A$2:$H$252,8,0),"")</f>
        <v>40</v>
      </c>
      <c r="H517" s="22">
        <v>99.0</v>
      </c>
      <c r="I517" s="23">
        <f>IFERROR(VLOOKUP(B517,DADOS!$A$2:$H$252,4,0)*H517,"")</f>
        <v>10.254024</v>
      </c>
      <c r="J517" s="36">
        <v>1.0</v>
      </c>
      <c r="K517" s="25">
        <f>IFERROR(VLOOKUP(B517,DADOS!$A$2:$H$252,4,0)*J517,"")</f>
        <v>0.103576</v>
      </c>
      <c r="L517" s="26">
        <f t="shared" si="10"/>
        <v>0</v>
      </c>
      <c r="M517" s="27"/>
      <c r="N517" s="30"/>
      <c r="O517" s="28"/>
      <c r="P517" s="28"/>
      <c r="Q517" s="28"/>
      <c r="R517" s="28"/>
      <c r="S517" s="28"/>
    </row>
    <row r="518">
      <c r="A518" s="17">
        <v>45516.0</v>
      </c>
      <c r="B518" s="18" t="s">
        <v>26</v>
      </c>
      <c r="C518" s="18" t="s">
        <v>19</v>
      </c>
      <c r="D518" s="19"/>
      <c r="E518" s="19"/>
      <c r="F518" s="20">
        <f t="shared" si="7"/>
        <v>0</v>
      </c>
      <c r="G518" s="21">
        <f>IFERROR(VLOOKUP(B518,DADOS!$A$2:$H$252,8,0),"")</f>
        <v>50</v>
      </c>
      <c r="H518" s="22">
        <v>87.0</v>
      </c>
      <c r="I518" s="23">
        <f>IFERROR(VLOOKUP(B518,DADOS!$A$2:$H$252,4,0)*H518,"")</f>
        <v>9.9122232</v>
      </c>
      <c r="J518" s="36"/>
      <c r="K518" s="25">
        <f>IFERROR(VLOOKUP(B518,DADOS!$A$2:$H$252,4,0)*J518,"")</f>
        <v>0</v>
      </c>
      <c r="L518" s="26">
        <f t="shared" si="10"/>
        <v>0</v>
      </c>
      <c r="M518" s="27"/>
      <c r="N518" s="30"/>
      <c r="O518" s="28"/>
      <c r="P518" s="28"/>
      <c r="Q518" s="28"/>
      <c r="R518" s="28"/>
      <c r="S518" s="28"/>
    </row>
    <row r="519">
      <c r="A519" s="17">
        <v>45516.0</v>
      </c>
      <c r="B519" s="18" t="s">
        <v>72</v>
      </c>
      <c r="C519" s="18" t="s">
        <v>19</v>
      </c>
      <c r="D519" s="19"/>
      <c r="E519" s="19"/>
      <c r="F519" s="20">
        <f t="shared" si="7"/>
        <v>0</v>
      </c>
      <c r="G519" s="21">
        <f>IFERROR(VLOOKUP(B519,DADOS!$A$2:$H$252,8,0),"")</f>
        <v>43</v>
      </c>
      <c r="H519" s="22">
        <v>154.0</v>
      </c>
      <c r="I519" s="23">
        <f>IFERROR(VLOOKUP(B519,DADOS!$A$2:$H$252,4,0)*H519,"")</f>
        <v>2.63648</v>
      </c>
      <c r="J519" s="36">
        <v>4.0</v>
      </c>
      <c r="K519" s="25">
        <f>IFERROR(VLOOKUP(B519,DADOS!$A$2:$H$252,4,0)*J519,"")</f>
        <v>0.06848</v>
      </c>
      <c r="L519" s="26">
        <f t="shared" si="10"/>
        <v>0</v>
      </c>
      <c r="M519" s="27"/>
      <c r="N519" s="30"/>
      <c r="O519" s="28"/>
      <c r="P519" s="28"/>
      <c r="Q519" s="28"/>
      <c r="R519" s="28"/>
      <c r="S519" s="28"/>
    </row>
    <row r="520">
      <c r="A520" s="17">
        <v>45517.0</v>
      </c>
      <c r="B520" s="18" t="s">
        <v>37</v>
      </c>
      <c r="C520" s="18" t="s">
        <v>17</v>
      </c>
      <c r="D520" s="19"/>
      <c r="E520" s="19"/>
      <c r="F520" s="20">
        <f t="shared" si="7"/>
        <v>0</v>
      </c>
      <c r="G520" s="21" t="str">
        <f>IFERROR(VLOOKUP(B520,DADOS!$A$2:$H$252,8,0),"")</f>
        <v/>
      </c>
      <c r="H520" s="22">
        <v>169.0</v>
      </c>
      <c r="I520" s="23" t="str">
        <f>IFERROR(VLOOKUP(B520,DADOS!$A$2:$H$252,4,0)*H520,"")</f>
        <v/>
      </c>
      <c r="J520" s="36"/>
      <c r="K520" s="25" t="str">
        <f>IFERROR(VLOOKUP(B520,DADOS!$A$2:$H$252,4,0)*J520,"")</f>
        <v/>
      </c>
      <c r="L520" s="26" t="str">
        <f t="shared" si="10"/>
        <v/>
      </c>
      <c r="M520" s="27"/>
      <c r="N520" s="30"/>
      <c r="O520" s="28"/>
      <c r="P520" s="28"/>
      <c r="Q520" s="28"/>
      <c r="R520" s="28"/>
      <c r="S520" s="28"/>
    </row>
    <row r="521">
      <c r="A521" s="17">
        <v>45517.0</v>
      </c>
      <c r="B521" s="18" t="s">
        <v>145</v>
      </c>
      <c r="C521" s="18" t="s">
        <v>19</v>
      </c>
      <c r="D521" s="19"/>
      <c r="E521" s="19"/>
      <c r="F521" s="20">
        <f t="shared" si="7"/>
        <v>0</v>
      </c>
      <c r="G521" s="21">
        <f>IFERROR(VLOOKUP(B521,DADOS!$A$2:$H$252,8,0),"")</f>
        <v>43</v>
      </c>
      <c r="H521" s="22">
        <v>20.0</v>
      </c>
      <c r="I521" s="23">
        <f>IFERROR(VLOOKUP(B521,DADOS!$A$2:$H$252,4,0)*H521,"")</f>
        <v>4.2372</v>
      </c>
      <c r="J521" s="36"/>
      <c r="K521" s="25">
        <f>IFERROR(VLOOKUP(B521,DADOS!$A$2:$H$252,4,0)*J521,"")</f>
        <v>0</v>
      </c>
      <c r="L521" s="26">
        <f t="shared" si="10"/>
        <v>0</v>
      </c>
      <c r="M521" s="27"/>
      <c r="N521" s="30"/>
      <c r="O521" s="28"/>
      <c r="P521" s="28"/>
      <c r="Q521" s="28"/>
      <c r="R521" s="28"/>
      <c r="S521" s="28"/>
    </row>
    <row r="522">
      <c r="A522" s="17">
        <v>45517.0</v>
      </c>
      <c r="B522" s="18" t="s">
        <v>26</v>
      </c>
      <c r="C522" s="18" t="s">
        <v>19</v>
      </c>
      <c r="D522" s="19"/>
      <c r="E522" s="19"/>
      <c r="F522" s="20">
        <f t="shared" si="7"/>
        <v>0</v>
      </c>
      <c r="G522" s="21">
        <f>IFERROR(VLOOKUP(B522,DADOS!$A$2:$H$252,8,0),"")</f>
        <v>50</v>
      </c>
      <c r="H522" s="22">
        <v>12.0</v>
      </c>
      <c r="I522" s="23">
        <f>IFERROR(VLOOKUP(B522,DADOS!$A$2:$H$252,4,0)*H522,"")</f>
        <v>1.3672032</v>
      </c>
      <c r="J522" s="36"/>
      <c r="K522" s="25">
        <f>IFERROR(VLOOKUP(B522,DADOS!$A$2:$H$252,4,0)*J522,"")</f>
        <v>0</v>
      </c>
      <c r="L522" s="26">
        <f t="shared" si="10"/>
        <v>0</v>
      </c>
      <c r="M522" s="27"/>
      <c r="N522" s="30"/>
      <c r="O522" s="28"/>
      <c r="P522" s="28"/>
      <c r="Q522" s="28"/>
      <c r="R522" s="28"/>
      <c r="S522" s="28"/>
    </row>
    <row r="523">
      <c r="A523" s="17">
        <v>45517.0</v>
      </c>
      <c r="B523" s="18" t="s">
        <v>58</v>
      </c>
      <c r="C523" s="18" t="s">
        <v>19</v>
      </c>
      <c r="D523" s="19"/>
      <c r="E523" s="19"/>
      <c r="F523" s="20">
        <f t="shared" si="7"/>
        <v>0</v>
      </c>
      <c r="G523" s="21">
        <f>IFERROR(VLOOKUP(B523,DADOS!$A$2:$H$252,8,0),"")</f>
        <v>31</v>
      </c>
      <c r="H523" s="22">
        <v>47.0</v>
      </c>
      <c r="I523" s="23">
        <f>IFERROR(VLOOKUP(B523,DADOS!$A$2:$H$252,4,0)*H523,"")</f>
        <v>5.3548792</v>
      </c>
      <c r="J523" s="36">
        <v>3.0</v>
      </c>
      <c r="K523" s="25">
        <f>IFERROR(VLOOKUP(B523,DADOS!$A$2:$H$252,4,0)*J523,"")</f>
        <v>0.3418008</v>
      </c>
      <c r="L523" s="26">
        <f t="shared" si="10"/>
        <v>0</v>
      </c>
      <c r="M523" s="27"/>
      <c r="N523" s="30"/>
      <c r="O523" s="28"/>
      <c r="P523" s="28"/>
      <c r="Q523" s="28"/>
      <c r="R523" s="28"/>
      <c r="S523" s="28"/>
    </row>
    <row r="524">
      <c r="A524" s="17">
        <v>45517.0</v>
      </c>
      <c r="B524" s="18" t="s">
        <v>37</v>
      </c>
      <c r="C524" s="18" t="s">
        <v>19</v>
      </c>
      <c r="D524" s="19"/>
      <c r="E524" s="19"/>
      <c r="F524" s="20">
        <f t="shared" si="7"/>
        <v>0</v>
      </c>
      <c r="G524" s="21" t="str">
        <f>IFERROR(VLOOKUP(B524,DADOS!$A$2:$H$252,8,0),"")</f>
        <v/>
      </c>
      <c r="H524" s="22">
        <v>30.0</v>
      </c>
      <c r="I524" s="23" t="str">
        <f>IFERROR(VLOOKUP(B524,DADOS!$A$2:$H$252,4,0)*H524,"")</f>
        <v/>
      </c>
      <c r="J524" s="36"/>
      <c r="K524" s="25" t="str">
        <f>IFERROR(VLOOKUP(B524,DADOS!$A$2:$H$252,4,0)*J524,"")</f>
        <v/>
      </c>
      <c r="L524" s="26" t="str">
        <f t="shared" si="10"/>
        <v/>
      </c>
      <c r="M524" s="27"/>
      <c r="N524" s="30"/>
      <c r="O524" s="28"/>
      <c r="P524" s="28"/>
      <c r="Q524" s="28"/>
      <c r="R524" s="28"/>
      <c r="S524" s="28"/>
    </row>
    <row r="525">
      <c r="A525" s="17">
        <v>45517.0</v>
      </c>
      <c r="B525" s="18" t="s">
        <v>49</v>
      </c>
      <c r="C525" s="18" t="s">
        <v>19</v>
      </c>
      <c r="D525" s="19"/>
      <c r="E525" s="19"/>
      <c r="F525" s="20">
        <f t="shared" si="7"/>
        <v>0</v>
      </c>
      <c r="G525" s="21">
        <f>IFERROR(VLOOKUP(B525,DADOS!$A$2:$H$252,8,0),"")</f>
        <v>42</v>
      </c>
      <c r="H525" s="22">
        <v>32.0</v>
      </c>
      <c r="I525" s="23">
        <f>IFERROR(VLOOKUP(B525,DADOS!$A$2:$H$252,4,0)*H525,"")</f>
        <v>2.1769792</v>
      </c>
      <c r="J525" s="36"/>
      <c r="K525" s="25">
        <f>IFERROR(VLOOKUP(B525,DADOS!$A$2:$H$252,4,0)*J525,"")</f>
        <v>0</v>
      </c>
      <c r="L525" s="26">
        <f t="shared" si="10"/>
        <v>0</v>
      </c>
      <c r="M525" s="27"/>
      <c r="N525" s="30"/>
      <c r="O525" s="28"/>
      <c r="P525" s="28"/>
      <c r="Q525" s="28"/>
      <c r="R525" s="28"/>
      <c r="S525" s="28"/>
    </row>
    <row r="526">
      <c r="A526" s="17">
        <v>45518.0</v>
      </c>
      <c r="B526" s="18" t="s">
        <v>56</v>
      </c>
      <c r="C526" s="18" t="s">
        <v>17</v>
      </c>
      <c r="D526" s="19"/>
      <c r="E526" s="19"/>
      <c r="F526" s="20">
        <f t="shared" si="7"/>
        <v>0</v>
      </c>
      <c r="G526" s="21">
        <f>IFERROR(VLOOKUP(B526,DADOS!$A$2:$H$252,8,0),"")</f>
        <v>162</v>
      </c>
      <c r="H526" s="22">
        <v>46.0</v>
      </c>
      <c r="I526" s="23">
        <f>IFERROR(VLOOKUP(B526,DADOS!$A$2:$H$252,4,0)*H526,"")</f>
        <v>0.44298</v>
      </c>
      <c r="J526" s="36"/>
      <c r="K526" s="25">
        <f>IFERROR(VLOOKUP(B526,DADOS!$A$2:$H$252,4,0)*J526,"")</f>
        <v>0</v>
      </c>
      <c r="L526" s="26">
        <f t="shared" si="10"/>
        <v>0</v>
      </c>
      <c r="M526" s="27"/>
      <c r="N526" s="30"/>
      <c r="O526" s="28"/>
      <c r="P526" s="28"/>
      <c r="Q526" s="28"/>
      <c r="R526" s="28"/>
      <c r="S526" s="28"/>
    </row>
    <row r="527">
      <c r="A527" s="17">
        <v>45518.0</v>
      </c>
      <c r="B527" s="18" t="s">
        <v>98</v>
      </c>
      <c r="C527" s="18" t="s">
        <v>17</v>
      </c>
      <c r="D527" s="19"/>
      <c r="E527" s="19"/>
      <c r="F527" s="20">
        <f t="shared" si="7"/>
        <v>0</v>
      </c>
      <c r="G527" s="21">
        <f>IFERROR(VLOOKUP(B527,DADOS!$A$2:$H$252,8,0),"")</f>
        <v>100</v>
      </c>
      <c r="H527" s="22">
        <v>100.0</v>
      </c>
      <c r="I527" s="23">
        <f>IFERROR(VLOOKUP(B527,DADOS!$A$2:$H$252,4,0)*H527,"")</f>
        <v>26.964</v>
      </c>
      <c r="J527" s="36"/>
      <c r="K527" s="25">
        <f>IFERROR(VLOOKUP(B527,DADOS!$A$2:$H$252,4,0)*J527,"")</f>
        <v>0</v>
      </c>
      <c r="L527" s="26">
        <f t="shared" si="10"/>
        <v>0</v>
      </c>
      <c r="M527" s="27"/>
      <c r="N527" s="30"/>
      <c r="O527" s="28"/>
      <c r="P527" s="28"/>
      <c r="Q527" s="28"/>
      <c r="R527" s="28"/>
      <c r="S527" s="28"/>
    </row>
    <row r="528">
      <c r="A528" s="17">
        <v>45518.0</v>
      </c>
      <c r="B528" s="18" t="s">
        <v>49</v>
      </c>
      <c r="C528" s="18" t="s">
        <v>19</v>
      </c>
      <c r="D528" s="19"/>
      <c r="E528" s="19"/>
      <c r="F528" s="20">
        <f t="shared" si="7"/>
        <v>0</v>
      </c>
      <c r="G528" s="21">
        <f>IFERROR(VLOOKUP(B528,DADOS!$A$2:$H$252,8,0),"")</f>
        <v>42</v>
      </c>
      <c r="H528" s="22">
        <v>39.0</v>
      </c>
      <c r="I528" s="23">
        <f>IFERROR(VLOOKUP(B528,DADOS!$A$2:$H$252,4,0)*H528,"")</f>
        <v>2.6531934</v>
      </c>
      <c r="J528" s="36"/>
      <c r="K528" s="25">
        <f>IFERROR(VLOOKUP(B528,DADOS!$A$2:$H$252,4,0)*J528,"")</f>
        <v>0</v>
      </c>
      <c r="L528" s="26">
        <f t="shared" si="10"/>
        <v>0</v>
      </c>
      <c r="M528" s="27"/>
      <c r="N528" s="30"/>
      <c r="O528" s="28"/>
      <c r="P528" s="28"/>
      <c r="Q528" s="28"/>
      <c r="R528" s="28"/>
      <c r="S528" s="28"/>
    </row>
    <row r="529">
      <c r="A529" s="17">
        <v>45518.0</v>
      </c>
      <c r="B529" s="18" t="s">
        <v>56</v>
      </c>
      <c r="C529" s="18" t="s">
        <v>19</v>
      </c>
      <c r="D529" s="19"/>
      <c r="E529" s="19"/>
      <c r="F529" s="20">
        <f t="shared" si="7"/>
        <v>0</v>
      </c>
      <c r="G529" s="21">
        <f>IFERROR(VLOOKUP(B529,DADOS!$A$2:$H$252,8,0),"")</f>
        <v>162</v>
      </c>
      <c r="H529" s="22">
        <v>24.0</v>
      </c>
      <c r="I529" s="23">
        <f>IFERROR(VLOOKUP(B529,DADOS!$A$2:$H$252,4,0)*H529,"")</f>
        <v>0.23112</v>
      </c>
      <c r="J529" s="36"/>
      <c r="K529" s="25">
        <f>IFERROR(VLOOKUP(B529,DADOS!$A$2:$H$252,4,0)*J529,"")</f>
        <v>0</v>
      </c>
      <c r="L529" s="26">
        <f t="shared" si="10"/>
        <v>0</v>
      </c>
      <c r="M529" s="27"/>
      <c r="N529" s="30"/>
      <c r="O529" s="28"/>
      <c r="P529" s="28"/>
      <c r="Q529" s="28"/>
      <c r="R529" s="28"/>
      <c r="S529" s="28"/>
    </row>
    <row r="530">
      <c r="A530" s="17">
        <v>45520.0</v>
      </c>
      <c r="B530" s="18" t="s">
        <v>27</v>
      </c>
      <c r="C530" s="18" t="s">
        <v>19</v>
      </c>
      <c r="D530" s="19"/>
      <c r="E530" s="19"/>
      <c r="F530" s="20">
        <f t="shared" si="7"/>
        <v>0</v>
      </c>
      <c r="G530" s="21">
        <f>IFERROR(VLOOKUP(B530,DADOS!$A$2:$H$252,8,0),"")</f>
        <v>30</v>
      </c>
      <c r="H530" s="22">
        <v>22.0</v>
      </c>
      <c r="I530" s="23">
        <f>IFERROR(VLOOKUP(B530,DADOS!$A$2:$H$252,4,0)*H530,"")</f>
        <v>0.37664</v>
      </c>
      <c r="J530" s="24">
        <v>8.0</v>
      </c>
      <c r="K530" s="25">
        <f>IFERROR(VLOOKUP(B530,DADOS!$A$2:$H$252,4,0)*J530,"")</f>
        <v>0.13696</v>
      </c>
      <c r="L530" s="26">
        <f t="shared" si="10"/>
        <v>0</v>
      </c>
      <c r="M530" s="27"/>
      <c r="N530" s="30"/>
      <c r="O530" s="28"/>
      <c r="P530" s="28"/>
      <c r="Q530" s="28"/>
      <c r="R530" s="28"/>
      <c r="S530" s="28"/>
    </row>
    <row r="531">
      <c r="A531" s="17">
        <v>45521.0</v>
      </c>
      <c r="B531" s="18" t="s">
        <v>22</v>
      </c>
      <c r="C531" s="18" t="s">
        <v>23</v>
      </c>
      <c r="D531" s="19"/>
      <c r="E531" s="19"/>
      <c r="F531" s="20">
        <f t="shared" si="7"/>
        <v>0</v>
      </c>
      <c r="G531" s="21">
        <f>IFERROR(VLOOKUP(B531,DADOS!$A$2:$H$252,8,0),"")</f>
        <v>15</v>
      </c>
      <c r="H531" s="22">
        <v>34.0</v>
      </c>
      <c r="I531" s="23">
        <f>IFERROR(VLOOKUP(B531,DADOS!$A$2:$H$252,4,0)*H531,"")</f>
        <v>20.8173636</v>
      </c>
      <c r="J531" s="24">
        <v>0.0</v>
      </c>
      <c r="K531" s="25">
        <f>IFERROR(VLOOKUP(B531,DADOS!$A$2:$H$252,4,0)*J531,"")</f>
        <v>0</v>
      </c>
      <c r="L531" s="26">
        <f t="shared" si="10"/>
        <v>0</v>
      </c>
      <c r="M531" s="27"/>
      <c r="N531" s="30"/>
      <c r="O531" s="28"/>
      <c r="P531" s="28"/>
      <c r="Q531" s="28"/>
      <c r="R531" s="28"/>
      <c r="S531" s="28"/>
    </row>
    <row r="532">
      <c r="A532" s="17">
        <v>45521.0</v>
      </c>
      <c r="B532" s="18" t="s">
        <v>32</v>
      </c>
      <c r="C532" s="18" t="s">
        <v>23</v>
      </c>
      <c r="D532" s="19"/>
      <c r="E532" s="19"/>
      <c r="F532" s="20">
        <f t="shared" si="7"/>
        <v>0</v>
      </c>
      <c r="G532" s="21">
        <f>IFERROR(VLOOKUP(B532,DADOS!$A$2:$H$252,8,0),"")</f>
        <v>10</v>
      </c>
      <c r="H532" s="22">
        <v>14.0</v>
      </c>
      <c r="I532" s="23">
        <f>IFERROR(VLOOKUP(B532,DADOS!$A$2:$H$252,4,0)*H532,"")</f>
        <v>8.5718556</v>
      </c>
      <c r="J532" s="36"/>
      <c r="K532" s="25">
        <f>IFERROR(VLOOKUP(B532,DADOS!$A$2:$H$252,4,0)*J532,"")</f>
        <v>0</v>
      </c>
      <c r="L532" s="26">
        <f t="shared" si="10"/>
        <v>0</v>
      </c>
      <c r="M532" s="27"/>
      <c r="N532" s="30"/>
      <c r="O532" s="28"/>
      <c r="P532" s="28"/>
      <c r="Q532" s="28"/>
      <c r="R532" s="28"/>
      <c r="S532" s="28"/>
    </row>
    <row r="533">
      <c r="A533" s="17">
        <v>45524.0</v>
      </c>
      <c r="B533" s="18" t="s">
        <v>69</v>
      </c>
      <c r="C533" s="18" t="s">
        <v>19</v>
      </c>
      <c r="D533" s="19"/>
      <c r="E533" s="19"/>
      <c r="F533" s="20">
        <f t="shared" si="7"/>
        <v>0</v>
      </c>
      <c r="G533" s="21">
        <f>IFERROR(VLOOKUP(B533,DADOS!$A$2:$H$252,8,0),"")</f>
        <v>13</v>
      </c>
      <c r="H533" s="22">
        <v>20.0</v>
      </c>
      <c r="I533" s="23">
        <f>IFERROR(VLOOKUP(B533,DADOS!$A$2:$H$252,4,0)*H533,"")</f>
        <v>6.848</v>
      </c>
      <c r="J533" s="36"/>
      <c r="K533" s="25">
        <f>IFERROR(VLOOKUP(B533,DADOS!$A$2:$H$252,4,0)*J533,"")</f>
        <v>0</v>
      </c>
      <c r="L533" s="26">
        <f t="shared" si="10"/>
        <v>0</v>
      </c>
      <c r="M533" s="27"/>
      <c r="N533" s="30"/>
      <c r="O533" s="28"/>
      <c r="P533" s="28"/>
      <c r="Q533" s="28"/>
      <c r="R533" s="28"/>
      <c r="S533" s="28"/>
    </row>
    <row r="534">
      <c r="A534" s="17">
        <v>45524.0</v>
      </c>
      <c r="B534" s="18" t="s">
        <v>70</v>
      </c>
      <c r="C534" s="18" t="s">
        <v>19</v>
      </c>
      <c r="D534" s="19"/>
      <c r="E534" s="19"/>
      <c r="F534" s="20">
        <f t="shared" si="7"/>
        <v>0</v>
      </c>
      <c r="G534" s="21">
        <f>IFERROR(VLOOKUP(B534,DADOS!$A$2:$H$252,8,0),"")</f>
        <v>13</v>
      </c>
      <c r="H534" s="22">
        <v>13.0</v>
      </c>
      <c r="I534" s="23">
        <f>IFERROR(VLOOKUP(B534,DADOS!$A$2:$H$252,4,0)*H534,"")</f>
        <v>4.4512</v>
      </c>
      <c r="J534" s="24">
        <v>7.0</v>
      </c>
      <c r="K534" s="25">
        <f>IFERROR(VLOOKUP(B534,DADOS!$A$2:$H$252,4,0)*J534,"")</f>
        <v>2.3968</v>
      </c>
      <c r="L534" s="26">
        <f t="shared" si="10"/>
        <v>0</v>
      </c>
      <c r="M534" s="27"/>
      <c r="N534" s="30"/>
      <c r="O534" s="28"/>
      <c r="P534" s="28"/>
      <c r="Q534" s="28"/>
      <c r="R534" s="28"/>
      <c r="S534" s="28"/>
    </row>
    <row r="535">
      <c r="A535" s="17">
        <v>45524.0</v>
      </c>
      <c r="B535" s="18" t="s">
        <v>25</v>
      </c>
      <c r="C535" s="18" t="s">
        <v>19</v>
      </c>
      <c r="D535" s="19"/>
      <c r="E535" s="19"/>
      <c r="F535" s="20">
        <f t="shared" si="7"/>
        <v>0</v>
      </c>
      <c r="G535" s="21">
        <f>IFERROR(VLOOKUP(B535,DADOS!$A$2:$H$252,8,0),"")</f>
        <v>40</v>
      </c>
      <c r="H535" s="22">
        <v>99.0</v>
      </c>
      <c r="I535" s="23">
        <f>IFERROR(VLOOKUP(B535,DADOS!$A$2:$H$252,4,0)*H535,"")</f>
        <v>10.254024</v>
      </c>
      <c r="J535" s="24">
        <v>1.0</v>
      </c>
      <c r="K535" s="25">
        <f>IFERROR(VLOOKUP(B535,DADOS!$A$2:$H$252,4,0)*J535,"")</f>
        <v>0.103576</v>
      </c>
      <c r="L535" s="26">
        <f t="shared" si="10"/>
        <v>0</v>
      </c>
      <c r="M535" s="27"/>
      <c r="N535" s="30"/>
      <c r="O535" s="28"/>
      <c r="P535" s="28"/>
      <c r="Q535" s="28"/>
      <c r="R535" s="28"/>
      <c r="S535" s="28"/>
    </row>
    <row r="536">
      <c r="A536" s="17">
        <v>45524.0</v>
      </c>
      <c r="B536" s="18" t="s">
        <v>16</v>
      </c>
      <c r="C536" s="18" t="s">
        <v>146</v>
      </c>
      <c r="D536" s="19"/>
      <c r="E536" s="19"/>
      <c r="F536" s="20">
        <f t="shared" si="7"/>
        <v>0</v>
      </c>
      <c r="G536" s="21">
        <f>IFERROR(VLOOKUP(B536,DADOS!$A$2:$H$252,8,0),"")</f>
        <v>150</v>
      </c>
      <c r="H536" s="22">
        <v>563.0</v>
      </c>
      <c r="I536" s="23">
        <f>IFERROR(VLOOKUP(B536,DADOS!$A$2:$H$252,4,0)*H536,"")</f>
        <v>16.2891664</v>
      </c>
      <c r="J536" s="36"/>
      <c r="K536" s="25">
        <f>IFERROR(VLOOKUP(B536,DADOS!$A$2:$H$252,4,0)*J536,"")</f>
        <v>0</v>
      </c>
      <c r="L536" s="26">
        <f t="shared" si="10"/>
        <v>0</v>
      </c>
      <c r="M536" s="27"/>
      <c r="N536" s="30"/>
      <c r="O536" s="28"/>
      <c r="P536" s="28"/>
      <c r="Q536" s="28"/>
      <c r="R536" s="28"/>
      <c r="S536" s="28"/>
    </row>
    <row r="537">
      <c r="A537" s="17">
        <v>45525.0</v>
      </c>
      <c r="B537" s="18" t="s">
        <v>26</v>
      </c>
      <c r="C537" s="18" t="s">
        <v>19</v>
      </c>
      <c r="D537" s="19"/>
      <c r="E537" s="19"/>
      <c r="F537" s="20">
        <f t="shared" si="7"/>
        <v>0</v>
      </c>
      <c r="G537" s="21">
        <f>IFERROR(VLOOKUP(B537,DADOS!$A$2:$H$252,8,0),"")</f>
        <v>50</v>
      </c>
      <c r="H537" s="22">
        <v>98.0</v>
      </c>
      <c r="I537" s="23">
        <f>IFERROR(VLOOKUP(B537,DADOS!$A$2:$H$252,4,0)*H537,"")</f>
        <v>11.1654928</v>
      </c>
      <c r="J537" s="24">
        <v>1.0</v>
      </c>
      <c r="K537" s="25">
        <f>IFERROR(VLOOKUP(B537,DADOS!$A$2:$H$252,4,0)*J537,"")</f>
        <v>0.1139336</v>
      </c>
      <c r="L537" s="26">
        <f t="shared" si="10"/>
        <v>0</v>
      </c>
      <c r="M537" s="27"/>
      <c r="N537" s="30"/>
      <c r="O537" s="28"/>
      <c r="P537" s="28"/>
      <c r="Q537" s="28"/>
      <c r="R537" s="28"/>
      <c r="S537" s="28"/>
    </row>
    <row r="538">
      <c r="A538" s="17">
        <v>45525.0</v>
      </c>
      <c r="B538" s="18" t="s">
        <v>54</v>
      </c>
      <c r="C538" s="18" t="s">
        <v>19</v>
      </c>
      <c r="D538" s="19"/>
      <c r="E538" s="19"/>
      <c r="F538" s="20">
        <f t="shared" si="7"/>
        <v>0</v>
      </c>
      <c r="G538" s="21" t="str">
        <f>IFERROR(VLOOKUP(B538,DADOS!$A$2:$H$252,8,0),"")</f>
        <v/>
      </c>
      <c r="H538" s="22">
        <v>2.0</v>
      </c>
      <c r="I538" s="23">
        <f>IFERROR(VLOOKUP(B538,DADOS!$A$2:$H$252,4,0)*H538,"")</f>
        <v>2.8048124</v>
      </c>
      <c r="J538" s="24">
        <v>1.0</v>
      </c>
      <c r="K538" s="25">
        <f>IFERROR(VLOOKUP(B538,DADOS!$A$2:$H$252,4,0)*J538,"")</f>
        <v>1.4024062</v>
      </c>
      <c r="L538" s="26">
        <f t="shared" si="10"/>
        <v>0</v>
      </c>
      <c r="M538" s="27"/>
      <c r="N538" s="30"/>
      <c r="O538" s="28"/>
      <c r="P538" s="28"/>
      <c r="Q538" s="28"/>
      <c r="R538" s="28"/>
      <c r="S538" s="28"/>
    </row>
    <row r="539">
      <c r="A539" s="17">
        <v>45525.0</v>
      </c>
      <c r="B539" s="18" t="s">
        <v>16</v>
      </c>
      <c r="C539" s="18" t="s">
        <v>146</v>
      </c>
      <c r="D539" s="19"/>
      <c r="E539" s="19"/>
      <c r="F539" s="20">
        <f t="shared" si="7"/>
        <v>0</v>
      </c>
      <c r="G539" s="21">
        <f>IFERROR(VLOOKUP(B539,DADOS!$A$2:$H$252,8,0),"")</f>
        <v>150</v>
      </c>
      <c r="H539" s="22">
        <v>328.0</v>
      </c>
      <c r="I539" s="23">
        <f>IFERROR(VLOOKUP(B539,DADOS!$A$2:$H$252,4,0)*H539,"")</f>
        <v>9.4899584</v>
      </c>
      <c r="J539" s="36"/>
      <c r="K539" s="25">
        <f>IFERROR(VLOOKUP(B539,DADOS!$A$2:$H$252,4,0)*J539,"")</f>
        <v>0</v>
      </c>
      <c r="L539" s="26">
        <f t="shared" si="10"/>
        <v>0</v>
      </c>
      <c r="M539" s="27"/>
      <c r="N539" s="30"/>
      <c r="O539" s="28"/>
      <c r="P539" s="28"/>
      <c r="Q539" s="28"/>
      <c r="R539" s="28"/>
      <c r="S539" s="28"/>
    </row>
    <row r="540">
      <c r="A540" s="17">
        <v>45525.0</v>
      </c>
      <c r="B540" s="18" t="s">
        <v>27</v>
      </c>
      <c r="C540" s="18" t="s">
        <v>146</v>
      </c>
      <c r="D540" s="19"/>
      <c r="E540" s="19"/>
      <c r="F540" s="20">
        <f t="shared" si="7"/>
        <v>0</v>
      </c>
      <c r="G540" s="21">
        <f>IFERROR(VLOOKUP(B540,DADOS!$A$2:$H$252,8,0),"")</f>
        <v>30</v>
      </c>
      <c r="H540" s="22">
        <v>97.0</v>
      </c>
      <c r="I540" s="23">
        <f>IFERROR(VLOOKUP(B540,DADOS!$A$2:$H$252,4,0)*H540,"")</f>
        <v>1.66064</v>
      </c>
      <c r="J540" s="24">
        <v>15.0</v>
      </c>
      <c r="K540" s="25">
        <f>IFERROR(VLOOKUP(B540,DADOS!$A$2:$H$252,4,0)*J540,"")</f>
        <v>0.2568</v>
      </c>
      <c r="L540" s="26">
        <f t="shared" si="10"/>
        <v>0</v>
      </c>
      <c r="M540" s="27"/>
      <c r="N540" s="30"/>
      <c r="O540" s="28"/>
      <c r="P540" s="28"/>
      <c r="Q540" s="28"/>
      <c r="R540" s="28"/>
      <c r="S540" s="28"/>
    </row>
    <row r="541">
      <c r="A541" s="17">
        <v>45525.0</v>
      </c>
      <c r="B541" s="18" t="s">
        <v>145</v>
      </c>
      <c r="C541" s="18"/>
      <c r="D541" s="19"/>
      <c r="E541" s="19"/>
      <c r="F541" s="20">
        <f t="shared" si="7"/>
        <v>0</v>
      </c>
      <c r="G541" s="21">
        <f>IFERROR(VLOOKUP(B541,DADOS!$A$2:$H$252,8,0),"")</f>
        <v>43</v>
      </c>
      <c r="H541" s="22"/>
      <c r="I541" s="23">
        <f>IFERROR(VLOOKUP(B541,DADOS!$A$2:$H$252,4,0)*H541,"")</f>
        <v>0</v>
      </c>
      <c r="J541" s="24">
        <v>2.0</v>
      </c>
      <c r="K541" s="25">
        <f>IFERROR(VLOOKUP(B541,DADOS!$A$2:$H$252,4,0)*J541,"")</f>
        <v>0.42372</v>
      </c>
      <c r="L541" s="26" t="str">
        <f t="shared" si="10"/>
        <v/>
      </c>
      <c r="M541" s="27"/>
      <c r="N541" s="30"/>
      <c r="O541" s="28"/>
      <c r="P541" s="28"/>
      <c r="Q541" s="28"/>
      <c r="R541" s="28"/>
      <c r="S541" s="28"/>
    </row>
    <row r="542">
      <c r="A542" s="17">
        <v>45525.0</v>
      </c>
      <c r="B542" s="37" t="s">
        <v>147</v>
      </c>
      <c r="C542" s="18"/>
      <c r="D542" s="19"/>
      <c r="E542" s="19"/>
      <c r="F542" s="20">
        <f t="shared" si="7"/>
        <v>0</v>
      </c>
      <c r="G542" s="21" t="str">
        <f>IFERROR(VLOOKUP(B542,DADOS!$A$2:$H$252,8,0),"")</f>
        <v/>
      </c>
      <c r="H542" s="22"/>
      <c r="I542" s="23" t="str">
        <f>IFERROR(VLOOKUP(B542,DADOS!$A$2:$H$252,4,0)*H542,"")</f>
        <v/>
      </c>
      <c r="J542" s="24">
        <v>1.0</v>
      </c>
      <c r="K542" s="25" t="str">
        <f>IFERROR(VLOOKUP(B542,DADOS!$A$2:$H$252,4,0)*J542,"")</f>
        <v/>
      </c>
      <c r="L542" s="26" t="str">
        <f t="shared" si="10"/>
        <v/>
      </c>
      <c r="M542" s="27"/>
      <c r="N542" s="30"/>
      <c r="O542" s="28"/>
      <c r="P542" s="28"/>
      <c r="Q542" s="28"/>
      <c r="R542" s="28"/>
      <c r="S542" s="28"/>
    </row>
    <row r="543">
      <c r="A543" s="17">
        <v>45525.0</v>
      </c>
      <c r="B543" s="18" t="s">
        <v>116</v>
      </c>
      <c r="C543" s="18"/>
      <c r="D543" s="19"/>
      <c r="E543" s="19"/>
      <c r="F543" s="20">
        <f t="shared" si="7"/>
        <v>0</v>
      </c>
      <c r="G543" s="21">
        <f>IFERROR(VLOOKUP(B543,DADOS!$A$2:$H$252,8,0),"")</f>
        <v>15</v>
      </c>
      <c r="H543" s="22"/>
      <c r="I543" s="23">
        <f>IFERROR(VLOOKUP(B543,DADOS!$A$2:$H$252,4,0)*H543,"")</f>
        <v>0</v>
      </c>
      <c r="J543" s="24">
        <v>1.0</v>
      </c>
      <c r="K543" s="25">
        <f>IFERROR(VLOOKUP(B543,DADOS!$A$2:$H$252,4,0)*J543,"")</f>
        <v>0.277344</v>
      </c>
      <c r="L543" s="26" t="str">
        <f t="shared" si="10"/>
        <v/>
      </c>
      <c r="M543" s="27"/>
      <c r="N543" s="30"/>
      <c r="O543" s="28"/>
      <c r="P543" s="28"/>
      <c r="Q543" s="28"/>
      <c r="R543" s="28"/>
      <c r="S543" s="28"/>
    </row>
    <row r="544">
      <c r="A544" s="17">
        <v>45525.0</v>
      </c>
      <c r="B544" s="18" t="s">
        <v>108</v>
      </c>
      <c r="C544" s="18"/>
      <c r="D544" s="19"/>
      <c r="E544" s="19"/>
      <c r="F544" s="20">
        <f t="shared" si="7"/>
        <v>0</v>
      </c>
      <c r="G544" s="21" t="str">
        <f>IFERROR(VLOOKUP(B544,DADOS!$A$2:$H$252,8,0),"")</f>
        <v/>
      </c>
      <c r="H544" s="22"/>
      <c r="I544" s="23" t="str">
        <f>IFERROR(VLOOKUP(B544,DADOS!$A$2:$H$252,4,0)*H544,"")</f>
        <v/>
      </c>
      <c r="J544" s="24">
        <v>2.0</v>
      </c>
      <c r="K544" s="25" t="str">
        <f>IFERROR(VLOOKUP(B544,DADOS!$A$2:$H$252,4,0)*J544,"")</f>
        <v/>
      </c>
      <c r="L544" s="26" t="str">
        <f t="shared" si="10"/>
        <v/>
      </c>
      <c r="M544" s="27"/>
      <c r="N544" s="30"/>
      <c r="O544" s="28"/>
      <c r="P544" s="28"/>
      <c r="Q544" s="28"/>
      <c r="R544" s="28"/>
      <c r="S544" s="28"/>
    </row>
    <row r="545">
      <c r="A545" s="17">
        <v>45525.0</v>
      </c>
      <c r="B545" s="18" t="s">
        <v>148</v>
      </c>
      <c r="C545" s="18"/>
      <c r="D545" s="19"/>
      <c r="E545" s="19"/>
      <c r="F545" s="20">
        <f t="shared" si="7"/>
        <v>0</v>
      </c>
      <c r="G545" s="21">
        <f>IFERROR(VLOOKUP(B545,DADOS!$A$2:$H$252,8,0),"")</f>
        <v>22</v>
      </c>
      <c r="H545" s="22"/>
      <c r="I545" s="23">
        <f>IFERROR(VLOOKUP(B545,DADOS!$A$2:$H$252,4,0)*H545,"")</f>
        <v>0</v>
      </c>
      <c r="J545" s="24">
        <v>1.0</v>
      </c>
      <c r="K545" s="25">
        <f>IFERROR(VLOOKUP(B545,DADOS!$A$2:$H$252,4,0)*J545,"")</f>
        <v>0.061846</v>
      </c>
      <c r="L545" s="26" t="str">
        <f t="shared" si="10"/>
        <v/>
      </c>
      <c r="M545" s="27"/>
      <c r="N545" s="30"/>
      <c r="O545" s="28"/>
      <c r="P545" s="28"/>
      <c r="Q545" s="28"/>
      <c r="R545" s="28"/>
      <c r="S545" s="28"/>
    </row>
    <row r="546">
      <c r="A546" s="17">
        <v>45525.0</v>
      </c>
      <c r="B546" s="18" t="s">
        <v>43</v>
      </c>
      <c r="C546" s="18"/>
      <c r="D546" s="19"/>
      <c r="E546" s="19"/>
      <c r="F546" s="20">
        <f t="shared" si="7"/>
        <v>0</v>
      </c>
      <c r="G546" s="21" t="str">
        <f>IFERROR(VLOOKUP(B546,DADOS!$A$2:$H$252,8,0),"")</f>
        <v/>
      </c>
      <c r="H546" s="22"/>
      <c r="I546" s="23" t="str">
        <f>IFERROR(VLOOKUP(B546,DADOS!$A$2:$H$252,4,0)*H546,"")</f>
        <v/>
      </c>
      <c r="J546" s="24">
        <v>2.0</v>
      </c>
      <c r="K546" s="25" t="str">
        <f>IFERROR(VLOOKUP(B546,DADOS!$A$2:$H$252,4,0)*J546,"")</f>
        <v/>
      </c>
      <c r="L546" s="26" t="str">
        <f t="shared" si="10"/>
        <v/>
      </c>
      <c r="M546" s="27"/>
      <c r="N546" s="30"/>
      <c r="O546" s="28"/>
      <c r="P546" s="28"/>
      <c r="Q546" s="28"/>
      <c r="R546" s="28"/>
      <c r="S546" s="28"/>
    </row>
    <row r="547">
      <c r="A547" s="17">
        <v>45525.0</v>
      </c>
      <c r="B547" s="18" t="s">
        <v>63</v>
      </c>
      <c r="C547" s="18"/>
      <c r="D547" s="19"/>
      <c r="E547" s="19"/>
      <c r="F547" s="20">
        <f t="shared" si="7"/>
        <v>0</v>
      </c>
      <c r="G547" s="21" t="str">
        <f>IFERROR(VLOOKUP(B547,DADOS!$A$2:$H$252,8,0),"")</f>
        <v/>
      </c>
      <c r="H547" s="22"/>
      <c r="I547" s="23">
        <f>IFERROR(VLOOKUP(B547,DADOS!$A$2:$H$252,4,0)*H547,"")</f>
        <v>0</v>
      </c>
      <c r="J547" s="24">
        <v>1.0</v>
      </c>
      <c r="K547" s="25">
        <f>IFERROR(VLOOKUP(B547,DADOS!$A$2:$H$252,4,0)*J547,"")</f>
        <v>0</v>
      </c>
      <c r="L547" s="26" t="str">
        <f t="shared" si="10"/>
        <v/>
      </c>
      <c r="M547" s="27"/>
      <c r="N547" s="30"/>
      <c r="O547" s="28"/>
      <c r="P547" s="28"/>
      <c r="Q547" s="28"/>
      <c r="R547" s="28"/>
      <c r="S547" s="28"/>
    </row>
    <row r="548">
      <c r="A548" s="17">
        <v>45525.0</v>
      </c>
      <c r="B548" s="18" t="s">
        <v>47</v>
      </c>
      <c r="C548" s="18"/>
      <c r="D548" s="19"/>
      <c r="E548" s="19"/>
      <c r="F548" s="20">
        <f t="shared" si="7"/>
        <v>0</v>
      </c>
      <c r="G548" s="21">
        <f>IFERROR(VLOOKUP(B548,DADOS!$A$2:$H$252,8,0),"")</f>
        <v>35</v>
      </c>
      <c r="H548" s="22"/>
      <c r="I548" s="23">
        <f>IFERROR(VLOOKUP(B548,DADOS!$A$2:$H$252,4,0)*H548,"")</f>
        <v>0</v>
      </c>
      <c r="J548" s="24">
        <v>1.0</v>
      </c>
      <c r="K548" s="25">
        <f>IFERROR(VLOOKUP(B548,DADOS!$A$2:$H$252,4,0)*J548,"")</f>
        <v>0.1139336</v>
      </c>
      <c r="L548" s="26" t="str">
        <f t="shared" si="10"/>
        <v/>
      </c>
      <c r="M548" s="27"/>
      <c r="N548" s="30"/>
      <c r="O548" s="28"/>
      <c r="P548" s="28"/>
      <c r="Q548" s="28"/>
      <c r="R548" s="28"/>
      <c r="S548" s="28"/>
    </row>
    <row r="549">
      <c r="A549" s="17">
        <v>45525.0</v>
      </c>
      <c r="B549" s="18" t="s">
        <v>37</v>
      </c>
      <c r="C549" s="18"/>
      <c r="D549" s="19"/>
      <c r="E549" s="19"/>
      <c r="F549" s="20">
        <f t="shared" si="7"/>
        <v>0</v>
      </c>
      <c r="G549" s="21" t="str">
        <f>IFERROR(VLOOKUP(B549,DADOS!$A$2:$H$252,8,0),"")</f>
        <v/>
      </c>
      <c r="H549" s="22"/>
      <c r="I549" s="23" t="str">
        <f>IFERROR(VLOOKUP(B549,DADOS!$A$2:$H$252,4,0)*H549,"")</f>
        <v/>
      </c>
      <c r="J549" s="24">
        <v>1.0</v>
      </c>
      <c r="K549" s="25" t="str">
        <f>IFERROR(VLOOKUP(B549,DADOS!$A$2:$H$252,4,0)*J549,"")</f>
        <v/>
      </c>
      <c r="L549" s="26" t="str">
        <f t="shared" si="10"/>
        <v/>
      </c>
      <c r="M549" s="27"/>
      <c r="N549" s="30"/>
      <c r="O549" s="28"/>
      <c r="P549" s="28"/>
      <c r="Q549" s="28"/>
      <c r="R549" s="28"/>
      <c r="S549" s="28"/>
    </row>
    <row r="550">
      <c r="A550" s="17">
        <v>45526.0</v>
      </c>
      <c r="B550" s="18" t="s">
        <v>33</v>
      </c>
      <c r="C550" s="18" t="s">
        <v>19</v>
      </c>
      <c r="D550" s="19"/>
      <c r="E550" s="19"/>
      <c r="F550" s="20">
        <f t="shared" si="7"/>
        <v>0</v>
      </c>
      <c r="G550" s="21">
        <f>IFERROR(VLOOKUP(B550,DADOS!$A$2:$H$252,8,0),"")</f>
        <v>7</v>
      </c>
      <c r="H550" s="22">
        <v>10.0</v>
      </c>
      <c r="I550" s="23">
        <f>IFERROR(VLOOKUP(B550,DADOS!$A$2:$H$252,4,0)*H550,"")</f>
        <v>14.024062</v>
      </c>
      <c r="J550" s="36"/>
      <c r="K550" s="25">
        <f>IFERROR(VLOOKUP(B550,DADOS!$A$2:$H$252,4,0)*J550,"")</f>
        <v>0</v>
      </c>
      <c r="L550" s="26">
        <f t="shared" si="10"/>
        <v>0</v>
      </c>
      <c r="M550" s="27"/>
      <c r="N550" s="30"/>
      <c r="O550" s="28"/>
      <c r="P550" s="28"/>
      <c r="Q550" s="28"/>
      <c r="R550" s="28"/>
      <c r="S550" s="28"/>
    </row>
    <row r="551">
      <c r="A551" s="17">
        <v>45526.0</v>
      </c>
      <c r="B551" s="18" t="s">
        <v>115</v>
      </c>
      <c r="C551" s="18" t="s">
        <v>19</v>
      </c>
      <c r="D551" s="19"/>
      <c r="E551" s="19"/>
      <c r="F551" s="20">
        <f t="shared" si="7"/>
        <v>0</v>
      </c>
      <c r="G551" s="21">
        <f>IFERROR(VLOOKUP(B551,DADOS!$A$2:$H$252,8,0),"")</f>
        <v>12</v>
      </c>
      <c r="H551" s="22">
        <v>20.0</v>
      </c>
      <c r="I551" s="23">
        <f>IFERROR(VLOOKUP(B551,DADOS!$A$2:$H$252,4,0)*H551,"")</f>
        <v>5.85932</v>
      </c>
      <c r="J551" s="36"/>
      <c r="K551" s="25">
        <f>IFERROR(VLOOKUP(B551,DADOS!$A$2:$H$252,4,0)*J551,"")</f>
        <v>0</v>
      </c>
      <c r="L551" s="26">
        <f t="shared" si="10"/>
        <v>0</v>
      </c>
      <c r="M551" s="27"/>
      <c r="N551" s="30"/>
      <c r="O551" s="28"/>
      <c r="P551" s="28"/>
      <c r="Q551" s="28"/>
      <c r="R551" s="28"/>
      <c r="S551" s="28"/>
    </row>
    <row r="552">
      <c r="A552" s="17">
        <v>45526.0</v>
      </c>
      <c r="B552" s="18" t="s">
        <v>27</v>
      </c>
      <c r="C552" s="18" t="s">
        <v>146</v>
      </c>
      <c r="D552" s="19"/>
      <c r="E552" s="19"/>
      <c r="F552" s="20">
        <f t="shared" si="7"/>
        <v>0</v>
      </c>
      <c r="G552" s="21">
        <f>IFERROR(VLOOKUP(B552,DADOS!$A$2:$H$252,8,0),"")</f>
        <v>30</v>
      </c>
      <c r="H552" s="22">
        <v>210.0</v>
      </c>
      <c r="I552" s="23">
        <f>IFERROR(VLOOKUP(B552,DADOS!$A$2:$H$252,4,0)*H552,"")</f>
        <v>3.5952</v>
      </c>
      <c r="J552" s="24">
        <v>30.0</v>
      </c>
      <c r="K552" s="25">
        <f>IFERROR(VLOOKUP(B552,DADOS!$A$2:$H$252,4,0)*J552,"")</f>
        <v>0.5136</v>
      </c>
      <c r="L552" s="26">
        <f t="shared" si="10"/>
        <v>0</v>
      </c>
      <c r="M552" s="27"/>
      <c r="N552" s="30"/>
      <c r="O552" s="28"/>
      <c r="P552" s="28"/>
      <c r="Q552" s="28"/>
      <c r="R552" s="28"/>
      <c r="S552" s="28"/>
    </row>
    <row r="553">
      <c r="A553" s="17">
        <v>45527.0</v>
      </c>
      <c r="B553" s="18" t="s">
        <v>59</v>
      </c>
      <c r="C553" s="18" t="s">
        <v>146</v>
      </c>
      <c r="D553" s="19"/>
      <c r="E553" s="19"/>
      <c r="F553" s="20">
        <f t="shared" si="7"/>
        <v>0</v>
      </c>
      <c r="G553" s="21">
        <f>IFERROR(VLOOKUP(B553,DADOS!$A$2:$H$252,8,0),"")</f>
        <v>50</v>
      </c>
      <c r="H553" s="22">
        <v>173.0</v>
      </c>
      <c r="I553" s="23">
        <f>IFERROR(VLOOKUP(B553,DADOS!$A$2:$H$252,4,0)*H553,"")</f>
        <v>2.96176</v>
      </c>
      <c r="J553" s="24">
        <v>9.0</v>
      </c>
      <c r="K553" s="25">
        <f>IFERROR(VLOOKUP(B553,DADOS!$A$2:$H$252,4,0)*J553,"")</f>
        <v>0.15408</v>
      </c>
      <c r="L553" s="26">
        <f t="shared" si="10"/>
        <v>0</v>
      </c>
      <c r="M553" s="27"/>
      <c r="N553" s="30"/>
      <c r="O553" s="28"/>
      <c r="P553" s="28"/>
      <c r="Q553" s="28"/>
      <c r="R553" s="28"/>
      <c r="S553" s="28"/>
    </row>
    <row r="554">
      <c r="A554" s="17">
        <v>45528.0</v>
      </c>
      <c r="B554" s="18" t="s">
        <v>71</v>
      </c>
      <c r="C554" s="18" t="s">
        <v>23</v>
      </c>
      <c r="D554" s="19"/>
      <c r="E554" s="19"/>
      <c r="F554" s="20">
        <f t="shared" si="7"/>
        <v>0</v>
      </c>
      <c r="G554" s="21">
        <f>IFERROR(VLOOKUP(B554,DADOS!$A$2:$H$252,8,0),"")</f>
        <v>7</v>
      </c>
      <c r="H554" s="22">
        <v>30.0</v>
      </c>
      <c r="I554" s="23">
        <f>IFERROR(VLOOKUP(B554,DADOS!$A$2:$H$252,4,0)*H554,"")</f>
        <v>42.072186</v>
      </c>
      <c r="J554" s="36"/>
      <c r="K554" s="25">
        <f>IFERROR(VLOOKUP(B554,DADOS!$A$2:$H$252,4,0)*J554,"")</f>
        <v>0</v>
      </c>
      <c r="L554" s="26">
        <f t="shared" si="10"/>
        <v>0</v>
      </c>
      <c r="M554" s="27"/>
      <c r="N554" s="30"/>
      <c r="O554" s="28"/>
      <c r="P554" s="28"/>
      <c r="Q554" s="28"/>
      <c r="R554" s="28"/>
      <c r="S554" s="28"/>
    </row>
    <row r="555">
      <c r="A555" s="17">
        <v>45528.0</v>
      </c>
      <c r="B555" s="18" t="s">
        <v>130</v>
      </c>
      <c r="C555" s="18" t="s">
        <v>23</v>
      </c>
      <c r="D555" s="19"/>
      <c r="E555" s="19"/>
      <c r="F555" s="20">
        <f t="shared" si="7"/>
        <v>0</v>
      </c>
      <c r="G555" s="21" t="str">
        <f>IFERROR(VLOOKUP(B555,DADOS!$A$2:$H$252,8,0),"")</f>
        <v/>
      </c>
      <c r="H555" s="22">
        <v>4.0</v>
      </c>
      <c r="I555" s="23">
        <f>IFERROR(VLOOKUP(B555,DADOS!$A$2:$H$252,4,0)*H555,"")</f>
        <v>5.9301112</v>
      </c>
      <c r="J555" s="36"/>
      <c r="K555" s="25">
        <f>IFERROR(VLOOKUP(B555,DADOS!$A$2:$H$252,4,0)*J555,"")</f>
        <v>0</v>
      </c>
      <c r="L555" s="26">
        <f t="shared" si="10"/>
        <v>0</v>
      </c>
      <c r="M555" s="27"/>
      <c r="N555" s="30"/>
      <c r="O555" s="28"/>
      <c r="P555" s="28"/>
      <c r="Q555" s="28"/>
      <c r="R555" s="28"/>
      <c r="S555" s="28"/>
    </row>
    <row r="556">
      <c r="A556" s="17">
        <v>45530.0</v>
      </c>
      <c r="B556" s="18" t="s">
        <v>76</v>
      </c>
      <c r="C556" s="18" t="s">
        <v>146</v>
      </c>
      <c r="D556" s="19"/>
      <c r="E556" s="19"/>
      <c r="F556" s="20">
        <f t="shared" si="7"/>
        <v>0</v>
      </c>
      <c r="G556" s="21">
        <f>IFERROR(VLOOKUP(B556,DADOS!$A$2:$H$252,8,0),"")</f>
        <v>120</v>
      </c>
      <c r="H556" s="22">
        <v>90.0</v>
      </c>
      <c r="I556" s="23">
        <f>IFERROR(VLOOKUP(B556,DADOS!$A$2:$H$252,4,0)*H556,"")</f>
        <v>0.234009</v>
      </c>
      <c r="J556" s="36"/>
      <c r="K556" s="25">
        <f>IFERROR(VLOOKUP(B556,DADOS!$A$2:$H$252,4,0)*J556,"")</f>
        <v>0</v>
      </c>
      <c r="L556" s="26">
        <f t="shared" si="10"/>
        <v>0</v>
      </c>
      <c r="M556" s="27"/>
      <c r="N556" s="30"/>
      <c r="O556" s="28"/>
      <c r="P556" s="28"/>
      <c r="Q556" s="28"/>
      <c r="R556" s="28"/>
      <c r="S556" s="28"/>
    </row>
    <row r="557">
      <c r="A557" s="17">
        <v>45530.0</v>
      </c>
      <c r="B557" s="18" t="s">
        <v>57</v>
      </c>
      <c r="C557" s="18" t="s">
        <v>146</v>
      </c>
      <c r="D557" s="19"/>
      <c r="E557" s="19"/>
      <c r="F557" s="20">
        <f t="shared" si="7"/>
        <v>0</v>
      </c>
      <c r="G557" s="21">
        <f>IFERROR(VLOOKUP(B557,DADOS!$A$2:$H$252,8,0),"")</f>
        <v>100</v>
      </c>
      <c r="H557" s="22">
        <v>200.0</v>
      </c>
      <c r="I557" s="23">
        <f>IFERROR(VLOOKUP(B557,DADOS!$A$2:$H$252,4,0)*H557,"")</f>
        <v>3.424</v>
      </c>
      <c r="J557" s="36"/>
      <c r="K557" s="25">
        <f>IFERROR(VLOOKUP(B557,DADOS!$A$2:$H$252,4,0)*J557,"")</f>
        <v>0</v>
      </c>
      <c r="L557" s="26">
        <f t="shared" si="10"/>
        <v>0</v>
      </c>
      <c r="M557" s="27"/>
      <c r="N557" s="30"/>
      <c r="O557" s="28"/>
      <c r="P557" s="28"/>
      <c r="Q557" s="28"/>
      <c r="R557" s="28"/>
      <c r="S557" s="28"/>
    </row>
    <row r="558">
      <c r="A558" s="17">
        <v>45530.0</v>
      </c>
      <c r="B558" s="18" t="s">
        <v>16</v>
      </c>
      <c r="C558" s="18" t="s">
        <v>146</v>
      </c>
      <c r="D558" s="19"/>
      <c r="E558" s="19"/>
      <c r="F558" s="20">
        <f t="shared" si="7"/>
        <v>0</v>
      </c>
      <c r="G558" s="21">
        <f>IFERROR(VLOOKUP(B558,DADOS!$A$2:$H$252,8,0),"")</f>
        <v>150</v>
      </c>
      <c r="H558" s="22">
        <v>454.0</v>
      </c>
      <c r="I558" s="23">
        <f>IFERROR(VLOOKUP(B558,DADOS!$A$2:$H$252,4,0)*H558,"")</f>
        <v>13.1354912</v>
      </c>
      <c r="J558" s="24">
        <v>1.0</v>
      </c>
      <c r="K558" s="25">
        <f>IFERROR(VLOOKUP(B558,DADOS!$A$2:$H$252,4,0)*J558,"")</f>
        <v>0.0289328</v>
      </c>
      <c r="L558" s="26">
        <f t="shared" si="10"/>
        <v>0</v>
      </c>
      <c r="M558" s="27"/>
      <c r="N558" s="30"/>
      <c r="O558" s="28"/>
      <c r="P558" s="28"/>
      <c r="Q558" s="28"/>
      <c r="R558" s="28"/>
      <c r="S558" s="28"/>
    </row>
    <row r="559">
      <c r="A559" s="17">
        <v>45531.0</v>
      </c>
      <c r="B559" s="18" t="s">
        <v>72</v>
      </c>
      <c r="C559" s="18" t="s">
        <v>146</v>
      </c>
      <c r="D559" s="19"/>
      <c r="E559" s="19"/>
      <c r="F559" s="20">
        <f t="shared" si="7"/>
        <v>0</v>
      </c>
      <c r="G559" s="21">
        <f>IFERROR(VLOOKUP(B559,DADOS!$A$2:$H$252,8,0),"")</f>
        <v>43</v>
      </c>
      <c r="H559" s="22">
        <v>197.0</v>
      </c>
      <c r="I559" s="23">
        <f>IFERROR(VLOOKUP(B559,DADOS!$A$2:$H$252,4,0)*H559,"")</f>
        <v>3.37264</v>
      </c>
      <c r="J559" s="24">
        <v>3.0</v>
      </c>
      <c r="K559" s="25">
        <f>IFERROR(VLOOKUP(B559,DADOS!$A$2:$H$252,4,0)*J559,"")</f>
        <v>0.05136</v>
      </c>
      <c r="L559" s="26">
        <f t="shared" si="10"/>
        <v>0</v>
      </c>
      <c r="M559" s="27"/>
      <c r="N559" s="30"/>
      <c r="O559" s="28"/>
      <c r="P559" s="28"/>
      <c r="Q559" s="28"/>
      <c r="R559" s="28"/>
      <c r="S559" s="28"/>
    </row>
    <row r="560">
      <c r="A560" s="17">
        <v>45532.0</v>
      </c>
      <c r="B560" s="18" t="s">
        <v>18</v>
      </c>
      <c r="C560" s="18" t="s">
        <v>19</v>
      </c>
      <c r="D560" s="19"/>
      <c r="E560" s="19"/>
      <c r="F560" s="20">
        <f t="shared" si="7"/>
        <v>0</v>
      </c>
      <c r="G560" s="21">
        <f>IFERROR(VLOOKUP(B560,DADOS!$A$2:$H$252,8,0),"")</f>
        <v>21</v>
      </c>
      <c r="H560" s="22">
        <v>55.0</v>
      </c>
      <c r="I560" s="23">
        <f>IFERROR(VLOOKUP(B560,DADOS!$A$2:$H$252,4,0)*H560,"")</f>
        <v>16.11313</v>
      </c>
      <c r="J560" s="36"/>
      <c r="K560" s="25">
        <f>IFERROR(VLOOKUP(B560,DADOS!$A$2:$H$252,4,0)*J560,"")</f>
        <v>0</v>
      </c>
      <c r="L560" s="26">
        <f t="shared" si="10"/>
        <v>0</v>
      </c>
      <c r="M560" s="27"/>
      <c r="N560" s="30"/>
      <c r="O560" s="28"/>
      <c r="P560" s="28"/>
      <c r="Q560" s="28"/>
      <c r="R560" s="28"/>
      <c r="S560" s="28"/>
    </row>
    <row r="561">
      <c r="A561" s="17">
        <v>45532.0</v>
      </c>
      <c r="B561" s="18" t="s">
        <v>25</v>
      </c>
      <c r="C561" s="18" t="s">
        <v>19</v>
      </c>
      <c r="D561" s="19"/>
      <c r="E561" s="19"/>
      <c r="F561" s="20">
        <f t="shared" si="7"/>
        <v>0</v>
      </c>
      <c r="G561" s="21">
        <f>IFERROR(VLOOKUP(B561,DADOS!$A$2:$H$252,8,0),"")</f>
        <v>40</v>
      </c>
      <c r="H561" s="22">
        <v>30.0</v>
      </c>
      <c r="I561" s="23">
        <f>IFERROR(VLOOKUP(B561,DADOS!$A$2:$H$252,4,0)*H561,"")</f>
        <v>3.10728</v>
      </c>
      <c r="J561" s="36"/>
      <c r="K561" s="25">
        <f>IFERROR(VLOOKUP(B561,DADOS!$A$2:$H$252,4,0)*J561,"")</f>
        <v>0</v>
      </c>
      <c r="L561" s="26">
        <f t="shared" si="10"/>
        <v>0</v>
      </c>
      <c r="M561" s="27"/>
      <c r="N561" s="30"/>
      <c r="O561" s="28"/>
      <c r="P561" s="28"/>
      <c r="Q561" s="28"/>
      <c r="R561" s="28"/>
      <c r="S561" s="28"/>
    </row>
    <row r="562">
      <c r="A562" s="17">
        <v>45532.0</v>
      </c>
      <c r="B562" s="18" t="s">
        <v>26</v>
      </c>
      <c r="C562" s="18" t="s">
        <v>19</v>
      </c>
      <c r="D562" s="19"/>
      <c r="E562" s="19"/>
      <c r="F562" s="20">
        <f t="shared" si="7"/>
        <v>0</v>
      </c>
      <c r="G562" s="21">
        <f>IFERROR(VLOOKUP(B562,DADOS!$A$2:$H$252,8,0),"")</f>
        <v>50</v>
      </c>
      <c r="H562" s="22">
        <v>28.0</v>
      </c>
      <c r="I562" s="23">
        <f>IFERROR(VLOOKUP(B562,DADOS!$A$2:$H$252,4,0)*H562,"")</f>
        <v>3.1901408</v>
      </c>
      <c r="J562" s="24">
        <v>2.0</v>
      </c>
      <c r="K562" s="25">
        <f>IFERROR(VLOOKUP(B562,DADOS!$A$2:$H$252,4,0)*J562,"")</f>
        <v>0.2278672</v>
      </c>
      <c r="L562" s="26">
        <f t="shared" si="10"/>
        <v>0</v>
      </c>
      <c r="M562" s="27"/>
      <c r="N562" s="30"/>
      <c r="O562" s="28"/>
      <c r="P562" s="28"/>
      <c r="Q562" s="28"/>
      <c r="R562" s="28"/>
      <c r="S562" s="28"/>
    </row>
    <row r="563">
      <c r="A563" s="17">
        <v>45532.0</v>
      </c>
      <c r="B563" s="18" t="s">
        <v>75</v>
      </c>
      <c r="C563" s="18" t="s">
        <v>19</v>
      </c>
      <c r="D563" s="19"/>
      <c r="E563" s="19"/>
      <c r="F563" s="20">
        <f t="shared" si="7"/>
        <v>0</v>
      </c>
      <c r="G563" s="21">
        <f>IFERROR(VLOOKUP(B563,DADOS!$A$2:$H$252,8,0),"")</f>
        <v>23</v>
      </c>
      <c r="H563" s="22">
        <v>50.0</v>
      </c>
      <c r="I563" s="23">
        <f>IFERROR(VLOOKUP(B563,DADOS!$A$2:$H$252,4,0)*H563,"")</f>
        <v>5.69668</v>
      </c>
      <c r="J563" s="36"/>
      <c r="K563" s="25">
        <f>IFERROR(VLOOKUP(B563,DADOS!$A$2:$H$252,4,0)*J563,"")</f>
        <v>0</v>
      </c>
      <c r="L563" s="26">
        <f t="shared" si="10"/>
        <v>0</v>
      </c>
      <c r="M563" s="27"/>
      <c r="N563" s="30"/>
      <c r="O563" s="28"/>
      <c r="P563" s="28"/>
      <c r="Q563" s="28"/>
      <c r="R563" s="28"/>
      <c r="S563" s="28"/>
    </row>
    <row r="564">
      <c r="A564" s="17">
        <v>45533.0</v>
      </c>
      <c r="B564" s="18" t="s">
        <v>56</v>
      </c>
      <c r="C564" s="18" t="s">
        <v>17</v>
      </c>
      <c r="D564" s="19"/>
      <c r="E564" s="19"/>
      <c r="F564" s="20">
        <f t="shared" si="7"/>
        <v>0</v>
      </c>
      <c r="G564" s="21">
        <f>IFERROR(VLOOKUP(B564,DADOS!$A$2:$H$252,8,0),"")</f>
        <v>162</v>
      </c>
      <c r="H564" s="22">
        <v>50.0</v>
      </c>
      <c r="I564" s="23">
        <f>IFERROR(VLOOKUP(B564,DADOS!$A$2:$H$252,4,0)*H564,"")</f>
        <v>0.4815</v>
      </c>
      <c r="J564" s="36"/>
      <c r="K564" s="25">
        <f>IFERROR(VLOOKUP(B564,DADOS!$A$2:$H$252,4,0)*J564,"")</f>
        <v>0</v>
      </c>
      <c r="L564" s="26">
        <f t="shared" si="10"/>
        <v>0</v>
      </c>
      <c r="M564" s="27"/>
      <c r="N564" s="30"/>
      <c r="O564" s="28"/>
      <c r="P564" s="28"/>
      <c r="Q564" s="28"/>
      <c r="R564" s="28"/>
      <c r="S564" s="28"/>
    </row>
    <row r="565">
      <c r="A565" s="17">
        <v>45533.0</v>
      </c>
      <c r="B565" s="18" t="s">
        <v>64</v>
      </c>
      <c r="C565" s="18" t="s">
        <v>19</v>
      </c>
      <c r="D565" s="19"/>
      <c r="E565" s="19"/>
      <c r="F565" s="20">
        <f t="shared" si="7"/>
        <v>0</v>
      </c>
      <c r="G565" s="21">
        <f>IFERROR(VLOOKUP(B565,DADOS!$A$2:$H$252,8,0),"")</f>
        <v>21</v>
      </c>
      <c r="H565" s="22">
        <v>19.0</v>
      </c>
      <c r="I565" s="23">
        <f>IFERROR(VLOOKUP(B565,DADOS!$A$2:$H$252,4,0)*H565,"")</f>
        <v>4.427874</v>
      </c>
      <c r="J565" s="24">
        <v>1.0</v>
      </c>
      <c r="K565" s="25">
        <f>IFERROR(VLOOKUP(B565,DADOS!$A$2:$H$252,4,0)*J565,"")</f>
        <v>0.233046</v>
      </c>
      <c r="L565" s="26">
        <f t="shared" si="10"/>
        <v>0</v>
      </c>
      <c r="M565" s="27"/>
      <c r="N565" s="30"/>
      <c r="O565" s="28"/>
      <c r="P565" s="28"/>
      <c r="Q565" s="28"/>
      <c r="R565" s="28"/>
      <c r="S565" s="28"/>
    </row>
    <row r="566">
      <c r="A566" s="17">
        <v>45533.0</v>
      </c>
      <c r="B566" s="18" t="s">
        <v>93</v>
      </c>
      <c r="C566" s="18" t="s">
        <v>19</v>
      </c>
      <c r="D566" s="19"/>
      <c r="E566" s="19"/>
      <c r="F566" s="20">
        <f t="shared" si="7"/>
        <v>0</v>
      </c>
      <c r="G566" s="21" t="str">
        <f>IFERROR(VLOOKUP(B566,DADOS!$A$2:$H$252,8,0),"")</f>
        <v/>
      </c>
      <c r="H566" s="22">
        <v>14.0</v>
      </c>
      <c r="I566" s="23" t="str">
        <f>IFERROR(VLOOKUP(B566,DADOS!$A$2:$H$252,4,0)*H566,"")</f>
        <v/>
      </c>
      <c r="J566" s="36"/>
      <c r="K566" s="25" t="str">
        <f>IFERROR(VLOOKUP(B566,DADOS!$A$2:$H$252,4,0)*J566,"")</f>
        <v/>
      </c>
      <c r="L566" s="26" t="str">
        <f t="shared" si="10"/>
        <v/>
      </c>
      <c r="M566" s="27"/>
      <c r="N566" s="30"/>
      <c r="O566" s="28"/>
      <c r="P566" s="28"/>
      <c r="Q566" s="28"/>
      <c r="R566" s="28"/>
      <c r="S566" s="28"/>
    </row>
    <row r="567">
      <c r="A567" s="17">
        <v>45533.0</v>
      </c>
      <c r="B567" s="18" t="s">
        <v>22</v>
      </c>
      <c r="C567" s="18" t="s">
        <v>23</v>
      </c>
      <c r="D567" s="19"/>
      <c r="E567" s="19"/>
      <c r="F567" s="20">
        <f t="shared" si="7"/>
        <v>0</v>
      </c>
      <c r="G567" s="21">
        <f>IFERROR(VLOOKUP(B567,DADOS!$A$2:$H$252,8,0),"")</f>
        <v>15</v>
      </c>
      <c r="H567" s="22">
        <v>26.0</v>
      </c>
      <c r="I567" s="23">
        <f>IFERROR(VLOOKUP(B567,DADOS!$A$2:$H$252,4,0)*H567,"")</f>
        <v>15.9191604</v>
      </c>
      <c r="J567" s="36"/>
      <c r="K567" s="25">
        <f>IFERROR(VLOOKUP(B567,DADOS!$A$2:$H$252,4,0)*J567,"")</f>
        <v>0</v>
      </c>
      <c r="L567" s="26">
        <f t="shared" ref="L567:L568" si="11">IFERROR(IF(C567="TAMBOR", K567/J567, K567/I567), "")
</f>
        <v>0</v>
      </c>
      <c r="M567" s="27"/>
      <c r="N567" s="30"/>
      <c r="O567" s="28"/>
      <c r="P567" s="28"/>
      <c r="Q567" s="28"/>
      <c r="R567" s="28"/>
      <c r="S567" s="28"/>
    </row>
    <row r="568">
      <c r="A568" s="17">
        <v>45534.0</v>
      </c>
      <c r="B568" s="18" t="s">
        <v>72</v>
      </c>
      <c r="C568" s="18" t="s">
        <v>17</v>
      </c>
      <c r="D568" s="19"/>
      <c r="E568" s="19"/>
      <c r="F568" s="20">
        <f t="shared" si="7"/>
        <v>0</v>
      </c>
      <c r="G568" s="21">
        <f>IFERROR(VLOOKUP(B568,DADOS!$A$2:$H$252,8,0),"")</f>
        <v>43</v>
      </c>
      <c r="H568" s="22">
        <v>48.0</v>
      </c>
      <c r="I568" s="23">
        <f>IFERROR(VLOOKUP(B568,DADOS!$A$2:$H$252,4,0)*H568,"")</f>
        <v>0.82176</v>
      </c>
      <c r="J568" s="36"/>
      <c r="K568" s="25">
        <f>IFERROR(VLOOKUP(B568,DADOS!$A$2:$H$252,4,0)*J568,"")</f>
        <v>0</v>
      </c>
      <c r="L568" s="26">
        <f t="shared" si="11"/>
        <v>0</v>
      </c>
      <c r="M568" s="27"/>
      <c r="N568" s="30"/>
      <c r="O568" s="28"/>
      <c r="P568" s="28"/>
      <c r="Q568" s="28"/>
      <c r="R568" s="28"/>
      <c r="S568" s="28"/>
    </row>
    <row r="569">
      <c r="A569" s="17">
        <v>45534.0</v>
      </c>
      <c r="B569" s="18" t="s">
        <v>53</v>
      </c>
      <c r="C569" s="18" t="s">
        <v>17</v>
      </c>
      <c r="D569" s="19"/>
      <c r="E569" s="19"/>
      <c r="F569" s="20">
        <f t="shared" si="7"/>
        <v>0</v>
      </c>
      <c r="G569" s="21">
        <f>IFERROR(VLOOKUP(B569,DADOS!$A$2:$H$252,8,0),"")</f>
        <v>120</v>
      </c>
      <c r="H569" s="22">
        <v>99.0</v>
      </c>
      <c r="I569" s="23">
        <f>IFERROR(VLOOKUP(B569,DADOS!$A$2:$H$252,4,0)*H569,"")</f>
        <v>0.95337</v>
      </c>
      <c r="J569" s="24">
        <v>1.0</v>
      </c>
      <c r="K569" s="25">
        <f>IFERROR(VLOOKUP(B569,DADOS!$A$2:$H$252,4,0)*J569,"")</f>
        <v>0.00963</v>
      </c>
      <c r="L569" s="26">
        <f t="shared" ref="L569:L572" si="12">IFERROR(IF(C569="TAMBOR", $K$457/J569, $K$457/I569), "")
</f>
        <v>0</v>
      </c>
      <c r="M569" s="27"/>
      <c r="N569" s="30"/>
      <c r="O569" s="28"/>
      <c r="P569" s="28"/>
      <c r="Q569" s="28"/>
      <c r="R569" s="28"/>
      <c r="S569" s="28"/>
    </row>
    <row r="570">
      <c r="A570" s="17">
        <v>45534.0</v>
      </c>
      <c r="B570" s="18" t="s">
        <v>25</v>
      </c>
      <c r="C570" s="18" t="s">
        <v>19</v>
      </c>
      <c r="D570" s="19"/>
      <c r="E570" s="19"/>
      <c r="F570" s="20">
        <f t="shared" si="7"/>
        <v>0</v>
      </c>
      <c r="G570" s="21">
        <f>IFERROR(VLOOKUP(B570,DADOS!$A$2:$H$252,8,0),"")</f>
        <v>40</v>
      </c>
      <c r="H570" s="22">
        <v>30.0</v>
      </c>
      <c r="I570" s="23">
        <f>IFERROR(VLOOKUP(B570,DADOS!$A$2:$H$252,4,0)*H570,"")</f>
        <v>3.10728</v>
      </c>
      <c r="J570" s="36"/>
      <c r="K570" s="25">
        <f>IFERROR(VLOOKUP(B570,DADOS!$A$2:$H$252,4,0)*J570,"")</f>
        <v>0</v>
      </c>
      <c r="L570" s="26">
        <f t="shared" si="12"/>
        <v>0</v>
      </c>
      <c r="M570" s="27"/>
      <c r="N570" s="30"/>
      <c r="O570" s="28"/>
      <c r="P570" s="28"/>
      <c r="Q570" s="28"/>
      <c r="R570" s="28"/>
      <c r="S570" s="28"/>
    </row>
    <row r="571">
      <c r="A571" s="17">
        <v>45534.0</v>
      </c>
      <c r="B571" s="18" t="s">
        <v>26</v>
      </c>
      <c r="C571" s="18" t="s">
        <v>19</v>
      </c>
      <c r="D571" s="19"/>
      <c r="E571" s="19"/>
      <c r="F571" s="20">
        <f t="shared" si="7"/>
        <v>0</v>
      </c>
      <c r="G571" s="21">
        <f>IFERROR(VLOOKUP(B571,DADOS!$A$2:$H$252,8,0),"")</f>
        <v>50</v>
      </c>
      <c r="H571" s="22">
        <v>14.0</v>
      </c>
      <c r="I571" s="23">
        <f>IFERROR(VLOOKUP(B571,DADOS!$A$2:$H$252,4,0)*H571,"")</f>
        <v>1.5950704</v>
      </c>
      <c r="J571" s="36"/>
      <c r="K571" s="25">
        <f>IFERROR(VLOOKUP(B571,DADOS!$A$2:$H$252,4,0)*J571,"")</f>
        <v>0</v>
      </c>
      <c r="L571" s="26">
        <f t="shared" si="12"/>
        <v>0</v>
      </c>
      <c r="M571" s="27"/>
      <c r="N571" s="30"/>
      <c r="O571" s="28"/>
      <c r="P571" s="28"/>
      <c r="Q571" s="28"/>
      <c r="R571" s="28"/>
      <c r="S571" s="28"/>
    </row>
    <row r="572">
      <c r="A572" s="17">
        <v>45534.0</v>
      </c>
      <c r="B572" s="18" t="s">
        <v>63</v>
      </c>
      <c r="C572" s="18" t="s">
        <v>19</v>
      </c>
      <c r="D572" s="19"/>
      <c r="E572" s="19"/>
      <c r="F572" s="20">
        <f t="shared" si="7"/>
        <v>0</v>
      </c>
      <c r="G572" s="21" t="str">
        <f>IFERROR(VLOOKUP(B572,DADOS!$A$2:$H$252,8,0),"")</f>
        <v/>
      </c>
      <c r="H572" s="22">
        <v>20.0</v>
      </c>
      <c r="I572" s="23">
        <f>IFERROR(VLOOKUP(B572,DADOS!$A$2:$H$252,4,0)*H572,"")</f>
        <v>0</v>
      </c>
      <c r="J572" s="36"/>
      <c r="K572" s="25">
        <f>IFERROR(VLOOKUP(B572,DADOS!$A$2:$H$252,4,0)*J572,"")</f>
        <v>0</v>
      </c>
      <c r="L572" s="26" t="str">
        <f t="shared" si="12"/>
        <v/>
      </c>
      <c r="M572" s="27"/>
      <c r="N572" s="30"/>
      <c r="O572" s="28"/>
      <c r="P572" s="28"/>
      <c r="Q572" s="28"/>
      <c r="R572" s="28"/>
      <c r="S572" s="28"/>
    </row>
    <row r="573">
      <c r="A573" s="17">
        <v>45534.0</v>
      </c>
      <c r="B573" s="18" t="s">
        <v>22</v>
      </c>
      <c r="C573" s="18" t="s">
        <v>23</v>
      </c>
      <c r="D573" s="19"/>
      <c r="E573" s="19"/>
      <c r="F573" s="20">
        <f t="shared" si="7"/>
        <v>0</v>
      </c>
      <c r="G573" s="21">
        <f>IFERROR(VLOOKUP(B573,DADOS!$A$2:$H$252,8,0),"")</f>
        <v>15</v>
      </c>
      <c r="H573" s="22">
        <v>24.0</v>
      </c>
      <c r="I573" s="23">
        <f>IFERROR(VLOOKUP(B573,DADOS!$A$2:$H$252,4,0)*H573,"")</f>
        <v>14.6946096</v>
      </c>
      <c r="J573" s="36"/>
      <c r="K573" s="25">
        <f>IFERROR(VLOOKUP(B573,DADOS!$A$2:$H$252,4,0)*J573,"")</f>
        <v>0</v>
      </c>
      <c r="L573" s="26">
        <f t="shared" ref="L573:L574" si="13">IFERROR(IF(C573="TAMBOR", K573/J573, K573/I573), "")
</f>
        <v>0</v>
      </c>
      <c r="M573" s="27"/>
      <c r="N573" s="30"/>
      <c r="O573" s="28"/>
      <c r="P573" s="28"/>
      <c r="Q573" s="28"/>
      <c r="R573" s="28"/>
      <c r="S573" s="28"/>
    </row>
    <row r="574">
      <c r="A574" s="17">
        <v>45535.0</v>
      </c>
      <c r="B574" s="18" t="s">
        <v>135</v>
      </c>
      <c r="C574" s="18" t="s">
        <v>23</v>
      </c>
      <c r="D574" s="19"/>
      <c r="E574" s="19"/>
      <c r="F574" s="20">
        <f t="shared" si="7"/>
        <v>0</v>
      </c>
      <c r="G574" s="21">
        <f>IFERROR(VLOOKUP(B574,DADOS!$A$2:$H$252,8,0),"")</f>
        <v>18</v>
      </c>
      <c r="H574" s="22">
        <v>30.0</v>
      </c>
      <c r="I574" s="23">
        <f>IFERROR(VLOOKUP(B574,DADOS!$A$2:$H$252,4,0)*H574,"")</f>
        <v>9.76482</v>
      </c>
      <c r="J574" s="36"/>
      <c r="K574" s="25">
        <f>IFERROR(VLOOKUP(B574,DADOS!$A$2:$H$252,4,0)*J574,"")</f>
        <v>0</v>
      </c>
      <c r="L574" s="26">
        <f t="shared" si="13"/>
        <v>0</v>
      </c>
      <c r="M574" s="27"/>
      <c r="N574" s="30"/>
      <c r="O574" s="28"/>
      <c r="P574" s="28"/>
      <c r="Q574" s="28"/>
      <c r="R574" s="28"/>
      <c r="S574" s="28"/>
    </row>
    <row r="575">
      <c r="A575" s="17">
        <v>45535.0</v>
      </c>
      <c r="B575" s="18" t="s">
        <v>71</v>
      </c>
      <c r="C575" s="18" t="s">
        <v>23</v>
      </c>
      <c r="D575" s="19"/>
      <c r="E575" s="19"/>
      <c r="F575" s="20">
        <f t="shared" si="7"/>
        <v>0</v>
      </c>
      <c r="G575" s="21">
        <f>IFERROR(VLOOKUP(B575,DADOS!$A$2:$H$252,8,0),"")</f>
        <v>7</v>
      </c>
      <c r="H575" s="22">
        <v>39.0</v>
      </c>
      <c r="I575" s="23">
        <f>IFERROR(VLOOKUP(B575,DADOS!$A$2:$H$252,4,0)*H575,"")</f>
        <v>54.6938418</v>
      </c>
      <c r="J575" s="24">
        <v>1.0</v>
      </c>
      <c r="K575" s="25">
        <f>IFERROR(VLOOKUP(B575,DADOS!$A$2:$H$252,4,0)*J575,"")</f>
        <v>1.4024062</v>
      </c>
      <c r="L575" s="26">
        <f t="shared" ref="L575:L865" si="14">IFERROR(IF(C575="TAMBOR", $K$457/J575, $K$457/I575), "")
</f>
        <v>0</v>
      </c>
      <c r="M575" s="27"/>
      <c r="N575" s="30"/>
      <c r="O575" s="28"/>
      <c r="P575" s="28"/>
      <c r="Q575" s="28"/>
      <c r="R575" s="28"/>
      <c r="S575" s="28"/>
    </row>
    <row r="576">
      <c r="A576" s="17">
        <v>45538.0</v>
      </c>
      <c r="B576" s="18" t="s">
        <v>64</v>
      </c>
      <c r="C576" s="18" t="s">
        <v>19</v>
      </c>
      <c r="D576" s="19"/>
      <c r="E576" s="19"/>
      <c r="F576" s="20">
        <f t="shared" si="7"/>
        <v>0</v>
      </c>
      <c r="G576" s="21">
        <f>IFERROR(VLOOKUP(B576,DADOS!$A$2:$H$252,8,0),"")</f>
        <v>21</v>
      </c>
      <c r="H576" s="22">
        <v>30.0</v>
      </c>
      <c r="I576" s="23">
        <f>IFERROR(VLOOKUP(B576,DADOS!$A$2:$H$252,4,0)*H576,"")</f>
        <v>6.99138</v>
      </c>
      <c r="J576" s="36"/>
      <c r="K576" s="25">
        <f>IFERROR(VLOOKUP(B576,DADOS!$A$2:$H$252,4,0)*J576,"")</f>
        <v>0</v>
      </c>
      <c r="L576" s="26">
        <f t="shared" si="14"/>
        <v>0</v>
      </c>
      <c r="M576" s="27"/>
      <c r="N576" s="30"/>
      <c r="O576" s="28"/>
      <c r="P576" s="28"/>
      <c r="Q576" s="28"/>
      <c r="R576" s="28"/>
      <c r="S576" s="28"/>
    </row>
    <row r="577">
      <c r="A577" s="17">
        <v>45538.0</v>
      </c>
      <c r="B577" s="18" t="s">
        <v>48</v>
      </c>
      <c r="C577" s="18" t="s">
        <v>19</v>
      </c>
      <c r="D577" s="19"/>
      <c r="E577" s="19"/>
      <c r="F577" s="20">
        <f t="shared" si="7"/>
        <v>0</v>
      </c>
      <c r="G577" s="21">
        <f>IFERROR(VLOOKUP(B577,DADOS!$A$2:$H$252,8,0),"")</f>
        <v>6</v>
      </c>
      <c r="H577" s="22">
        <v>18.0</v>
      </c>
      <c r="I577" s="23">
        <f>IFERROR(VLOOKUP(B577,DADOS!$A$2:$H$252,4,0)*H577,"")</f>
        <v>2.0508048</v>
      </c>
      <c r="J577" s="36"/>
      <c r="K577" s="25">
        <f>IFERROR(VLOOKUP(B577,DADOS!$A$2:$H$252,4,0)*J577,"")</f>
        <v>0</v>
      </c>
      <c r="L577" s="26">
        <f t="shared" si="14"/>
        <v>0</v>
      </c>
      <c r="M577" s="27"/>
      <c r="N577" s="30"/>
      <c r="O577" s="28"/>
      <c r="P577" s="28"/>
      <c r="Q577" s="28"/>
      <c r="R577" s="28"/>
      <c r="S577" s="28"/>
    </row>
    <row r="578">
      <c r="A578" s="17">
        <v>45538.0</v>
      </c>
      <c r="B578" s="18" t="s">
        <v>25</v>
      </c>
      <c r="C578" s="18" t="s">
        <v>149</v>
      </c>
      <c r="D578" s="19"/>
      <c r="E578" s="19"/>
      <c r="F578" s="20">
        <f t="shared" si="7"/>
        <v>0</v>
      </c>
      <c r="G578" s="21">
        <f>IFERROR(VLOOKUP(B578,DADOS!$A$2:$H$252,8,0),"")</f>
        <v>40</v>
      </c>
      <c r="H578" s="22">
        <v>112.0</v>
      </c>
      <c r="I578" s="23">
        <f>IFERROR(VLOOKUP(B578,DADOS!$A$2:$H$252,4,0)*H578,"")</f>
        <v>11.600512</v>
      </c>
      <c r="J578" s="24">
        <v>9.0</v>
      </c>
      <c r="K578" s="25">
        <f>IFERROR(VLOOKUP(B578,DADOS!$A$2:$H$252,4,0)*J578,"")</f>
        <v>0.932184</v>
      </c>
      <c r="L578" s="26">
        <f t="shared" si="14"/>
        <v>0</v>
      </c>
      <c r="M578" s="27"/>
      <c r="N578" s="30"/>
      <c r="O578" s="28"/>
      <c r="P578" s="28"/>
      <c r="Q578" s="28"/>
      <c r="R578" s="28"/>
      <c r="S578" s="28"/>
    </row>
    <row r="579">
      <c r="A579" s="17">
        <v>45538.0</v>
      </c>
      <c r="B579" s="18" t="s">
        <v>74</v>
      </c>
      <c r="C579" s="18" t="s">
        <v>136</v>
      </c>
      <c r="D579" s="19"/>
      <c r="E579" s="19"/>
      <c r="F579" s="20">
        <f t="shared" si="7"/>
        <v>0</v>
      </c>
      <c r="G579" s="21">
        <f>IFERROR(VLOOKUP(B579,DADOS!$A$2:$H$252,8,0),"")</f>
        <v>60</v>
      </c>
      <c r="H579" s="22">
        <v>149.0</v>
      </c>
      <c r="I579" s="23">
        <f>IFERROR(VLOOKUP(B579,DADOS!$A$2:$H$252,4,0)*H579,"")</f>
        <v>206.62128</v>
      </c>
      <c r="J579" s="24">
        <v>1.0</v>
      </c>
      <c r="K579" s="25">
        <f>IFERROR(VLOOKUP(B579,DADOS!$A$2:$H$252,4,0)*J579,"")</f>
        <v>1.38672</v>
      </c>
      <c r="L579" s="26">
        <f t="shared" si="14"/>
        <v>0</v>
      </c>
      <c r="M579" s="27"/>
      <c r="N579" s="30"/>
      <c r="O579" s="28"/>
      <c r="P579" s="28"/>
      <c r="Q579" s="28"/>
      <c r="R579" s="28"/>
      <c r="S579" s="28"/>
    </row>
    <row r="580">
      <c r="A580" s="17">
        <v>45538.0</v>
      </c>
      <c r="B580" s="18" t="s">
        <v>55</v>
      </c>
      <c r="C580" s="18" t="s">
        <v>136</v>
      </c>
      <c r="D580" s="19"/>
      <c r="E580" s="19"/>
      <c r="F580" s="20">
        <f t="shared" si="7"/>
        <v>0</v>
      </c>
      <c r="G580" s="21">
        <f>IFERROR(VLOOKUP(B580,DADOS!$A$2:$H$252,8,0),"")</f>
        <v>60</v>
      </c>
      <c r="H580" s="22">
        <v>149.0</v>
      </c>
      <c r="I580" s="23">
        <f>IFERROR(VLOOKUP(B580,DADOS!$A$2:$H$252,4,0)*H580,"")</f>
        <v>2.55088</v>
      </c>
      <c r="J580" s="24">
        <v>1.0</v>
      </c>
      <c r="K580" s="25">
        <f>IFERROR(VLOOKUP(B580,DADOS!$A$2:$H$252,4,0)*J580,"")</f>
        <v>0.01712</v>
      </c>
      <c r="L580" s="26">
        <f t="shared" si="14"/>
        <v>0</v>
      </c>
      <c r="M580" s="27"/>
      <c r="N580" s="30"/>
      <c r="O580" s="28"/>
      <c r="P580" s="28"/>
      <c r="Q580" s="28"/>
      <c r="R580" s="28"/>
      <c r="S580" s="28"/>
    </row>
    <row r="581">
      <c r="A581" s="17">
        <v>45538.0</v>
      </c>
      <c r="B581" s="18" t="s">
        <v>68</v>
      </c>
      <c r="C581" s="18" t="s">
        <v>136</v>
      </c>
      <c r="D581" s="19"/>
      <c r="E581" s="19"/>
      <c r="F581" s="20">
        <f t="shared" si="7"/>
        <v>0</v>
      </c>
      <c r="G581" s="21">
        <f>IFERROR(VLOOKUP(B581,DADOS!$A$2:$H$252,8,0),"")</f>
        <v>170</v>
      </c>
      <c r="H581" s="22">
        <v>136.0</v>
      </c>
      <c r="I581" s="23">
        <f>IFERROR(VLOOKUP(B581,DADOS!$A$2:$H$252,4,0)*H581,"")</f>
        <v>1.30968</v>
      </c>
      <c r="J581" s="36"/>
      <c r="K581" s="25">
        <f>IFERROR(VLOOKUP(B581,DADOS!$A$2:$H$252,4,0)*J581,"")</f>
        <v>0</v>
      </c>
      <c r="L581" s="26">
        <f t="shared" si="14"/>
        <v>0</v>
      </c>
      <c r="M581" s="27"/>
      <c r="N581" s="30"/>
      <c r="O581" s="28"/>
      <c r="P581" s="28"/>
      <c r="Q581" s="28"/>
      <c r="R581" s="28"/>
      <c r="S581" s="28"/>
    </row>
    <row r="582">
      <c r="A582" s="17">
        <v>45539.0</v>
      </c>
      <c r="B582" s="18" t="s">
        <v>22</v>
      </c>
      <c r="C582" s="18" t="s">
        <v>19</v>
      </c>
      <c r="D582" s="19"/>
      <c r="E582" s="19"/>
      <c r="F582" s="20">
        <f t="shared" si="7"/>
        <v>0</v>
      </c>
      <c r="G582" s="21">
        <f>IFERROR(VLOOKUP(B582,DADOS!$A$2:$H$252,8,0),"")</f>
        <v>15</v>
      </c>
      <c r="H582" s="22">
        <v>29.0</v>
      </c>
      <c r="I582" s="23">
        <f>IFERROR(VLOOKUP(B582,DADOS!$A$2:$H$252,4,0)*H582,"")</f>
        <v>17.7559866</v>
      </c>
      <c r="J582" s="36"/>
      <c r="K582" s="25">
        <f>IFERROR(VLOOKUP(B582,DADOS!$A$2:$H$252,4,0)*J582,"")</f>
        <v>0</v>
      </c>
      <c r="L582" s="26">
        <f t="shared" si="14"/>
        <v>0</v>
      </c>
      <c r="M582" s="27"/>
      <c r="N582" s="30"/>
      <c r="O582" s="28"/>
      <c r="P582" s="28"/>
      <c r="Q582" s="28"/>
      <c r="R582" s="28"/>
      <c r="S582" s="28"/>
    </row>
    <row r="583">
      <c r="A583" s="17">
        <v>45539.0</v>
      </c>
      <c r="B583" s="18" t="s">
        <v>48</v>
      </c>
      <c r="C583" s="18" t="s">
        <v>19</v>
      </c>
      <c r="D583" s="19"/>
      <c r="E583" s="19"/>
      <c r="F583" s="20">
        <f t="shared" si="7"/>
        <v>0</v>
      </c>
      <c r="G583" s="21">
        <f>IFERROR(VLOOKUP(B583,DADOS!$A$2:$H$252,8,0),"")</f>
        <v>6</v>
      </c>
      <c r="H583" s="22">
        <v>18.0</v>
      </c>
      <c r="I583" s="23">
        <f>IFERROR(VLOOKUP(B583,DADOS!$A$2:$H$252,4,0)*H583,"")</f>
        <v>2.0508048</v>
      </c>
      <c r="J583" s="36"/>
      <c r="K583" s="25">
        <f>IFERROR(VLOOKUP(B583,DADOS!$A$2:$H$252,4,0)*J583,"")</f>
        <v>0</v>
      </c>
      <c r="L583" s="26">
        <f t="shared" si="14"/>
        <v>0</v>
      </c>
      <c r="M583" s="27"/>
      <c r="N583" s="30"/>
      <c r="O583" s="28"/>
      <c r="P583" s="28"/>
      <c r="Q583" s="28"/>
      <c r="R583" s="28"/>
      <c r="S583" s="28"/>
    </row>
    <row r="584">
      <c r="A584" s="17">
        <v>45539.0</v>
      </c>
      <c r="B584" s="18" t="s">
        <v>18</v>
      </c>
      <c r="C584" s="18" t="s">
        <v>149</v>
      </c>
      <c r="D584" s="19"/>
      <c r="E584" s="19"/>
      <c r="F584" s="20">
        <f t="shared" si="7"/>
        <v>0</v>
      </c>
      <c r="G584" s="21">
        <f>IFERROR(VLOOKUP(B584,DADOS!$A$2:$H$252,8,0),"")</f>
        <v>21</v>
      </c>
      <c r="H584" s="22">
        <v>52.0</v>
      </c>
      <c r="I584" s="23">
        <f>IFERROR(VLOOKUP(B584,DADOS!$A$2:$H$252,4,0)*H584,"")</f>
        <v>15.234232</v>
      </c>
      <c r="J584" s="24">
        <v>1.0</v>
      </c>
      <c r="K584" s="25">
        <f>IFERROR(VLOOKUP(B584,DADOS!$A$2:$H$252,4,0)*J584,"")</f>
        <v>0.292966</v>
      </c>
      <c r="L584" s="26">
        <f t="shared" si="14"/>
        <v>0</v>
      </c>
      <c r="M584" s="27"/>
      <c r="N584" s="30"/>
      <c r="O584" s="28"/>
      <c r="P584" s="28"/>
      <c r="Q584" s="28"/>
      <c r="R584" s="28"/>
      <c r="S584" s="28"/>
    </row>
    <row r="585">
      <c r="A585" s="17">
        <v>45539.0</v>
      </c>
      <c r="B585" s="18" t="s">
        <v>132</v>
      </c>
      <c r="C585" s="18" t="s">
        <v>136</v>
      </c>
      <c r="D585" s="19"/>
      <c r="E585" s="19"/>
      <c r="F585" s="20">
        <f t="shared" si="7"/>
        <v>0</v>
      </c>
      <c r="G585" s="21">
        <f>IFERROR(VLOOKUP(B585,DADOS!$A$2:$H$252,8,0),"")</f>
        <v>100</v>
      </c>
      <c r="H585" s="22">
        <v>95.0</v>
      </c>
      <c r="I585" s="23">
        <f>IFERROR(VLOOKUP(B585,DADOS!$A$2:$H$252,4,0)*H585,"")</f>
        <v>1.721951</v>
      </c>
      <c r="J585" s="24">
        <v>5.0</v>
      </c>
      <c r="K585" s="25">
        <f>IFERROR(VLOOKUP(B585,DADOS!$A$2:$H$252,4,0)*J585,"")</f>
        <v>0.090629</v>
      </c>
      <c r="L585" s="26">
        <f t="shared" si="14"/>
        <v>0</v>
      </c>
      <c r="M585" s="27"/>
      <c r="N585" s="30"/>
      <c r="O585" s="28"/>
      <c r="P585" s="28"/>
      <c r="Q585" s="28"/>
      <c r="R585" s="28"/>
      <c r="S585" s="28"/>
    </row>
    <row r="586">
      <c r="A586" s="17">
        <v>45539.0</v>
      </c>
      <c r="B586" s="18" t="s">
        <v>16</v>
      </c>
      <c r="C586" s="18" t="s">
        <v>136</v>
      </c>
      <c r="D586" s="19"/>
      <c r="E586" s="19"/>
      <c r="F586" s="20">
        <f t="shared" si="7"/>
        <v>0</v>
      </c>
      <c r="G586" s="21">
        <f>IFERROR(VLOOKUP(B586,DADOS!$A$2:$H$252,8,0),"")</f>
        <v>150</v>
      </c>
      <c r="H586" s="22">
        <v>352.0</v>
      </c>
      <c r="I586" s="23">
        <f>IFERROR(VLOOKUP(B586,DADOS!$A$2:$H$252,4,0)*H586,"")</f>
        <v>10.1843456</v>
      </c>
      <c r="J586" s="36"/>
      <c r="K586" s="25">
        <f>IFERROR(VLOOKUP(B586,DADOS!$A$2:$H$252,4,0)*J586,"")</f>
        <v>0</v>
      </c>
      <c r="L586" s="26">
        <f t="shared" si="14"/>
        <v>0</v>
      </c>
      <c r="M586" s="27"/>
      <c r="N586" s="30"/>
      <c r="O586" s="28"/>
      <c r="P586" s="28"/>
      <c r="Q586" s="28"/>
      <c r="R586" s="28"/>
      <c r="S586" s="28"/>
    </row>
    <row r="587">
      <c r="A587" s="17">
        <v>45540.0</v>
      </c>
      <c r="B587" s="18" t="s">
        <v>21</v>
      </c>
      <c r="C587" s="18" t="s">
        <v>19</v>
      </c>
      <c r="D587" s="19"/>
      <c r="E587" s="19"/>
      <c r="F587" s="20">
        <f t="shared" si="7"/>
        <v>0</v>
      </c>
      <c r="G587" s="21">
        <f>IFERROR(VLOOKUP(B587,DADOS!$A$2:$H$252,8,0),"")</f>
        <v>33</v>
      </c>
      <c r="H587" s="22">
        <v>59.0</v>
      </c>
      <c r="I587" s="23">
        <f>IFERROR(VLOOKUP(B587,DADOS!$A$2:$H$252,4,0)*H587,"")</f>
        <v>6.7220824</v>
      </c>
      <c r="J587" s="24">
        <v>2.0</v>
      </c>
      <c r="K587" s="25">
        <f>IFERROR(VLOOKUP(B587,DADOS!$A$2:$H$252,4,0)*J587,"")</f>
        <v>0.2278672</v>
      </c>
      <c r="L587" s="26">
        <f t="shared" si="14"/>
        <v>0</v>
      </c>
      <c r="M587" s="27"/>
      <c r="N587" s="30"/>
      <c r="O587" s="28"/>
      <c r="P587" s="28"/>
      <c r="Q587" s="28"/>
      <c r="R587" s="28"/>
      <c r="S587" s="28"/>
    </row>
    <row r="588">
      <c r="A588" s="17">
        <v>45540.0</v>
      </c>
      <c r="B588" s="18" t="s">
        <v>24</v>
      </c>
      <c r="C588" s="18" t="s">
        <v>19</v>
      </c>
      <c r="D588" s="19"/>
      <c r="E588" s="19"/>
      <c r="F588" s="20">
        <f t="shared" si="7"/>
        <v>0</v>
      </c>
      <c r="G588" s="21">
        <f>IFERROR(VLOOKUP(B588,DADOS!$A$2:$H$252,8,0),"")</f>
        <v>37</v>
      </c>
      <c r="H588" s="22">
        <v>29.0</v>
      </c>
      <c r="I588" s="23">
        <f>IFERROR(VLOOKUP(B588,DADOS!$A$2:$H$252,4,0)*H588,"")</f>
        <v>3.3040744</v>
      </c>
      <c r="J588" s="36"/>
      <c r="K588" s="25">
        <f>IFERROR(VLOOKUP(B588,DADOS!$A$2:$H$252,4,0)*J588,"")</f>
        <v>0</v>
      </c>
      <c r="L588" s="26">
        <f t="shared" si="14"/>
        <v>0</v>
      </c>
      <c r="M588" s="27"/>
      <c r="N588" s="30"/>
      <c r="O588" s="28"/>
      <c r="P588" s="28"/>
      <c r="Q588" s="28"/>
      <c r="R588" s="28"/>
      <c r="S588" s="28"/>
    </row>
    <row r="589">
      <c r="A589" s="17">
        <v>45540.0</v>
      </c>
      <c r="B589" s="18" t="s">
        <v>93</v>
      </c>
      <c r="C589" s="18" t="s">
        <v>19</v>
      </c>
      <c r="D589" s="19"/>
      <c r="E589" s="19"/>
      <c r="F589" s="20">
        <f t="shared" si="7"/>
        <v>0</v>
      </c>
      <c r="G589" s="21" t="str">
        <f>IFERROR(VLOOKUP(B589,DADOS!$A$2:$H$252,8,0),"")</f>
        <v/>
      </c>
      <c r="H589" s="22">
        <v>76.0</v>
      </c>
      <c r="I589" s="23" t="str">
        <f>IFERROR(VLOOKUP(B589,DADOS!$A$2:$H$252,4,0)*H589,"")</f>
        <v/>
      </c>
      <c r="J589" s="36"/>
      <c r="K589" s="25" t="str">
        <f>IFERROR(VLOOKUP(B589,DADOS!$A$2:$H$252,4,0)*J589,"")</f>
        <v/>
      </c>
      <c r="L589" s="26" t="str">
        <f t="shared" si="14"/>
        <v/>
      </c>
      <c r="M589" s="27"/>
      <c r="N589" s="30"/>
      <c r="O589" s="28"/>
      <c r="P589" s="28"/>
      <c r="Q589" s="28"/>
      <c r="R589" s="28"/>
      <c r="S589" s="28"/>
    </row>
    <row r="590">
      <c r="A590" s="17">
        <v>45540.0</v>
      </c>
      <c r="B590" s="18" t="s">
        <v>35</v>
      </c>
      <c r="C590" s="18" t="s">
        <v>19</v>
      </c>
      <c r="D590" s="19"/>
      <c r="E590" s="19"/>
      <c r="F590" s="20">
        <f t="shared" si="7"/>
        <v>0</v>
      </c>
      <c r="G590" s="21">
        <f>IFERROR(VLOOKUP(B590,DADOS!$A$2:$H$252,8,0),"")</f>
        <v>30</v>
      </c>
      <c r="H590" s="22">
        <v>41.0</v>
      </c>
      <c r="I590" s="23">
        <f>IFERROR(VLOOKUP(B590,DADOS!$A$2:$H$252,4,0)*H590,"")</f>
        <v>7.0358706</v>
      </c>
      <c r="J590" s="36"/>
      <c r="K590" s="25">
        <f>IFERROR(VLOOKUP(B590,DADOS!$A$2:$H$252,4,0)*J590,"")</f>
        <v>0</v>
      </c>
      <c r="L590" s="26">
        <f t="shared" si="14"/>
        <v>0</v>
      </c>
      <c r="M590" s="27"/>
      <c r="N590" s="30"/>
      <c r="O590" s="28"/>
      <c r="P590" s="28"/>
      <c r="Q590" s="28"/>
      <c r="R590" s="28"/>
      <c r="S590" s="28"/>
    </row>
    <row r="591">
      <c r="A591" s="17">
        <v>45540.0</v>
      </c>
      <c r="B591" s="18" t="s">
        <v>41</v>
      </c>
      <c r="C591" s="18" t="s">
        <v>19</v>
      </c>
      <c r="D591" s="19"/>
      <c r="E591" s="19"/>
      <c r="F591" s="20">
        <f t="shared" si="7"/>
        <v>0</v>
      </c>
      <c r="G591" s="21">
        <f>IFERROR(VLOOKUP(B591,DADOS!$A$2:$H$252,8,0),"")</f>
        <v>14</v>
      </c>
      <c r="H591" s="22">
        <v>2.0</v>
      </c>
      <c r="I591" s="23">
        <f>IFERROR(VLOOKUP(B591,DADOS!$A$2:$H$252,4,0)*H591,"")</f>
        <v>0.554688</v>
      </c>
      <c r="J591" s="36"/>
      <c r="K591" s="25">
        <f>IFERROR(VLOOKUP(B591,DADOS!$A$2:$H$252,4,0)*J591,"")</f>
        <v>0</v>
      </c>
      <c r="L591" s="26">
        <f t="shared" si="14"/>
        <v>0</v>
      </c>
      <c r="M591" s="27"/>
      <c r="N591" s="30"/>
      <c r="O591" s="28"/>
      <c r="P591" s="28"/>
      <c r="Q591" s="28"/>
      <c r="R591" s="28"/>
      <c r="S591" s="28"/>
    </row>
    <row r="592">
      <c r="A592" s="17">
        <v>45540.0</v>
      </c>
      <c r="B592" s="18" t="s">
        <v>16</v>
      </c>
      <c r="C592" s="18" t="s">
        <v>136</v>
      </c>
      <c r="D592" s="19"/>
      <c r="E592" s="19"/>
      <c r="F592" s="20">
        <f t="shared" si="7"/>
        <v>0</v>
      </c>
      <c r="G592" s="21">
        <f>IFERROR(VLOOKUP(B592,DADOS!$A$2:$H$252,8,0),"")</f>
        <v>150</v>
      </c>
      <c r="H592" s="22">
        <v>971.0</v>
      </c>
      <c r="I592" s="23">
        <f>IFERROR(VLOOKUP(B592,DADOS!$A$2:$H$252,4,0)*H592,"")</f>
        <v>28.0937488</v>
      </c>
      <c r="J592" s="24">
        <v>5.0</v>
      </c>
      <c r="K592" s="25">
        <f>IFERROR(VLOOKUP(B592,DADOS!$A$2:$H$252,4,0)*J592,"")</f>
        <v>0.144664</v>
      </c>
      <c r="L592" s="26">
        <f t="shared" si="14"/>
        <v>0</v>
      </c>
      <c r="M592" s="27"/>
      <c r="N592" s="30"/>
      <c r="O592" s="28"/>
      <c r="P592" s="28"/>
      <c r="Q592" s="28"/>
      <c r="R592" s="28"/>
      <c r="S592" s="28"/>
    </row>
    <row r="593">
      <c r="A593" s="17">
        <v>45541.0</v>
      </c>
      <c r="B593" s="18" t="s">
        <v>41</v>
      </c>
      <c r="C593" s="18" t="s">
        <v>19</v>
      </c>
      <c r="D593" s="19"/>
      <c r="E593" s="19"/>
      <c r="F593" s="20">
        <f t="shared" si="7"/>
        <v>0</v>
      </c>
      <c r="G593" s="21">
        <f>IFERROR(VLOOKUP(B593,DADOS!$A$2:$H$252,8,0),"")</f>
        <v>14</v>
      </c>
      <c r="H593" s="22">
        <v>47.0</v>
      </c>
      <c r="I593" s="23">
        <f>IFERROR(VLOOKUP(B593,DADOS!$A$2:$H$252,4,0)*H593,"")</f>
        <v>13.035168</v>
      </c>
      <c r="J593" s="24">
        <v>1.0</v>
      </c>
      <c r="K593" s="25">
        <f>IFERROR(VLOOKUP(B593,DADOS!$A$2:$H$252,4,0)*J593,"")</f>
        <v>0.277344</v>
      </c>
      <c r="L593" s="26">
        <f t="shared" si="14"/>
        <v>0</v>
      </c>
      <c r="M593" s="27"/>
      <c r="N593" s="30"/>
      <c r="O593" s="28"/>
      <c r="P593" s="28"/>
      <c r="Q593" s="28"/>
      <c r="R593" s="28"/>
      <c r="S593" s="28"/>
    </row>
    <row r="594">
      <c r="A594" s="17">
        <v>45541.0</v>
      </c>
      <c r="B594" s="18" t="s">
        <v>16</v>
      </c>
      <c r="C594" s="18" t="s">
        <v>136</v>
      </c>
      <c r="D594" s="19"/>
      <c r="E594" s="19"/>
      <c r="F594" s="20">
        <f t="shared" si="7"/>
        <v>0</v>
      </c>
      <c r="G594" s="21">
        <f>IFERROR(VLOOKUP(B594,DADOS!$A$2:$H$252,8,0),"")</f>
        <v>150</v>
      </c>
      <c r="H594" s="22">
        <v>397.0</v>
      </c>
      <c r="I594" s="23">
        <f>IFERROR(VLOOKUP(B594,DADOS!$A$2:$H$252,4,0)*H594,"")</f>
        <v>11.4863216</v>
      </c>
      <c r="J594" s="36"/>
      <c r="K594" s="25">
        <f>IFERROR(VLOOKUP(B594,DADOS!$A$2:$H$252,4,0)*J594,"")</f>
        <v>0</v>
      </c>
      <c r="L594" s="26">
        <f t="shared" si="14"/>
        <v>0</v>
      </c>
      <c r="M594" s="27"/>
      <c r="N594" s="30"/>
      <c r="O594" s="28"/>
      <c r="P594" s="28"/>
      <c r="Q594" s="28"/>
      <c r="R594" s="28"/>
      <c r="S594" s="28"/>
    </row>
    <row r="595">
      <c r="A595" s="17">
        <v>45544.0</v>
      </c>
      <c r="B595" s="18" t="s">
        <v>29</v>
      </c>
      <c r="C595" s="18" t="s">
        <v>19</v>
      </c>
      <c r="D595" s="19"/>
      <c r="E595" s="19"/>
      <c r="F595" s="20">
        <f t="shared" si="7"/>
        <v>0</v>
      </c>
      <c r="G595" s="21">
        <f>IFERROR(VLOOKUP(B595,DADOS!$A$2:$H$252,8,0),"")</f>
        <v>12</v>
      </c>
      <c r="H595" s="22">
        <v>12.0</v>
      </c>
      <c r="I595" s="23">
        <f>IFERROR(VLOOKUP(B595,DADOS!$A$2:$H$252,4,0)*H595,"")</f>
        <v>10.4836032</v>
      </c>
      <c r="J595" s="36"/>
      <c r="K595" s="25">
        <f>IFERROR(VLOOKUP(B595,DADOS!$A$2:$H$252,4,0)*J595,"")</f>
        <v>0</v>
      </c>
      <c r="L595" s="26">
        <f t="shared" si="14"/>
        <v>0</v>
      </c>
      <c r="M595" s="27"/>
      <c r="N595" s="30"/>
      <c r="O595" s="28"/>
      <c r="P595" s="28"/>
      <c r="Q595" s="28"/>
      <c r="R595" s="28"/>
      <c r="S595" s="28"/>
    </row>
    <row r="596">
      <c r="A596" s="17">
        <v>45544.0</v>
      </c>
      <c r="B596" s="18" t="s">
        <v>32</v>
      </c>
      <c r="C596" s="18" t="s">
        <v>19</v>
      </c>
      <c r="D596" s="19"/>
      <c r="E596" s="19"/>
      <c r="F596" s="20">
        <f t="shared" si="7"/>
        <v>0</v>
      </c>
      <c r="G596" s="21">
        <f>IFERROR(VLOOKUP(B596,DADOS!$A$2:$H$252,8,0),"")</f>
        <v>10</v>
      </c>
      <c r="H596" s="22">
        <v>29.0</v>
      </c>
      <c r="I596" s="23">
        <f>IFERROR(VLOOKUP(B596,DADOS!$A$2:$H$252,4,0)*H596,"")</f>
        <v>17.7559866</v>
      </c>
      <c r="J596" s="36"/>
      <c r="K596" s="25">
        <f>IFERROR(VLOOKUP(B596,DADOS!$A$2:$H$252,4,0)*J596,"")</f>
        <v>0</v>
      </c>
      <c r="L596" s="26">
        <f t="shared" si="14"/>
        <v>0</v>
      </c>
      <c r="M596" s="27"/>
      <c r="N596" s="30"/>
      <c r="O596" s="28"/>
      <c r="P596" s="28"/>
      <c r="Q596" s="28"/>
      <c r="R596" s="28"/>
      <c r="S596" s="28"/>
    </row>
    <row r="597">
      <c r="A597" s="17">
        <v>45544.0</v>
      </c>
      <c r="B597" s="18" t="s">
        <v>22</v>
      </c>
      <c r="C597" s="18" t="s">
        <v>19</v>
      </c>
      <c r="D597" s="19"/>
      <c r="E597" s="19"/>
      <c r="F597" s="20">
        <f t="shared" si="7"/>
        <v>0</v>
      </c>
      <c r="G597" s="21">
        <f>IFERROR(VLOOKUP(B597,DADOS!$A$2:$H$252,8,0),"")</f>
        <v>15</v>
      </c>
      <c r="H597" s="22">
        <v>1.0</v>
      </c>
      <c r="I597" s="23">
        <f>IFERROR(VLOOKUP(B597,DADOS!$A$2:$H$252,4,0)*H597,"")</f>
        <v>0.6122754</v>
      </c>
      <c r="J597" s="36"/>
      <c r="K597" s="25">
        <f>IFERROR(VLOOKUP(B597,DADOS!$A$2:$H$252,4,0)*J597,"")</f>
        <v>0</v>
      </c>
      <c r="L597" s="26">
        <f t="shared" si="14"/>
        <v>0</v>
      </c>
      <c r="M597" s="27"/>
      <c r="N597" s="30"/>
      <c r="O597" s="28"/>
      <c r="P597" s="28"/>
      <c r="Q597" s="28"/>
      <c r="R597" s="28"/>
      <c r="S597" s="28"/>
    </row>
    <row r="598">
      <c r="A598" s="17">
        <v>45544.0</v>
      </c>
      <c r="B598" s="18" t="s">
        <v>66</v>
      </c>
      <c r="C598" s="18" t="s">
        <v>19</v>
      </c>
      <c r="D598" s="19"/>
      <c r="E598" s="19"/>
      <c r="F598" s="20">
        <f t="shared" si="7"/>
        <v>0</v>
      </c>
      <c r="G598" s="21" t="str">
        <f>IFERROR(VLOOKUP(B598,DADOS!$A$2:$H$252,8,0),"")</f>
        <v/>
      </c>
      <c r="H598" s="22">
        <v>6.0</v>
      </c>
      <c r="I598" s="23">
        <f>IFERROR(VLOOKUP(B598,DADOS!$A$2:$H$252,4,0)*H598,"")</f>
        <v>0.8025</v>
      </c>
      <c r="J598" s="24">
        <v>2.0</v>
      </c>
      <c r="K598" s="25">
        <f>IFERROR(VLOOKUP(B598,DADOS!$A$2:$H$252,4,0)*J598,"")</f>
        <v>0.2675</v>
      </c>
      <c r="L598" s="26">
        <f t="shared" si="14"/>
        <v>0</v>
      </c>
      <c r="M598" s="27"/>
      <c r="N598" s="30"/>
      <c r="O598" s="28"/>
      <c r="P598" s="28"/>
      <c r="Q598" s="28"/>
      <c r="R598" s="28"/>
      <c r="S598" s="28"/>
    </row>
    <row r="599">
      <c r="A599" s="17">
        <v>45544.0</v>
      </c>
      <c r="B599" s="18" t="s">
        <v>18</v>
      </c>
      <c r="C599" s="18" t="s">
        <v>149</v>
      </c>
      <c r="D599" s="19"/>
      <c r="E599" s="19"/>
      <c r="F599" s="20">
        <f t="shared" si="7"/>
        <v>0</v>
      </c>
      <c r="G599" s="21">
        <f>IFERROR(VLOOKUP(B599,DADOS!$A$2:$H$252,8,0),"")</f>
        <v>21</v>
      </c>
      <c r="H599" s="22">
        <v>41.0</v>
      </c>
      <c r="I599" s="23">
        <f>IFERROR(VLOOKUP(B599,DADOS!$A$2:$H$252,4,0)*H599,"")</f>
        <v>12.011606</v>
      </c>
      <c r="J599" s="24">
        <v>1.0</v>
      </c>
      <c r="K599" s="25">
        <f>IFERROR(VLOOKUP(B599,DADOS!$A$2:$H$252,4,0)*J599,"")</f>
        <v>0.292966</v>
      </c>
      <c r="L599" s="26">
        <f t="shared" si="14"/>
        <v>0</v>
      </c>
      <c r="M599" s="27"/>
      <c r="N599" s="30"/>
      <c r="O599" s="28"/>
      <c r="P599" s="28"/>
      <c r="Q599" s="28"/>
      <c r="R599" s="28"/>
      <c r="S599" s="28"/>
    </row>
    <row r="600">
      <c r="A600" s="17">
        <v>45544.0</v>
      </c>
      <c r="B600" s="18" t="s">
        <v>66</v>
      </c>
      <c r="C600" s="18" t="s">
        <v>149</v>
      </c>
      <c r="D600" s="19"/>
      <c r="E600" s="19"/>
      <c r="F600" s="20">
        <f t="shared" si="7"/>
        <v>0</v>
      </c>
      <c r="G600" s="21" t="str">
        <f>IFERROR(VLOOKUP(B600,DADOS!$A$2:$H$252,8,0),"")</f>
        <v/>
      </c>
      <c r="H600" s="22">
        <v>26.0</v>
      </c>
      <c r="I600" s="23">
        <f>IFERROR(VLOOKUP(B600,DADOS!$A$2:$H$252,4,0)*H600,"")</f>
        <v>3.4775</v>
      </c>
      <c r="J600" s="24">
        <v>2.0</v>
      </c>
      <c r="K600" s="25">
        <f>IFERROR(VLOOKUP(B600,DADOS!$A$2:$H$252,4,0)*J600,"")</f>
        <v>0.2675</v>
      </c>
      <c r="L600" s="26">
        <f t="shared" si="14"/>
        <v>0</v>
      </c>
      <c r="M600" s="27"/>
      <c r="N600" s="30"/>
      <c r="O600" s="28"/>
      <c r="P600" s="28"/>
      <c r="Q600" s="28"/>
      <c r="R600" s="28"/>
      <c r="S600" s="28"/>
    </row>
    <row r="601">
      <c r="A601" s="17">
        <v>45544.0</v>
      </c>
      <c r="B601" s="18" t="s">
        <v>72</v>
      </c>
      <c r="C601" s="18" t="s">
        <v>136</v>
      </c>
      <c r="D601" s="19"/>
      <c r="E601" s="19"/>
      <c r="F601" s="20">
        <f t="shared" si="7"/>
        <v>0</v>
      </c>
      <c r="G601" s="21">
        <f>IFERROR(VLOOKUP(B601,DADOS!$A$2:$H$252,8,0),"")</f>
        <v>43</v>
      </c>
      <c r="H601" s="22">
        <v>199.0</v>
      </c>
      <c r="I601" s="23">
        <f>IFERROR(VLOOKUP(B601,DADOS!$A$2:$H$252,4,0)*H601,"")</f>
        <v>3.40688</v>
      </c>
      <c r="J601" s="24">
        <v>1.0</v>
      </c>
      <c r="K601" s="25">
        <f>IFERROR(VLOOKUP(B601,DADOS!$A$2:$H$252,4,0)*J601,"")</f>
        <v>0.01712</v>
      </c>
      <c r="L601" s="26">
        <f t="shared" si="14"/>
        <v>0</v>
      </c>
      <c r="M601" s="27"/>
      <c r="N601" s="30"/>
      <c r="O601" s="28"/>
      <c r="P601" s="28"/>
      <c r="Q601" s="28"/>
      <c r="R601" s="28"/>
      <c r="S601" s="28"/>
    </row>
    <row r="602">
      <c r="A602" s="17">
        <v>45544.0</v>
      </c>
      <c r="B602" s="18" t="s">
        <v>16</v>
      </c>
      <c r="C602" s="18" t="s">
        <v>136</v>
      </c>
      <c r="D602" s="19"/>
      <c r="E602" s="19"/>
      <c r="F602" s="20">
        <f t="shared" si="7"/>
        <v>0</v>
      </c>
      <c r="G602" s="21">
        <f>IFERROR(VLOOKUP(B602,DADOS!$A$2:$H$252,8,0),"")</f>
        <v>150</v>
      </c>
      <c r="H602" s="22">
        <v>24.0</v>
      </c>
      <c r="I602" s="23">
        <f>IFERROR(VLOOKUP(B602,DADOS!$A$2:$H$252,4,0)*H602,"")</f>
        <v>0.6943872</v>
      </c>
      <c r="J602" s="36"/>
      <c r="K602" s="25">
        <f>IFERROR(VLOOKUP(B602,DADOS!$A$2:$H$252,4,0)*J602,"")</f>
        <v>0</v>
      </c>
      <c r="L602" s="26">
        <f t="shared" si="14"/>
        <v>0</v>
      </c>
      <c r="M602" s="27"/>
      <c r="N602" s="30"/>
      <c r="O602" s="28"/>
      <c r="P602" s="28"/>
      <c r="Q602" s="28"/>
      <c r="R602" s="28"/>
      <c r="S602" s="28"/>
    </row>
    <row r="603">
      <c r="A603" s="17">
        <v>45544.0</v>
      </c>
      <c r="B603" s="18" t="s">
        <v>53</v>
      </c>
      <c r="C603" s="18" t="s">
        <v>136</v>
      </c>
      <c r="D603" s="19"/>
      <c r="E603" s="19"/>
      <c r="F603" s="20">
        <f t="shared" si="7"/>
        <v>0</v>
      </c>
      <c r="G603" s="21">
        <f>IFERROR(VLOOKUP(B603,DADOS!$A$2:$H$252,8,0),"")</f>
        <v>120</v>
      </c>
      <c r="H603" s="22">
        <v>200.0</v>
      </c>
      <c r="I603" s="23">
        <f>IFERROR(VLOOKUP(B603,DADOS!$A$2:$H$252,4,0)*H603,"")</f>
        <v>1.926</v>
      </c>
      <c r="J603" s="36"/>
      <c r="K603" s="25">
        <f>IFERROR(VLOOKUP(B603,DADOS!$A$2:$H$252,4,0)*J603,"")</f>
        <v>0</v>
      </c>
      <c r="L603" s="26">
        <f t="shared" si="14"/>
        <v>0</v>
      </c>
      <c r="M603" s="27"/>
      <c r="N603" s="30"/>
      <c r="O603" s="28"/>
      <c r="P603" s="28"/>
      <c r="Q603" s="28"/>
      <c r="R603" s="28"/>
      <c r="S603" s="28"/>
    </row>
    <row r="604">
      <c r="A604" s="17">
        <v>45544.0</v>
      </c>
      <c r="B604" s="18" t="s">
        <v>27</v>
      </c>
      <c r="C604" s="18" t="s">
        <v>136</v>
      </c>
      <c r="D604" s="19"/>
      <c r="E604" s="19"/>
      <c r="F604" s="20">
        <f t="shared" si="7"/>
        <v>0</v>
      </c>
      <c r="G604" s="21">
        <f>IFERROR(VLOOKUP(B604,DADOS!$A$2:$H$252,8,0),"")</f>
        <v>30</v>
      </c>
      <c r="H604" s="22">
        <v>33.0</v>
      </c>
      <c r="I604" s="23">
        <f>IFERROR(VLOOKUP(B604,DADOS!$A$2:$H$252,4,0)*H604,"")</f>
        <v>0.56496</v>
      </c>
      <c r="J604" s="36"/>
      <c r="K604" s="25">
        <f>IFERROR(VLOOKUP(B604,DADOS!$A$2:$H$252,4,0)*J604,"")</f>
        <v>0</v>
      </c>
      <c r="L604" s="26">
        <f t="shared" si="14"/>
        <v>0</v>
      </c>
      <c r="M604" s="27"/>
      <c r="N604" s="30"/>
      <c r="O604" s="28"/>
      <c r="P604" s="28"/>
      <c r="Q604" s="28"/>
      <c r="R604" s="28"/>
      <c r="S604" s="28"/>
    </row>
    <row r="605">
      <c r="A605" s="17">
        <v>45545.0</v>
      </c>
      <c r="B605" s="18" t="s">
        <v>29</v>
      </c>
      <c r="C605" s="18" t="s">
        <v>19</v>
      </c>
      <c r="D605" s="19"/>
      <c r="E605" s="19"/>
      <c r="F605" s="20">
        <f t="shared" si="7"/>
        <v>0</v>
      </c>
      <c r="G605" s="21">
        <f>IFERROR(VLOOKUP(B605,DADOS!$A$2:$H$252,8,0),"")</f>
        <v>12</v>
      </c>
      <c r="H605" s="22">
        <v>8.0</v>
      </c>
      <c r="I605" s="23">
        <f>IFERROR(VLOOKUP(B605,DADOS!$A$2:$H$252,4,0)*H605,"")</f>
        <v>6.9890688</v>
      </c>
      <c r="J605" s="36"/>
      <c r="K605" s="25">
        <f>IFERROR(VLOOKUP(B605,DADOS!$A$2:$H$252,4,0)*J605,"")</f>
        <v>0</v>
      </c>
      <c r="L605" s="26">
        <f t="shared" si="14"/>
        <v>0</v>
      </c>
      <c r="M605" s="27"/>
      <c r="N605" s="30"/>
      <c r="O605" s="28"/>
      <c r="P605" s="28"/>
      <c r="Q605" s="28"/>
      <c r="R605" s="28"/>
      <c r="S605" s="28"/>
    </row>
    <row r="606">
      <c r="A606" s="17">
        <v>45545.0</v>
      </c>
      <c r="B606" s="18" t="s">
        <v>150</v>
      </c>
      <c r="C606" s="18" t="s">
        <v>19</v>
      </c>
      <c r="D606" s="19"/>
      <c r="E606" s="19"/>
      <c r="F606" s="20">
        <f t="shared" si="7"/>
        <v>0</v>
      </c>
      <c r="G606" s="21">
        <f>IFERROR(VLOOKUP(B606,DADOS!$A$2:$H$252,8,0),"")</f>
        <v>12</v>
      </c>
      <c r="H606" s="22">
        <v>10.0</v>
      </c>
      <c r="I606" s="23">
        <f>IFERROR(VLOOKUP(B606,DADOS!$A$2:$H$252,4,0)*H606,"")</f>
        <v>1.716066</v>
      </c>
      <c r="J606" s="24">
        <v>1.0</v>
      </c>
      <c r="K606" s="25">
        <f>IFERROR(VLOOKUP(B606,DADOS!$A$2:$H$252,4,0)*J606,"")</f>
        <v>0.1716066</v>
      </c>
      <c r="L606" s="26">
        <f t="shared" si="14"/>
        <v>0</v>
      </c>
      <c r="M606" s="27"/>
      <c r="N606" s="30"/>
      <c r="O606" s="28"/>
      <c r="P606" s="28"/>
      <c r="Q606" s="28"/>
      <c r="R606" s="28"/>
      <c r="S606" s="28"/>
    </row>
    <row r="607">
      <c r="A607" s="17">
        <v>45545.0</v>
      </c>
      <c r="B607" s="18" t="s">
        <v>78</v>
      </c>
      <c r="C607" s="18" t="s">
        <v>19</v>
      </c>
      <c r="D607" s="19"/>
      <c r="E607" s="19"/>
      <c r="F607" s="20">
        <f t="shared" si="7"/>
        <v>0</v>
      </c>
      <c r="G607" s="21">
        <f>IFERROR(VLOOKUP(B607,DADOS!$A$2:$H$252,8,0),"")</f>
        <v>25</v>
      </c>
      <c r="H607" s="22">
        <v>5.0</v>
      </c>
      <c r="I607" s="23">
        <f>IFERROR(VLOOKUP(B607,DADOS!$A$2:$H$252,4,0)*H607,"")</f>
        <v>1.62747</v>
      </c>
      <c r="J607" s="24">
        <v>1.0</v>
      </c>
      <c r="K607" s="25">
        <f>IFERROR(VLOOKUP(B607,DADOS!$A$2:$H$252,4,0)*J607,"")</f>
        <v>0.325494</v>
      </c>
      <c r="L607" s="26">
        <f t="shared" si="14"/>
        <v>0</v>
      </c>
      <c r="M607" s="27"/>
      <c r="N607" s="30"/>
      <c r="O607" s="28"/>
      <c r="P607" s="28"/>
      <c r="Q607" s="28"/>
      <c r="R607" s="28"/>
      <c r="S607" s="28"/>
    </row>
    <row r="608">
      <c r="A608" s="17">
        <v>45545.0</v>
      </c>
      <c r="B608" s="18" t="s">
        <v>66</v>
      </c>
      <c r="C608" s="18" t="s">
        <v>149</v>
      </c>
      <c r="D608" s="19"/>
      <c r="E608" s="19"/>
      <c r="F608" s="20">
        <f t="shared" si="7"/>
        <v>0</v>
      </c>
      <c r="G608" s="21" t="str">
        <f>IFERROR(VLOOKUP(B608,DADOS!$A$2:$H$252,8,0),"")</f>
        <v/>
      </c>
      <c r="H608" s="22">
        <v>114.0</v>
      </c>
      <c r="I608" s="23">
        <f>IFERROR(VLOOKUP(B608,DADOS!$A$2:$H$252,4,0)*H608,"")</f>
        <v>15.2475</v>
      </c>
      <c r="J608" s="24">
        <v>4.0</v>
      </c>
      <c r="K608" s="25">
        <f>IFERROR(VLOOKUP(B608,DADOS!$A$2:$H$252,4,0)*J608,"")</f>
        <v>0.535</v>
      </c>
      <c r="L608" s="26">
        <f t="shared" si="14"/>
        <v>0</v>
      </c>
      <c r="M608" s="27"/>
      <c r="N608" s="30"/>
      <c r="O608" s="28"/>
      <c r="P608" s="28"/>
      <c r="Q608" s="28"/>
      <c r="R608" s="28"/>
      <c r="S608" s="28"/>
    </row>
    <row r="609">
      <c r="A609" s="17">
        <v>45545.0</v>
      </c>
      <c r="B609" s="18" t="s">
        <v>27</v>
      </c>
      <c r="C609" s="18" t="s">
        <v>136</v>
      </c>
      <c r="D609" s="19"/>
      <c r="E609" s="19"/>
      <c r="F609" s="20">
        <f t="shared" si="7"/>
        <v>0</v>
      </c>
      <c r="G609" s="21">
        <f>IFERROR(VLOOKUP(B609,DADOS!$A$2:$H$252,8,0),"")</f>
        <v>30</v>
      </c>
      <c r="H609" s="22">
        <v>105.0</v>
      </c>
      <c r="I609" s="23">
        <f>IFERROR(VLOOKUP(B609,DADOS!$A$2:$H$252,4,0)*H609,"")</f>
        <v>1.7976</v>
      </c>
      <c r="J609" s="24">
        <v>11.0</v>
      </c>
      <c r="K609" s="25">
        <f>IFERROR(VLOOKUP(B609,DADOS!$A$2:$H$252,4,0)*J609,"")</f>
        <v>0.18832</v>
      </c>
      <c r="L609" s="26">
        <f t="shared" si="14"/>
        <v>0</v>
      </c>
      <c r="M609" s="27"/>
      <c r="N609" s="30"/>
      <c r="O609" s="28"/>
      <c r="P609" s="28"/>
      <c r="Q609" s="28"/>
      <c r="R609" s="28"/>
      <c r="S609" s="28"/>
    </row>
    <row r="610">
      <c r="A610" s="17">
        <v>45545.0</v>
      </c>
      <c r="B610" s="18" t="s">
        <v>27</v>
      </c>
      <c r="C610" s="18" t="s">
        <v>136</v>
      </c>
      <c r="D610" s="19"/>
      <c r="E610" s="19"/>
      <c r="F610" s="20">
        <f t="shared" si="7"/>
        <v>0</v>
      </c>
      <c r="G610" s="21">
        <f>IFERROR(VLOOKUP(B610,DADOS!$A$2:$H$252,8,0),"")</f>
        <v>30</v>
      </c>
      <c r="H610" s="22">
        <v>140.0</v>
      </c>
      <c r="I610" s="23">
        <f>IFERROR(VLOOKUP(B610,DADOS!$A$2:$H$252,4,0)*H610,"")</f>
        <v>2.3968</v>
      </c>
      <c r="J610" s="24">
        <v>10.0</v>
      </c>
      <c r="K610" s="25">
        <f>IFERROR(VLOOKUP(B610,DADOS!$A$2:$H$252,4,0)*J610,"")</f>
        <v>0.1712</v>
      </c>
      <c r="L610" s="26">
        <f t="shared" si="14"/>
        <v>0</v>
      </c>
      <c r="M610" s="27"/>
      <c r="N610" s="30"/>
      <c r="O610" s="28"/>
      <c r="P610" s="28"/>
      <c r="Q610" s="28"/>
      <c r="R610" s="28"/>
      <c r="S610" s="28"/>
    </row>
    <row r="611">
      <c r="A611" s="17">
        <v>45546.0</v>
      </c>
      <c r="B611" s="18" t="s">
        <v>150</v>
      </c>
      <c r="C611" s="18" t="s">
        <v>19</v>
      </c>
      <c r="D611" s="19"/>
      <c r="E611" s="19"/>
      <c r="F611" s="20">
        <f t="shared" si="7"/>
        <v>0</v>
      </c>
      <c r="G611" s="21">
        <f>IFERROR(VLOOKUP(B611,DADOS!$A$2:$H$252,8,0),"")</f>
        <v>12</v>
      </c>
      <c r="H611" s="22">
        <v>14.0</v>
      </c>
      <c r="I611" s="23">
        <f>IFERROR(VLOOKUP(B611,DADOS!$A$2:$H$252,4,0)*H611,"")</f>
        <v>2.4024924</v>
      </c>
      <c r="J611" s="36"/>
      <c r="K611" s="25">
        <f>IFERROR(VLOOKUP(B611,DADOS!$A$2:$H$252,4,0)*J611,"")</f>
        <v>0</v>
      </c>
      <c r="L611" s="26">
        <f t="shared" si="14"/>
        <v>0</v>
      </c>
      <c r="M611" s="27"/>
      <c r="N611" s="30"/>
      <c r="O611" s="28"/>
      <c r="P611" s="28"/>
      <c r="Q611" s="28"/>
      <c r="R611" s="28"/>
      <c r="S611" s="28"/>
    </row>
    <row r="612">
      <c r="A612" s="17">
        <v>45546.0</v>
      </c>
      <c r="B612" s="18" t="s">
        <v>26</v>
      </c>
      <c r="C612" s="18" t="s">
        <v>19</v>
      </c>
      <c r="D612" s="19"/>
      <c r="E612" s="19"/>
      <c r="F612" s="20">
        <f t="shared" si="7"/>
        <v>0</v>
      </c>
      <c r="G612" s="21">
        <f>IFERROR(VLOOKUP(B612,DADOS!$A$2:$H$252,8,0),"")</f>
        <v>50</v>
      </c>
      <c r="H612" s="22">
        <v>111.0</v>
      </c>
      <c r="I612" s="23">
        <f>IFERROR(VLOOKUP(B612,DADOS!$A$2:$H$252,4,0)*H612,"")</f>
        <v>12.6466296</v>
      </c>
      <c r="J612" s="24">
        <v>1.0</v>
      </c>
      <c r="K612" s="25">
        <f>IFERROR(VLOOKUP(B612,DADOS!$A$2:$H$252,4,0)*J612,"")</f>
        <v>0.1139336</v>
      </c>
      <c r="L612" s="26">
        <f t="shared" si="14"/>
        <v>0</v>
      </c>
      <c r="M612" s="27"/>
      <c r="N612" s="30"/>
      <c r="O612" s="28"/>
      <c r="P612" s="28"/>
      <c r="Q612" s="28"/>
      <c r="R612" s="28"/>
      <c r="S612" s="28"/>
    </row>
    <row r="613">
      <c r="A613" s="17">
        <v>45546.0</v>
      </c>
      <c r="B613" s="18" t="s">
        <v>43</v>
      </c>
      <c r="C613" s="18" t="s">
        <v>149</v>
      </c>
      <c r="D613" s="19"/>
      <c r="E613" s="19"/>
      <c r="F613" s="20">
        <f t="shared" si="7"/>
        <v>0</v>
      </c>
      <c r="G613" s="21" t="str">
        <f>IFERROR(VLOOKUP(B613,DADOS!$A$2:$H$252,8,0),"")</f>
        <v/>
      </c>
      <c r="H613" s="22">
        <v>93.0</v>
      </c>
      <c r="I613" s="23" t="str">
        <f>IFERROR(VLOOKUP(B613,DADOS!$A$2:$H$252,4,0)*H613,"")</f>
        <v/>
      </c>
      <c r="J613" s="24">
        <v>11.0</v>
      </c>
      <c r="K613" s="25" t="str">
        <f>IFERROR(VLOOKUP(B613,DADOS!$A$2:$H$252,4,0)*J613,"")</f>
        <v/>
      </c>
      <c r="L613" s="26" t="str">
        <f t="shared" si="14"/>
        <v/>
      </c>
      <c r="M613" s="30" t="s">
        <v>39</v>
      </c>
      <c r="N613" s="33" t="s">
        <v>151</v>
      </c>
      <c r="O613" s="28"/>
      <c r="P613" s="28"/>
      <c r="Q613" s="28"/>
      <c r="R613" s="28"/>
      <c r="S613" s="28"/>
    </row>
    <row r="614">
      <c r="A614" s="17">
        <v>45546.0</v>
      </c>
      <c r="B614" s="18" t="s">
        <v>98</v>
      </c>
      <c r="C614" s="18" t="s">
        <v>136</v>
      </c>
      <c r="D614" s="19"/>
      <c r="E614" s="19"/>
      <c r="F614" s="20">
        <f t="shared" si="7"/>
        <v>0</v>
      </c>
      <c r="G614" s="21">
        <f>IFERROR(VLOOKUP(B614,DADOS!$A$2:$H$252,8,0),"")</f>
        <v>100</v>
      </c>
      <c r="H614" s="22">
        <v>190.0</v>
      </c>
      <c r="I614" s="23">
        <f>IFERROR(VLOOKUP(B614,DADOS!$A$2:$H$252,4,0)*H614,"")</f>
        <v>51.2316</v>
      </c>
      <c r="J614" s="24">
        <v>10.0</v>
      </c>
      <c r="K614" s="25">
        <f>IFERROR(VLOOKUP(B614,DADOS!$A$2:$H$252,4,0)*J614,"")</f>
        <v>2.6964</v>
      </c>
      <c r="L614" s="26">
        <f t="shared" si="14"/>
        <v>0</v>
      </c>
      <c r="M614" s="30" t="s">
        <v>39</v>
      </c>
      <c r="N614" s="33" t="s">
        <v>40</v>
      </c>
      <c r="O614" s="28"/>
      <c r="P614" s="28"/>
      <c r="Q614" s="28"/>
      <c r="R614" s="28"/>
      <c r="S614" s="28"/>
    </row>
    <row r="615">
      <c r="A615" s="17">
        <v>45546.0</v>
      </c>
      <c r="B615" s="18" t="s">
        <v>94</v>
      </c>
      <c r="C615" s="18" t="s">
        <v>136</v>
      </c>
      <c r="D615" s="19"/>
      <c r="E615" s="19"/>
      <c r="F615" s="20">
        <f t="shared" si="7"/>
        <v>0</v>
      </c>
      <c r="G615" s="21">
        <f>IFERROR(VLOOKUP(B615,DADOS!$A$2:$H$252,8,0),"")</f>
        <v>100</v>
      </c>
      <c r="H615" s="22">
        <v>40.0</v>
      </c>
      <c r="I615" s="23">
        <f>IFERROR(VLOOKUP(B615,DADOS!$A$2:$H$252,4,0)*H615,"")</f>
        <v>1.509984</v>
      </c>
      <c r="J615" s="36"/>
      <c r="K615" s="25">
        <f>IFERROR(VLOOKUP(B615,DADOS!$A$2:$H$252,4,0)*J615,"")</f>
        <v>0</v>
      </c>
      <c r="L615" s="26">
        <f t="shared" si="14"/>
        <v>0</v>
      </c>
      <c r="M615" s="27"/>
      <c r="N615" s="30"/>
      <c r="O615" s="28"/>
      <c r="P615" s="28"/>
      <c r="Q615" s="28"/>
      <c r="R615" s="28"/>
      <c r="S615" s="28"/>
    </row>
    <row r="616">
      <c r="A616" s="17">
        <v>45547.0</v>
      </c>
      <c r="B616" s="18" t="s">
        <v>49</v>
      </c>
      <c r="C616" s="18" t="s">
        <v>19</v>
      </c>
      <c r="D616" s="19"/>
      <c r="E616" s="19"/>
      <c r="F616" s="20">
        <f t="shared" si="7"/>
        <v>0</v>
      </c>
      <c r="G616" s="21">
        <f>IFERROR(VLOOKUP(B616,DADOS!$A$2:$H$252,8,0),"")</f>
        <v>42</v>
      </c>
      <c r="H616" s="22">
        <v>119.0</v>
      </c>
      <c r="I616" s="23">
        <f>IFERROR(VLOOKUP(B616,DADOS!$A$2:$H$252,4,0)*H616,"")</f>
        <v>8.0956414</v>
      </c>
      <c r="J616" s="24">
        <v>2.0</v>
      </c>
      <c r="K616" s="25">
        <f>IFERROR(VLOOKUP(B616,DADOS!$A$2:$H$252,4,0)*J616,"")</f>
        <v>0.1360612</v>
      </c>
      <c r="L616" s="26">
        <f t="shared" si="14"/>
        <v>0</v>
      </c>
      <c r="M616" s="27"/>
      <c r="N616" s="30"/>
      <c r="O616" s="28"/>
      <c r="P616" s="28"/>
      <c r="Q616" s="28"/>
      <c r="R616" s="28"/>
      <c r="S616" s="28"/>
    </row>
    <row r="617">
      <c r="A617" s="17">
        <v>45547.0</v>
      </c>
      <c r="B617" s="18" t="s">
        <v>63</v>
      </c>
      <c r="C617" s="18" t="s">
        <v>19</v>
      </c>
      <c r="D617" s="19"/>
      <c r="E617" s="19"/>
      <c r="F617" s="20">
        <f t="shared" si="7"/>
        <v>0</v>
      </c>
      <c r="G617" s="21" t="str">
        <f>IFERROR(VLOOKUP(B617,DADOS!$A$2:$H$252,8,0),"")</f>
        <v/>
      </c>
      <c r="H617" s="22">
        <v>26.0</v>
      </c>
      <c r="I617" s="23">
        <f>IFERROR(VLOOKUP(B617,DADOS!$A$2:$H$252,4,0)*H617,"")</f>
        <v>0</v>
      </c>
      <c r="J617" s="24">
        <v>1.0</v>
      </c>
      <c r="K617" s="25">
        <f>IFERROR(VLOOKUP(B617,DADOS!$A$2:$H$252,4,0)*J617,"")</f>
        <v>0</v>
      </c>
      <c r="L617" s="26" t="str">
        <f t="shared" si="14"/>
        <v/>
      </c>
      <c r="M617" s="27"/>
      <c r="N617" s="30"/>
      <c r="O617" s="28"/>
      <c r="P617" s="28"/>
      <c r="Q617" s="28"/>
      <c r="R617" s="28"/>
      <c r="S617" s="28"/>
    </row>
    <row r="618">
      <c r="A618" s="17">
        <v>45547.0</v>
      </c>
      <c r="B618" s="18" t="s">
        <v>63</v>
      </c>
      <c r="C618" s="18" t="s">
        <v>19</v>
      </c>
      <c r="D618" s="19"/>
      <c r="E618" s="19"/>
      <c r="F618" s="20">
        <f t="shared" si="7"/>
        <v>0</v>
      </c>
      <c r="G618" s="21" t="str">
        <f>IFERROR(VLOOKUP(B618,DADOS!$A$2:$H$252,8,0),"")</f>
        <v/>
      </c>
      <c r="H618" s="22"/>
      <c r="I618" s="23">
        <f>IFERROR(VLOOKUP(B618,DADOS!$A$2:$H$252,4,0)*H618,"")</f>
        <v>0</v>
      </c>
      <c r="J618" s="24">
        <v>2.0</v>
      </c>
      <c r="K618" s="25">
        <f>IFERROR(VLOOKUP(B618,DADOS!$A$2:$H$252,4,0)*J618,"")</f>
        <v>0</v>
      </c>
      <c r="L618" s="26" t="str">
        <f t="shared" si="14"/>
        <v/>
      </c>
      <c r="M618" s="27"/>
      <c r="N618" s="30"/>
      <c r="O618" s="28"/>
      <c r="P618" s="28"/>
      <c r="Q618" s="28"/>
      <c r="R618" s="28"/>
      <c r="S618" s="28"/>
    </row>
    <row r="619">
      <c r="A619" s="17">
        <v>45547.0</v>
      </c>
      <c r="B619" s="18" t="s">
        <v>43</v>
      </c>
      <c r="C619" s="18" t="s">
        <v>149</v>
      </c>
      <c r="D619" s="19"/>
      <c r="E619" s="19"/>
      <c r="F619" s="20">
        <f t="shared" si="7"/>
        <v>0</v>
      </c>
      <c r="G619" s="21" t="str">
        <f>IFERROR(VLOOKUP(B619,DADOS!$A$2:$H$252,8,0),"")</f>
        <v/>
      </c>
      <c r="H619" s="22">
        <v>50.0</v>
      </c>
      <c r="I619" s="23" t="str">
        <f>IFERROR(VLOOKUP(B619,DADOS!$A$2:$H$252,4,0)*H619,"")</f>
        <v/>
      </c>
      <c r="J619" s="24">
        <v>5.0</v>
      </c>
      <c r="K619" s="25" t="str">
        <f>IFERROR(VLOOKUP(B619,DADOS!$A$2:$H$252,4,0)*J619,"")</f>
        <v/>
      </c>
      <c r="L619" s="26" t="str">
        <f t="shared" si="14"/>
        <v/>
      </c>
      <c r="M619" s="27"/>
      <c r="N619" s="30"/>
      <c r="O619" s="28"/>
      <c r="P619" s="28"/>
      <c r="Q619" s="28"/>
      <c r="R619" s="28"/>
      <c r="S619" s="28"/>
    </row>
    <row r="620">
      <c r="A620" s="17">
        <v>45547.0</v>
      </c>
      <c r="B620" s="18" t="s">
        <v>78</v>
      </c>
      <c r="C620" s="18" t="s">
        <v>149</v>
      </c>
      <c r="D620" s="19"/>
      <c r="E620" s="19"/>
      <c r="F620" s="20">
        <f t="shared" si="7"/>
        <v>0</v>
      </c>
      <c r="G620" s="21">
        <f>IFERROR(VLOOKUP(B620,DADOS!$A$2:$H$252,8,0),"")</f>
        <v>25</v>
      </c>
      <c r="H620" s="22">
        <v>48.0</v>
      </c>
      <c r="I620" s="23">
        <f>IFERROR(VLOOKUP(B620,DADOS!$A$2:$H$252,4,0)*H620,"")</f>
        <v>15.623712</v>
      </c>
      <c r="J620" s="24">
        <v>2.0</v>
      </c>
      <c r="K620" s="25">
        <f>IFERROR(VLOOKUP(B620,DADOS!$A$2:$H$252,4,0)*J620,"")</f>
        <v>0.650988</v>
      </c>
      <c r="L620" s="26">
        <f t="shared" si="14"/>
        <v>0</v>
      </c>
      <c r="M620" s="27"/>
      <c r="N620" s="30"/>
      <c r="O620" s="28"/>
      <c r="P620" s="28"/>
      <c r="Q620" s="28"/>
      <c r="R620" s="28"/>
      <c r="S620" s="28"/>
    </row>
    <row r="621">
      <c r="A621" s="17">
        <v>45547.0</v>
      </c>
      <c r="B621" s="18" t="s">
        <v>94</v>
      </c>
      <c r="C621" s="18" t="s">
        <v>136</v>
      </c>
      <c r="D621" s="19"/>
      <c r="E621" s="19"/>
      <c r="F621" s="20">
        <f t="shared" si="7"/>
        <v>0</v>
      </c>
      <c r="G621" s="21">
        <f>IFERROR(VLOOKUP(B621,DADOS!$A$2:$H$252,8,0),"")</f>
        <v>100</v>
      </c>
      <c r="H621" s="22">
        <v>157.0</v>
      </c>
      <c r="I621" s="23">
        <f>IFERROR(VLOOKUP(B621,DADOS!$A$2:$H$252,4,0)*H621,"")</f>
        <v>5.9266872</v>
      </c>
      <c r="J621" s="24">
        <v>3.0</v>
      </c>
      <c r="K621" s="25">
        <f>IFERROR(VLOOKUP(B621,DADOS!$A$2:$H$252,4,0)*J621,"")</f>
        <v>0.1132488</v>
      </c>
      <c r="L621" s="26">
        <f t="shared" si="14"/>
        <v>0</v>
      </c>
      <c r="M621" s="27"/>
      <c r="N621" s="30"/>
      <c r="O621" s="28"/>
      <c r="P621" s="28"/>
      <c r="Q621" s="28"/>
      <c r="R621" s="28"/>
      <c r="S621" s="28"/>
    </row>
    <row r="622">
      <c r="A622" s="17">
        <v>45547.0</v>
      </c>
      <c r="B622" s="18" t="s">
        <v>79</v>
      </c>
      <c r="C622" s="18" t="s">
        <v>136</v>
      </c>
      <c r="D622" s="19"/>
      <c r="E622" s="19"/>
      <c r="F622" s="20">
        <f t="shared" si="7"/>
        <v>0</v>
      </c>
      <c r="G622" s="21">
        <f>IFERROR(VLOOKUP(B622,DADOS!$A$2:$H$252,8,0),"")</f>
        <v>87</v>
      </c>
      <c r="H622" s="22">
        <v>105.0</v>
      </c>
      <c r="I622" s="23">
        <f>IFERROR(VLOOKUP(B622,DADOS!$A$2:$H$252,4,0)*H622,"")</f>
        <v>1.7976</v>
      </c>
      <c r="J622" s="24">
        <v>1.0</v>
      </c>
      <c r="K622" s="25">
        <f>IFERROR(VLOOKUP(B622,DADOS!$A$2:$H$252,4,0)*J622,"")</f>
        <v>0.01712</v>
      </c>
      <c r="L622" s="26">
        <f t="shared" si="14"/>
        <v>0</v>
      </c>
      <c r="M622" s="27"/>
      <c r="N622" s="30"/>
      <c r="O622" s="28"/>
      <c r="P622" s="28"/>
      <c r="Q622" s="28"/>
      <c r="R622" s="28"/>
      <c r="S622" s="28"/>
    </row>
    <row r="623">
      <c r="A623" s="17">
        <v>45548.0</v>
      </c>
      <c r="B623" s="18" t="s">
        <v>62</v>
      </c>
      <c r="C623" s="18" t="s">
        <v>19</v>
      </c>
      <c r="D623" s="19"/>
      <c r="E623" s="19"/>
      <c r="F623" s="20">
        <f t="shared" si="7"/>
        <v>0</v>
      </c>
      <c r="G623" s="21">
        <f>IFERROR(VLOOKUP(B623,DADOS!$A$2:$H$252,8,0),"")</f>
        <v>14</v>
      </c>
      <c r="H623" s="22">
        <v>90.0</v>
      </c>
      <c r="I623" s="23">
        <f>IFERROR(VLOOKUP(B623,DADOS!$A$2:$H$252,4,0)*H623,"")</f>
        <v>7.648146</v>
      </c>
      <c r="J623" s="24">
        <v>2.0</v>
      </c>
      <c r="K623" s="25">
        <f>IFERROR(VLOOKUP(B623,DADOS!$A$2:$H$252,4,0)*J623,"")</f>
        <v>0.1699588</v>
      </c>
      <c r="L623" s="26">
        <f t="shared" si="14"/>
        <v>0</v>
      </c>
      <c r="M623" s="27"/>
      <c r="N623" s="30"/>
      <c r="O623" s="28"/>
      <c r="P623" s="28"/>
      <c r="Q623" s="28"/>
      <c r="R623" s="28"/>
      <c r="S623" s="28"/>
    </row>
    <row r="624">
      <c r="A624" s="17">
        <v>45548.0</v>
      </c>
      <c r="B624" s="18" t="s">
        <v>96</v>
      </c>
      <c r="C624" s="18" t="s">
        <v>149</v>
      </c>
      <c r="D624" s="19"/>
      <c r="E624" s="19"/>
      <c r="F624" s="20">
        <f t="shared" si="7"/>
        <v>0</v>
      </c>
      <c r="G624" s="21">
        <f>IFERROR(VLOOKUP(B624,DADOS!$A$2:$H$252,8,0),"")</f>
        <v>27</v>
      </c>
      <c r="H624" s="22">
        <v>158.0</v>
      </c>
      <c r="I624" s="23">
        <f>IFERROR(VLOOKUP(B624,DADOS!$A$2:$H$252,4,0)*H624,"")</f>
        <v>14.87728</v>
      </c>
      <c r="J624" s="24">
        <v>2.0</v>
      </c>
      <c r="K624" s="25">
        <f>IFERROR(VLOOKUP(B624,DADOS!$A$2:$H$252,4,0)*J624,"")</f>
        <v>0.18832</v>
      </c>
      <c r="L624" s="26">
        <f t="shared" si="14"/>
        <v>0</v>
      </c>
      <c r="M624" s="27"/>
      <c r="N624" s="30"/>
      <c r="O624" s="28"/>
      <c r="P624" s="28"/>
      <c r="Q624" s="28"/>
      <c r="R624" s="28"/>
      <c r="S624" s="28"/>
    </row>
    <row r="625">
      <c r="A625" s="17">
        <v>45548.0</v>
      </c>
      <c r="B625" s="18" t="s">
        <v>62</v>
      </c>
      <c r="C625" s="18" t="s">
        <v>149</v>
      </c>
      <c r="D625" s="19"/>
      <c r="E625" s="19"/>
      <c r="F625" s="20">
        <f t="shared" si="7"/>
        <v>0</v>
      </c>
      <c r="G625" s="21">
        <f>IFERROR(VLOOKUP(B625,DADOS!$A$2:$H$252,8,0),"")</f>
        <v>14</v>
      </c>
      <c r="H625" s="22">
        <v>5.0</v>
      </c>
      <c r="I625" s="23">
        <f>IFERROR(VLOOKUP(B625,DADOS!$A$2:$H$252,4,0)*H625,"")</f>
        <v>0.424897</v>
      </c>
      <c r="J625" s="24">
        <v>3.0</v>
      </c>
      <c r="K625" s="25">
        <f>IFERROR(VLOOKUP(B625,DADOS!$A$2:$H$252,4,0)*J625,"")</f>
        <v>0.2549382</v>
      </c>
      <c r="L625" s="26">
        <f t="shared" si="14"/>
        <v>0</v>
      </c>
      <c r="M625" s="27"/>
      <c r="N625" s="30"/>
      <c r="O625" s="28"/>
      <c r="P625" s="28"/>
      <c r="Q625" s="28"/>
      <c r="R625" s="28"/>
      <c r="S625" s="28"/>
    </row>
    <row r="626">
      <c r="A626" s="17">
        <v>45548.0</v>
      </c>
      <c r="B626" s="18" t="s">
        <v>79</v>
      </c>
      <c r="C626" s="18" t="s">
        <v>136</v>
      </c>
      <c r="D626" s="19"/>
      <c r="E626" s="19"/>
      <c r="F626" s="20">
        <f t="shared" si="7"/>
        <v>0</v>
      </c>
      <c r="G626" s="21">
        <f>IFERROR(VLOOKUP(B626,DADOS!$A$2:$H$252,8,0),"")</f>
        <v>87</v>
      </c>
      <c r="H626" s="22">
        <v>185.0</v>
      </c>
      <c r="I626" s="23">
        <f>IFERROR(VLOOKUP(B626,DADOS!$A$2:$H$252,4,0)*H626,"")</f>
        <v>3.1672</v>
      </c>
      <c r="J626" s="24">
        <v>3.0</v>
      </c>
      <c r="K626" s="25">
        <f>IFERROR(VLOOKUP(B626,DADOS!$A$2:$H$252,4,0)*J626,"")</f>
        <v>0.05136</v>
      </c>
      <c r="L626" s="26">
        <f t="shared" si="14"/>
        <v>0</v>
      </c>
      <c r="M626" s="27"/>
      <c r="N626" s="30"/>
      <c r="O626" s="28"/>
      <c r="P626" s="28"/>
      <c r="Q626" s="28"/>
      <c r="R626" s="28"/>
      <c r="S626" s="28"/>
    </row>
    <row r="627">
      <c r="A627" s="17">
        <v>45548.0</v>
      </c>
      <c r="B627" s="18" t="s">
        <v>57</v>
      </c>
      <c r="C627" s="18" t="s">
        <v>136</v>
      </c>
      <c r="D627" s="19"/>
      <c r="E627" s="19"/>
      <c r="F627" s="20">
        <f t="shared" si="7"/>
        <v>0</v>
      </c>
      <c r="G627" s="21">
        <f>IFERROR(VLOOKUP(B627,DADOS!$A$2:$H$252,8,0),"")</f>
        <v>100</v>
      </c>
      <c r="H627" s="22">
        <v>106.0</v>
      </c>
      <c r="I627" s="23">
        <f>IFERROR(VLOOKUP(B627,DADOS!$A$2:$H$252,4,0)*H627,"")</f>
        <v>1.81472</v>
      </c>
      <c r="J627" s="36"/>
      <c r="K627" s="25">
        <f>IFERROR(VLOOKUP(B627,DADOS!$A$2:$H$252,4,0)*J627,"")</f>
        <v>0</v>
      </c>
      <c r="L627" s="26">
        <f t="shared" si="14"/>
        <v>0</v>
      </c>
      <c r="M627" s="27"/>
      <c r="N627" s="30"/>
      <c r="O627" s="28"/>
      <c r="P627" s="28"/>
      <c r="Q627" s="28"/>
      <c r="R627" s="28"/>
      <c r="S627" s="28"/>
    </row>
    <row r="628">
      <c r="A628" s="17">
        <v>45551.0</v>
      </c>
      <c r="B628" s="18" t="s">
        <v>57</v>
      </c>
      <c r="C628" s="18" t="s">
        <v>136</v>
      </c>
      <c r="D628" s="19"/>
      <c r="E628" s="19"/>
      <c r="F628" s="20">
        <f t="shared" si="7"/>
        <v>0</v>
      </c>
      <c r="G628" s="21">
        <f>IFERROR(VLOOKUP(B628,DADOS!$A$2:$H$252,8,0),"")</f>
        <v>100</v>
      </c>
      <c r="H628" s="22">
        <v>145.0</v>
      </c>
      <c r="I628" s="23">
        <f>IFERROR(VLOOKUP(B628,DADOS!$A$2:$H$252,4,0)*H628,"")</f>
        <v>2.4824</v>
      </c>
      <c r="J628" s="36"/>
      <c r="K628" s="25">
        <f>IFERROR(VLOOKUP(B628,DADOS!$A$2:$H$252,4,0)*J628,"")</f>
        <v>0</v>
      </c>
      <c r="L628" s="26">
        <f t="shared" si="14"/>
        <v>0</v>
      </c>
      <c r="M628" s="27"/>
      <c r="N628" s="30"/>
      <c r="O628" s="28"/>
      <c r="P628" s="28"/>
      <c r="Q628" s="28"/>
      <c r="R628" s="28"/>
      <c r="S628" s="28"/>
    </row>
    <row r="629">
      <c r="A629" s="17">
        <v>45551.0</v>
      </c>
      <c r="B629" s="18" t="s">
        <v>61</v>
      </c>
      <c r="C629" s="18" t="s">
        <v>136</v>
      </c>
      <c r="D629" s="19"/>
      <c r="E629" s="19"/>
      <c r="F629" s="20">
        <f t="shared" si="7"/>
        <v>0</v>
      </c>
      <c r="G629" s="21">
        <f>IFERROR(VLOOKUP(B629,DADOS!$A$2:$H$252,8,0),"")</f>
        <v>112</v>
      </c>
      <c r="H629" s="22">
        <v>219.0</v>
      </c>
      <c r="I629" s="23">
        <f>IFERROR(VLOOKUP(B629,DADOS!$A$2:$H$252,4,0)*H629,"")</f>
        <v>3.28062</v>
      </c>
      <c r="J629" s="36"/>
      <c r="K629" s="25">
        <f>IFERROR(VLOOKUP(B629,DADOS!$A$2:$H$252,4,0)*J629,"")</f>
        <v>0</v>
      </c>
      <c r="L629" s="26">
        <f t="shared" si="14"/>
        <v>0</v>
      </c>
      <c r="M629" s="27"/>
      <c r="N629" s="30"/>
      <c r="O629" s="28"/>
      <c r="P629" s="28"/>
      <c r="Q629" s="28"/>
      <c r="R629" s="28"/>
      <c r="S629" s="28"/>
    </row>
    <row r="630">
      <c r="A630" s="17">
        <v>45552.0</v>
      </c>
      <c r="B630" s="18" t="s">
        <v>152</v>
      </c>
      <c r="C630" s="18" t="s">
        <v>136</v>
      </c>
      <c r="D630" s="19"/>
      <c r="E630" s="19"/>
      <c r="F630" s="20">
        <f t="shared" si="7"/>
        <v>0</v>
      </c>
      <c r="G630" s="21">
        <f>IFERROR(VLOOKUP(B630,DADOS!$A$2:$H$252,8,0),"")</f>
        <v>45</v>
      </c>
      <c r="H630" s="22">
        <v>98.0</v>
      </c>
      <c r="I630" s="23">
        <f>IFERROR(VLOOKUP(B630,DADOS!$A$2:$H$252,4,0)*H630,"")</f>
        <v>3.6994608</v>
      </c>
      <c r="J630" s="24">
        <v>2.0</v>
      </c>
      <c r="K630" s="25">
        <f>IFERROR(VLOOKUP(B630,DADOS!$A$2:$H$252,4,0)*J630,"")</f>
        <v>0.0754992</v>
      </c>
      <c r="L630" s="26">
        <f t="shared" si="14"/>
        <v>0</v>
      </c>
      <c r="M630" s="27"/>
      <c r="N630" s="30"/>
      <c r="O630" s="28"/>
      <c r="P630" s="28"/>
      <c r="Q630" s="28"/>
      <c r="R630" s="28"/>
      <c r="S630" s="28"/>
    </row>
    <row r="631">
      <c r="A631" s="17">
        <v>45552.0</v>
      </c>
      <c r="B631" s="18" t="s">
        <v>68</v>
      </c>
      <c r="C631" s="18" t="s">
        <v>136</v>
      </c>
      <c r="D631" s="19"/>
      <c r="E631" s="19"/>
      <c r="F631" s="20">
        <f t="shared" si="7"/>
        <v>0</v>
      </c>
      <c r="G631" s="21">
        <f>IFERROR(VLOOKUP(B631,DADOS!$A$2:$H$252,8,0),"")</f>
        <v>170</v>
      </c>
      <c r="H631" s="22">
        <v>150.0</v>
      </c>
      <c r="I631" s="23">
        <f>IFERROR(VLOOKUP(B631,DADOS!$A$2:$H$252,4,0)*H631,"")</f>
        <v>1.4445</v>
      </c>
      <c r="J631" s="24">
        <v>1.0</v>
      </c>
      <c r="K631" s="25">
        <f>IFERROR(VLOOKUP(B631,DADOS!$A$2:$H$252,4,0)*J631,"")</f>
        <v>0.00963</v>
      </c>
      <c r="L631" s="26">
        <f t="shared" si="14"/>
        <v>0</v>
      </c>
      <c r="M631" s="27"/>
      <c r="N631" s="30"/>
      <c r="O631" s="28"/>
      <c r="P631" s="28"/>
      <c r="Q631" s="28"/>
      <c r="R631" s="28"/>
      <c r="S631" s="28"/>
    </row>
    <row r="632">
      <c r="A632" s="17">
        <v>45552.0</v>
      </c>
      <c r="B632" s="18" t="s">
        <v>76</v>
      </c>
      <c r="C632" s="18" t="s">
        <v>136</v>
      </c>
      <c r="D632" s="19"/>
      <c r="E632" s="19"/>
      <c r="F632" s="20">
        <f t="shared" si="7"/>
        <v>0</v>
      </c>
      <c r="G632" s="21">
        <f>IFERROR(VLOOKUP(B632,DADOS!$A$2:$H$252,8,0),"")</f>
        <v>120</v>
      </c>
      <c r="H632" s="22">
        <v>143.0</v>
      </c>
      <c r="I632" s="23">
        <f>IFERROR(VLOOKUP(B632,DADOS!$A$2:$H$252,4,0)*H632,"")</f>
        <v>0.3718143</v>
      </c>
      <c r="J632" s="24">
        <v>3.0</v>
      </c>
      <c r="K632" s="25">
        <f>IFERROR(VLOOKUP(B632,DADOS!$A$2:$H$252,4,0)*J632,"")</f>
        <v>0.0078003</v>
      </c>
      <c r="L632" s="26">
        <f t="shared" si="14"/>
        <v>0</v>
      </c>
      <c r="M632" s="27"/>
      <c r="N632" s="30"/>
      <c r="O632" s="28"/>
      <c r="P632" s="28"/>
      <c r="Q632" s="28"/>
      <c r="R632" s="28"/>
      <c r="S632" s="28"/>
    </row>
    <row r="633">
      <c r="A633" s="17">
        <v>45552.0</v>
      </c>
      <c r="B633" s="18" t="s">
        <v>42</v>
      </c>
      <c r="C633" s="18" t="s">
        <v>136</v>
      </c>
      <c r="D633" s="19"/>
      <c r="E633" s="19"/>
      <c r="F633" s="20">
        <f t="shared" si="7"/>
        <v>0</v>
      </c>
      <c r="G633" s="21">
        <f>IFERROR(VLOOKUP(B633,DADOS!$A$2:$H$252,8,0),"")</f>
        <v>100</v>
      </c>
      <c r="H633" s="22">
        <v>96.0</v>
      </c>
      <c r="I633" s="23">
        <f>IFERROR(VLOOKUP(B633,DADOS!$A$2:$H$252,4,0)*H633,"")</f>
        <v>116.48448</v>
      </c>
      <c r="J633" s="24">
        <v>4.0</v>
      </c>
      <c r="K633" s="25">
        <f>IFERROR(VLOOKUP(B633,DADOS!$A$2:$H$252,4,0)*J633,"")</f>
        <v>4.85352</v>
      </c>
      <c r="L633" s="26">
        <f t="shared" si="14"/>
        <v>0</v>
      </c>
      <c r="M633" s="27"/>
      <c r="N633" s="30"/>
      <c r="O633" s="28"/>
      <c r="P633" s="28"/>
      <c r="Q633" s="28"/>
      <c r="R633" s="28"/>
      <c r="S633" s="28"/>
    </row>
    <row r="634">
      <c r="A634" s="17">
        <v>45554.0</v>
      </c>
      <c r="B634" s="18" t="s">
        <v>18</v>
      </c>
      <c r="C634" s="18" t="s">
        <v>19</v>
      </c>
      <c r="D634" s="19"/>
      <c r="E634" s="19"/>
      <c r="F634" s="20">
        <f t="shared" si="7"/>
        <v>0</v>
      </c>
      <c r="G634" s="21">
        <f>IFERROR(VLOOKUP(B634,DADOS!$A$2:$H$252,8,0),"")</f>
        <v>21</v>
      </c>
      <c r="H634" s="22">
        <v>11.0</v>
      </c>
      <c r="I634" s="23">
        <f>IFERROR(VLOOKUP(B634,DADOS!$A$2:$H$252,4,0)*H634,"")</f>
        <v>3.222626</v>
      </c>
      <c r="J634" s="36"/>
      <c r="K634" s="25">
        <f>IFERROR(VLOOKUP(B634,DADOS!$A$2:$H$252,4,0)*J634,"")</f>
        <v>0</v>
      </c>
      <c r="L634" s="26">
        <f t="shared" si="14"/>
        <v>0</v>
      </c>
      <c r="M634" s="27"/>
      <c r="N634" s="30"/>
      <c r="O634" s="28"/>
      <c r="P634" s="28"/>
      <c r="Q634" s="28"/>
      <c r="R634" s="28"/>
      <c r="S634" s="28"/>
    </row>
    <row r="635">
      <c r="A635" s="17">
        <v>45554.0</v>
      </c>
      <c r="B635" s="18" t="s">
        <v>71</v>
      </c>
      <c r="C635" s="18" t="s">
        <v>19</v>
      </c>
      <c r="D635" s="19"/>
      <c r="E635" s="19"/>
      <c r="F635" s="20">
        <f t="shared" si="7"/>
        <v>0</v>
      </c>
      <c r="G635" s="21">
        <f>IFERROR(VLOOKUP(B635,DADOS!$A$2:$H$252,8,0),"")</f>
        <v>7</v>
      </c>
      <c r="H635" s="22">
        <v>10.0</v>
      </c>
      <c r="I635" s="23">
        <f>IFERROR(VLOOKUP(B635,DADOS!$A$2:$H$252,4,0)*H635,"")</f>
        <v>14.024062</v>
      </c>
      <c r="J635" s="36"/>
      <c r="K635" s="25">
        <f>IFERROR(VLOOKUP(B635,DADOS!$A$2:$H$252,4,0)*J635,"")</f>
        <v>0</v>
      </c>
      <c r="L635" s="26">
        <f t="shared" si="14"/>
        <v>0</v>
      </c>
      <c r="M635" s="27"/>
      <c r="N635" s="30"/>
      <c r="O635" s="28"/>
      <c r="P635" s="28"/>
      <c r="Q635" s="28"/>
      <c r="R635" s="28"/>
      <c r="S635" s="28"/>
    </row>
    <row r="636">
      <c r="A636" s="17">
        <v>45554.0</v>
      </c>
      <c r="B636" s="18" t="s">
        <v>109</v>
      </c>
      <c r="C636" s="18" t="s">
        <v>19</v>
      </c>
      <c r="D636" s="19"/>
      <c r="E636" s="19"/>
      <c r="F636" s="20">
        <f t="shared" si="7"/>
        <v>0</v>
      </c>
      <c r="G636" s="21" t="str">
        <f>IFERROR(VLOOKUP(B636,DADOS!$A$2:$H$252,8,0),"")</f>
        <v/>
      </c>
      <c r="H636" s="22">
        <v>20.0</v>
      </c>
      <c r="I636" s="23" t="str">
        <f>IFERROR(VLOOKUP(B636,DADOS!$A$2:$H$252,4,0)*H636,"")</f>
        <v/>
      </c>
      <c r="J636" s="36"/>
      <c r="K636" s="25" t="str">
        <f>IFERROR(VLOOKUP(B636,DADOS!$A$2:$H$252,4,0)*J636,"")</f>
        <v/>
      </c>
      <c r="L636" s="26" t="str">
        <f t="shared" si="14"/>
        <v/>
      </c>
      <c r="M636" s="27"/>
      <c r="N636" s="30"/>
      <c r="O636" s="28"/>
      <c r="P636" s="28"/>
      <c r="Q636" s="28"/>
      <c r="R636" s="28"/>
      <c r="S636" s="28"/>
    </row>
    <row r="637">
      <c r="A637" s="17">
        <v>45555.0</v>
      </c>
      <c r="B637" s="18" t="s">
        <v>113</v>
      </c>
      <c r="C637" s="18" t="s">
        <v>19</v>
      </c>
      <c r="D637" s="19"/>
      <c r="E637" s="19"/>
      <c r="F637" s="20">
        <f t="shared" si="7"/>
        <v>0</v>
      </c>
      <c r="G637" s="21">
        <f>IFERROR(VLOOKUP(B637,DADOS!$A$2:$H$252,8,0),"")</f>
        <v>8</v>
      </c>
      <c r="H637" s="22">
        <v>21.0</v>
      </c>
      <c r="I637" s="23">
        <f>IFERROR(VLOOKUP(B637,DADOS!$A$2:$H$252,4,0)*H637,"")</f>
        <v>13.3669536</v>
      </c>
      <c r="J637" s="36"/>
      <c r="K637" s="25">
        <f>IFERROR(VLOOKUP(B637,DADOS!$A$2:$H$252,4,0)*J637,"")</f>
        <v>0</v>
      </c>
      <c r="L637" s="26">
        <f t="shared" si="14"/>
        <v>0</v>
      </c>
      <c r="M637" s="27"/>
      <c r="N637" s="30"/>
      <c r="O637" s="28"/>
      <c r="P637" s="28"/>
      <c r="Q637" s="28"/>
      <c r="R637" s="28"/>
      <c r="S637" s="28"/>
    </row>
    <row r="638">
      <c r="A638" s="17">
        <v>45555.0</v>
      </c>
      <c r="B638" s="18" t="s">
        <v>54</v>
      </c>
      <c r="C638" s="18" t="s">
        <v>19</v>
      </c>
      <c r="D638" s="19"/>
      <c r="E638" s="19"/>
      <c r="F638" s="20">
        <f t="shared" si="7"/>
        <v>0</v>
      </c>
      <c r="G638" s="21" t="str">
        <f>IFERROR(VLOOKUP(B638,DADOS!$A$2:$H$252,8,0),"")</f>
        <v/>
      </c>
      <c r="H638" s="22">
        <v>29.0</v>
      </c>
      <c r="I638" s="23">
        <f>IFERROR(VLOOKUP(B638,DADOS!$A$2:$H$252,4,0)*H638,"")</f>
        <v>40.6697798</v>
      </c>
      <c r="J638" s="36"/>
      <c r="K638" s="25">
        <f>IFERROR(VLOOKUP(B638,DADOS!$A$2:$H$252,4,0)*J638,"")</f>
        <v>0</v>
      </c>
      <c r="L638" s="26">
        <f t="shared" si="14"/>
        <v>0</v>
      </c>
      <c r="M638" s="27"/>
      <c r="N638" s="30"/>
      <c r="O638" s="28"/>
      <c r="P638" s="28"/>
      <c r="Q638" s="28"/>
      <c r="R638" s="28"/>
      <c r="S638" s="28"/>
    </row>
    <row r="639">
      <c r="A639" s="17">
        <v>45555.0</v>
      </c>
      <c r="B639" s="18" t="s">
        <v>77</v>
      </c>
      <c r="C639" s="18" t="s">
        <v>136</v>
      </c>
      <c r="D639" s="19"/>
      <c r="E639" s="19"/>
      <c r="F639" s="20">
        <f t="shared" si="7"/>
        <v>0</v>
      </c>
      <c r="G639" s="21">
        <f>IFERROR(VLOOKUP(B639,DADOS!$A$2:$H$252,8,0),"")</f>
        <v>120</v>
      </c>
      <c r="H639" s="22">
        <v>100.0</v>
      </c>
      <c r="I639" s="23">
        <f>IFERROR(VLOOKUP(B639,DADOS!$A$2:$H$252,4,0)*H639,"")</f>
        <v>0.963</v>
      </c>
      <c r="J639" s="36"/>
      <c r="K639" s="25">
        <f>IFERROR(VLOOKUP(B639,DADOS!$A$2:$H$252,4,0)*J639,"")</f>
        <v>0</v>
      </c>
      <c r="L639" s="26">
        <f t="shared" si="14"/>
        <v>0</v>
      </c>
      <c r="M639" s="27"/>
      <c r="N639" s="30"/>
      <c r="O639" s="28"/>
      <c r="P639" s="28"/>
      <c r="Q639" s="28"/>
      <c r="R639" s="28"/>
      <c r="S639" s="28"/>
    </row>
    <row r="640">
      <c r="A640" s="17">
        <v>45558.0</v>
      </c>
      <c r="B640" s="18" t="s">
        <v>54</v>
      </c>
      <c r="C640" s="18" t="s">
        <v>19</v>
      </c>
      <c r="D640" s="19"/>
      <c r="E640" s="19"/>
      <c r="F640" s="20">
        <f t="shared" si="7"/>
        <v>0</v>
      </c>
      <c r="G640" s="21" t="str">
        <f>IFERROR(VLOOKUP(B640,DADOS!$A$2:$H$252,8,0),"")</f>
        <v/>
      </c>
      <c r="H640" s="22">
        <v>22.0</v>
      </c>
      <c r="I640" s="23">
        <f>IFERROR(VLOOKUP(B640,DADOS!$A$2:$H$252,4,0)*H640,"")</f>
        <v>30.8529364</v>
      </c>
      <c r="J640" s="36"/>
      <c r="K640" s="25">
        <f>IFERROR(VLOOKUP(B640,DADOS!$A$2:$H$252,4,0)*J640,"")</f>
        <v>0</v>
      </c>
      <c r="L640" s="26">
        <f t="shared" si="14"/>
        <v>0</v>
      </c>
      <c r="M640" s="27"/>
      <c r="N640" s="30"/>
      <c r="O640" s="28"/>
      <c r="P640" s="28"/>
      <c r="Q640" s="28"/>
      <c r="R640" s="28"/>
      <c r="S640" s="28"/>
    </row>
    <row r="641">
      <c r="A641" s="17">
        <v>45558.0</v>
      </c>
      <c r="B641" s="18" t="s">
        <v>33</v>
      </c>
      <c r="C641" s="18" t="s">
        <v>19</v>
      </c>
      <c r="D641" s="19"/>
      <c r="E641" s="19"/>
      <c r="F641" s="20">
        <f t="shared" si="7"/>
        <v>0</v>
      </c>
      <c r="G641" s="21">
        <f>IFERROR(VLOOKUP(B641,DADOS!$A$2:$H$252,8,0),"")</f>
        <v>7</v>
      </c>
      <c r="H641" s="22">
        <v>34.0</v>
      </c>
      <c r="I641" s="23">
        <f>IFERROR(VLOOKUP(B641,DADOS!$A$2:$H$252,4,0)*H641,"")</f>
        <v>47.6818108</v>
      </c>
      <c r="J641" s="36"/>
      <c r="K641" s="25">
        <f>IFERROR(VLOOKUP(B641,DADOS!$A$2:$H$252,4,0)*J641,"")</f>
        <v>0</v>
      </c>
      <c r="L641" s="26">
        <f t="shared" si="14"/>
        <v>0</v>
      </c>
      <c r="M641" s="27"/>
      <c r="N641" s="30"/>
      <c r="O641" s="28"/>
      <c r="P641" s="28"/>
      <c r="Q641" s="28"/>
      <c r="R641" s="28"/>
      <c r="S641" s="28"/>
    </row>
    <row r="642">
      <c r="A642" s="17">
        <v>45558.0</v>
      </c>
      <c r="B642" s="18" t="s">
        <v>75</v>
      </c>
      <c r="C642" s="18" t="s">
        <v>19</v>
      </c>
      <c r="D642" s="19"/>
      <c r="E642" s="19"/>
      <c r="F642" s="20">
        <f t="shared" si="7"/>
        <v>0</v>
      </c>
      <c r="G642" s="21">
        <f>IFERROR(VLOOKUP(B642,DADOS!$A$2:$H$252,8,0),"")</f>
        <v>23</v>
      </c>
      <c r="H642" s="22">
        <v>99.0</v>
      </c>
      <c r="I642" s="23">
        <f>IFERROR(VLOOKUP(B642,DADOS!$A$2:$H$252,4,0)*H642,"")</f>
        <v>11.2794264</v>
      </c>
      <c r="J642" s="24">
        <v>1.0</v>
      </c>
      <c r="K642" s="25">
        <f>IFERROR(VLOOKUP(B642,DADOS!$A$2:$H$252,4,0)*J642,"")</f>
        <v>0.1139336</v>
      </c>
      <c r="L642" s="26">
        <f t="shared" si="14"/>
        <v>0</v>
      </c>
      <c r="M642" s="27"/>
      <c r="N642" s="30"/>
      <c r="O642" s="28"/>
      <c r="P642" s="28"/>
      <c r="Q642" s="28"/>
      <c r="R642" s="28"/>
      <c r="S642" s="28"/>
    </row>
    <row r="643">
      <c r="A643" s="17">
        <v>45558.0</v>
      </c>
      <c r="B643" s="18" t="s">
        <v>27</v>
      </c>
      <c r="C643" s="18" t="s">
        <v>136</v>
      </c>
      <c r="D643" s="19"/>
      <c r="E643" s="19"/>
      <c r="F643" s="20">
        <f t="shared" si="7"/>
        <v>0</v>
      </c>
      <c r="G643" s="21">
        <f>IFERROR(VLOOKUP(B643,DADOS!$A$2:$H$252,8,0),"")</f>
        <v>30</v>
      </c>
      <c r="H643" s="22" t="s">
        <v>153</v>
      </c>
      <c r="I643" s="23" t="str">
        <f>IFERROR(VLOOKUP(B643,DADOS!$A$2:$H$252,4,0)*H643,"")</f>
        <v/>
      </c>
      <c r="J643" s="36"/>
      <c r="K643" s="25">
        <f>IFERROR(VLOOKUP(B643,DADOS!$A$2:$H$252,4,0)*J643,"")</f>
        <v>0</v>
      </c>
      <c r="L643" s="26" t="str">
        <f t="shared" si="14"/>
        <v/>
      </c>
      <c r="M643" s="27"/>
      <c r="N643" s="30"/>
      <c r="O643" s="28"/>
      <c r="P643" s="28"/>
      <c r="Q643" s="28"/>
      <c r="R643" s="28"/>
      <c r="S643" s="28"/>
    </row>
    <row r="644">
      <c r="A644" s="17">
        <v>45559.0</v>
      </c>
      <c r="B644" s="18" t="s">
        <v>18</v>
      </c>
      <c r="C644" s="18" t="s">
        <v>19</v>
      </c>
      <c r="D644" s="19"/>
      <c r="E644" s="19"/>
      <c r="F644" s="20">
        <f t="shared" si="7"/>
        <v>0</v>
      </c>
      <c r="G644" s="21">
        <f>IFERROR(VLOOKUP(B644,DADOS!$A$2:$H$252,8,0),"")</f>
        <v>21</v>
      </c>
      <c r="H644" s="22">
        <v>30.0</v>
      </c>
      <c r="I644" s="23">
        <f>IFERROR(VLOOKUP(B644,DADOS!$A$2:$H$252,4,0)*H644,"")</f>
        <v>8.78898</v>
      </c>
      <c r="J644" s="36"/>
      <c r="K644" s="25">
        <f>IFERROR(VLOOKUP(B644,DADOS!$A$2:$H$252,4,0)*J644,"")</f>
        <v>0</v>
      </c>
      <c r="L644" s="26">
        <f t="shared" si="14"/>
        <v>0</v>
      </c>
      <c r="M644" s="27"/>
      <c r="N644" s="30"/>
      <c r="O644" s="28"/>
      <c r="P644" s="28"/>
      <c r="Q644" s="28"/>
      <c r="R644" s="28"/>
      <c r="S644" s="28"/>
    </row>
    <row r="645">
      <c r="A645" s="17">
        <v>45559.0</v>
      </c>
      <c r="B645" s="18" t="s">
        <v>33</v>
      </c>
      <c r="C645" s="18" t="s">
        <v>19</v>
      </c>
      <c r="D645" s="19"/>
      <c r="E645" s="19"/>
      <c r="F645" s="20">
        <f t="shared" si="7"/>
        <v>0</v>
      </c>
      <c r="G645" s="21">
        <f>IFERROR(VLOOKUP(B645,DADOS!$A$2:$H$252,8,0),"")</f>
        <v>7</v>
      </c>
      <c r="H645" s="22">
        <v>16.0</v>
      </c>
      <c r="I645" s="23">
        <f>IFERROR(VLOOKUP(B645,DADOS!$A$2:$H$252,4,0)*H645,"")</f>
        <v>22.4384992</v>
      </c>
      <c r="J645" s="36"/>
      <c r="K645" s="25">
        <f>IFERROR(VLOOKUP(B645,DADOS!$A$2:$H$252,4,0)*J645,"")</f>
        <v>0</v>
      </c>
      <c r="L645" s="26">
        <f t="shared" si="14"/>
        <v>0</v>
      </c>
      <c r="M645" s="27"/>
      <c r="N645" s="30"/>
      <c r="O645" s="28"/>
      <c r="P645" s="28"/>
      <c r="Q645" s="28"/>
      <c r="R645" s="28"/>
      <c r="S645" s="28"/>
    </row>
    <row r="646">
      <c r="A646" s="17">
        <v>45559.0</v>
      </c>
      <c r="B646" s="18" t="s">
        <v>25</v>
      </c>
      <c r="C646" s="18" t="s">
        <v>19</v>
      </c>
      <c r="D646" s="19"/>
      <c r="E646" s="19"/>
      <c r="F646" s="20">
        <f t="shared" si="7"/>
        <v>0</v>
      </c>
      <c r="G646" s="21">
        <f>IFERROR(VLOOKUP(B646,DADOS!$A$2:$H$252,8,0),"")</f>
        <v>40</v>
      </c>
      <c r="H646" s="22">
        <v>30.0</v>
      </c>
      <c r="I646" s="23">
        <f>IFERROR(VLOOKUP(B646,DADOS!$A$2:$H$252,4,0)*H646,"")</f>
        <v>3.10728</v>
      </c>
      <c r="J646" s="36"/>
      <c r="K646" s="25">
        <f>IFERROR(VLOOKUP(B646,DADOS!$A$2:$H$252,4,0)*J646,"")</f>
        <v>0</v>
      </c>
      <c r="L646" s="26">
        <f t="shared" si="14"/>
        <v>0</v>
      </c>
      <c r="M646" s="27"/>
      <c r="N646" s="30"/>
      <c r="O646" s="28"/>
      <c r="P646" s="28"/>
      <c r="Q646" s="28"/>
      <c r="R646" s="28"/>
      <c r="S646" s="28"/>
    </row>
    <row r="647">
      <c r="A647" s="17">
        <v>45559.0</v>
      </c>
      <c r="B647" s="18" t="s">
        <v>26</v>
      </c>
      <c r="C647" s="18" t="s">
        <v>19</v>
      </c>
      <c r="D647" s="19"/>
      <c r="E647" s="19"/>
      <c r="F647" s="20">
        <f t="shared" si="7"/>
        <v>0</v>
      </c>
      <c r="G647" s="21">
        <f>IFERROR(VLOOKUP(B647,DADOS!$A$2:$H$252,8,0),"")</f>
        <v>50</v>
      </c>
      <c r="H647" s="22">
        <v>30.0</v>
      </c>
      <c r="I647" s="23">
        <f>IFERROR(VLOOKUP(B647,DADOS!$A$2:$H$252,4,0)*H647,"")</f>
        <v>3.418008</v>
      </c>
      <c r="J647" s="36"/>
      <c r="K647" s="25">
        <f>IFERROR(VLOOKUP(B647,DADOS!$A$2:$H$252,4,0)*J647,"")</f>
        <v>0</v>
      </c>
      <c r="L647" s="26">
        <f t="shared" si="14"/>
        <v>0</v>
      </c>
      <c r="M647" s="27"/>
      <c r="N647" s="30"/>
      <c r="O647" s="28"/>
      <c r="P647" s="28"/>
      <c r="Q647" s="28"/>
      <c r="R647" s="28"/>
      <c r="S647" s="28"/>
    </row>
    <row r="648">
      <c r="A648" s="17">
        <v>45560.0</v>
      </c>
      <c r="B648" s="18" t="s">
        <v>41</v>
      </c>
      <c r="C648" s="18" t="s">
        <v>19</v>
      </c>
      <c r="D648" s="19"/>
      <c r="E648" s="19"/>
      <c r="F648" s="20">
        <f t="shared" si="7"/>
        <v>0</v>
      </c>
      <c r="G648" s="21">
        <f>IFERROR(VLOOKUP(B648,DADOS!$A$2:$H$252,8,0),"")</f>
        <v>14</v>
      </c>
      <c r="H648" s="22">
        <v>28.0</v>
      </c>
      <c r="I648" s="23">
        <f>IFERROR(VLOOKUP(B648,DADOS!$A$2:$H$252,4,0)*H648,"")</f>
        <v>7.765632</v>
      </c>
      <c r="J648" s="36"/>
      <c r="K648" s="25">
        <f>IFERROR(VLOOKUP(B648,DADOS!$A$2:$H$252,4,0)*J648,"")</f>
        <v>0</v>
      </c>
      <c r="L648" s="26">
        <f t="shared" si="14"/>
        <v>0</v>
      </c>
      <c r="M648" s="27"/>
      <c r="N648" s="30"/>
      <c r="O648" s="28"/>
      <c r="P648" s="28"/>
      <c r="Q648" s="28"/>
      <c r="R648" s="28"/>
      <c r="S648" s="28"/>
    </row>
    <row r="649">
      <c r="A649" s="17">
        <v>45560.0</v>
      </c>
      <c r="B649" s="18" t="s">
        <v>22</v>
      </c>
      <c r="C649" s="18" t="s">
        <v>19</v>
      </c>
      <c r="D649" s="19"/>
      <c r="E649" s="19"/>
      <c r="F649" s="20">
        <f t="shared" si="7"/>
        <v>0</v>
      </c>
      <c r="G649" s="21">
        <f>IFERROR(VLOOKUP(B649,DADOS!$A$2:$H$252,8,0),"")</f>
        <v>15</v>
      </c>
      <c r="H649" s="22">
        <v>29.0</v>
      </c>
      <c r="I649" s="23">
        <f>IFERROR(VLOOKUP(B649,DADOS!$A$2:$H$252,4,0)*H649,"")</f>
        <v>17.7559866</v>
      </c>
      <c r="J649" s="36"/>
      <c r="K649" s="25">
        <f>IFERROR(VLOOKUP(B649,DADOS!$A$2:$H$252,4,0)*J649,"")</f>
        <v>0</v>
      </c>
      <c r="L649" s="26">
        <f t="shared" si="14"/>
        <v>0</v>
      </c>
      <c r="M649" s="27"/>
      <c r="N649" s="30"/>
      <c r="O649" s="28"/>
      <c r="P649" s="28"/>
      <c r="Q649" s="28"/>
      <c r="R649" s="28"/>
      <c r="S649" s="28"/>
    </row>
    <row r="650">
      <c r="A650" s="17">
        <v>45560.0</v>
      </c>
      <c r="B650" s="18" t="s">
        <v>113</v>
      </c>
      <c r="C650" s="18" t="s">
        <v>19</v>
      </c>
      <c r="D650" s="19"/>
      <c r="E650" s="19"/>
      <c r="F650" s="20">
        <f t="shared" si="7"/>
        <v>0</v>
      </c>
      <c r="G650" s="21">
        <f>IFERROR(VLOOKUP(B650,DADOS!$A$2:$H$252,8,0),"")</f>
        <v>8</v>
      </c>
      <c r="H650" s="22">
        <v>20.0</v>
      </c>
      <c r="I650" s="23">
        <f>IFERROR(VLOOKUP(B650,DADOS!$A$2:$H$252,4,0)*H650,"")</f>
        <v>12.730432</v>
      </c>
      <c r="J650" s="36"/>
      <c r="K650" s="25">
        <f>IFERROR(VLOOKUP(B650,DADOS!$A$2:$H$252,4,0)*J650,"")</f>
        <v>0</v>
      </c>
      <c r="L650" s="26">
        <f t="shared" si="14"/>
        <v>0</v>
      </c>
      <c r="M650" s="27"/>
      <c r="N650" s="30"/>
      <c r="O650" s="28"/>
      <c r="P650" s="28"/>
      <c r="Q650" s="28"/>
      <c r="R650" s="28"/>
      <c r="S650" s="28"/>
    </row>
    <row r="651">
      <c r="A651" s="17">
        <v>45560.0</v>
      </c>
      <c r="B651" s="18" t="s">
        <v>35</v>
      </c>
      <c r="C651" s="18" t="s">
        <v>19</v>
      </c>
      <c r="D651" s="19"/>
      <c r="E651" s="19"/>
      <c r="F651" s="20">
        <f t="shared" si="7"/>
        <v>0</v>
      </c>
      <c r="G651" s="21">
        <f>IFERROR(VLOOKUP(B651,DADOS!$A$2:$H$252,8,0),"")</f>
        <v>30</v>
      </c>
      <c r="H651" s="22">
        <v>40.0</v>
      </c>
      <c r="I651" s="23">
        <f>IFERROR(VLOOKUP(B651,DADOS!$A$2:$H$252,4,0)*H651,"")</f>
        <v>6.864264</v>
      </c>
      <c r="J651" s="36"/>
      <c r="K651" s="25">
        <f>IFERROR(VLOOKUP(B651,DADOS!$A$2:$H$252,4,0)*J651,"")</f>
        <v>0</v>
      </c>
      <c r="L651" s="26">
        <f t="shared" si="14"/>
        <v>0</v>
      </c>
      <c r="M651" s="27"/>
      <c r="N651" s="30"/>
      <c r="O651" s="28"/>
      <c r="P651" s="28"/>
      <c r="Q651" s="28"/>
      <c r="R651" s="28"/>
      <c r="S651" s="28"/>
    </row>
    <row r="652">
      <c r="A652" s="17">
        <v>45560.0</v>
      </c>
      <c r="B652" s="18" t="s">
        <v>25</v>
      </c>
      <c r="C652" s="18" t="s">
        <v>149</v>
      </c>
      <c r="D652" s="19"/>
      <c r="E652" s="19"/>
      <c r="F652" s="20">
        <f t="shared" si="7"/>
        <v>0</v>
      </c>
      <c r="G652" s="21">
        <f>IFERROR(VLOOKUP(B652,DADOS!$A$2:$H$252,8,0),"")</f>
        <v>40</v>
      </c>
      <c r="H652" s="22">
        <v>62.0</v>
      </c>
      <c r="I652" s="23">
        <f>IFERROR(VLOOKUP(B652,DADOS!$A$2:$H$252,4,0)*H652,"")</f>
        <v>6.421712</v>
      </c>
      <c r="J652" s="36"/>
      <c r="K652" s="25">
        <f>IFERROR(VLOOKUP(B652,DADOS!$A$2:$H$252,4,0)*J652,"")</f>
        <v>0</v>
      </c>
      <c r="L652" s="26">
        <f t="shared" si="14"/>
        <v>0</v>
      </c>
      <c r="M652" s="27"/>
      <c r="N652" s="30"/>
      <c r="O652" s="28"/>
      <c r="P652" s="28"/>
      <c r="Q652" s="28"/>
      <c r="R652" s="28"/>
      <c r="S652" s="28"/>
    </row>
    <row r="653">
      <c r="A653" s="17">
        <v>45560.0</v>
      </c>
      <c r="B653" s="18" t="s">
        <v>18</v>
      </c>
      <c r="C653" s="18" t="s">
        <v>149</v>
      </c>
      <c r="D653" s="19"/>
      <c r="E653" s="19"/>
      <c r="F653" s="20">
        <f t="shared" si="7"/>
        <v>0</v>
      </c>
      <c r="G653" s="21">
        <f>IFERROR(VLOOKUP(B653,DADOS!$A$2:$H$252,8,0),"")</f>
        <v>21</v>
      </c>
      <c r="H653" s="22">
        <v>50.0</v>
      </c>
      <c r="I653" s="23">
        <f>IFERROR(VLOOKUP(B653,DADOS!$A$2:$H$252,4,0)*H653,"")</f>
        <v>14.6483</v>
      </c>
      <c r="J653" s="36"/>
      <c r="K653" s="25">
        <f>IFERROR(VLOOKUP(B653,DADOS!$A$2:$H$252,4,0)*J653,"")</f>
        <v>0</v>
      </c>
      <c r="L653" s="26">
        <f t="shared" si="14"/>
        <v>0</v>
      </c>
      <c r="M653" s="27"/>
      <c r="N653" s="30"/>
      <c r="O653" s="28"/>
      <c r="P653" s="28"/>
      <c r="Q653" s="28"/>
      <c r="R653" s="28"/>
      <c r="S653" s="28"/>
    </row>
    <row r="654">
      <c r="A654" s="17">
        <v>45560.0</v>
      </c>
      <c r="B654" s="18" t="s">
        <v>16</v>
      </c>
      <c r="C654" s="18" t="s">
        <v>136</v>
      </c>
      <c r="D654" s="19"/>
      <c r="E654" s="19"/>
      <c r="F654" s="20">
        <f t="shared" si="7"/>
        <v>0</v>
      </c>
      <c r="G654" s="21">
        <f>IFERROR(VLOOKUP(B654,DADOS!$A$2:$H$252,8,0),"")</f>
        <v>150</v>
      </c>
      <c r="H654" s="22">
        <v>94.0</v>
      </c>
      <c r="I654" s="23">
        <f>IFERROR(VLOOKUP(B654,DADOS!$A$2:$H$252,4,0)*H654,"")</f>
        <v>2.7196832</v>
      </c>
      <c r="J654" s="36"/>
      <c r="K654" s="25">
        <f>IFERROR(VLOOKUP(B654,DADOS!$A$2:$H$252,4,0)*J654,"")</f>
        <v>0</v>
      </c>
      <c r="L654" s="26">
        <f t="shared" si="14"/>
        <v>0</v>
      </c>
      <c r="M654" s="27"/>
      <c r="N654" s="30"/>
      <c r="O654" s="28"/>
      <c r="P654" s="28"/>
      <c r="Q654" s="28"/>
      <c r="R654" s="28"/>
      <c r="S654" s="28"/>
    </row>
    <row r="655">
      <c r="A655" s="17">
        <v>45561.0</v>
      </c>
      <c r="B655" s="18" t="s">
        <v>133</v>
      </c>
      <c r="C655" s="18" t="s">
        <v>149</v>
      </c>
      <c r="D655" s="19"/>
      <c r="E655" s="19"/>
      <c r="F655" s="20">
        <f t="shared" si="7"/>
        <v>0</v>
      </c>
      <c r="G655" s="21">
        <f>IFERROR(VLOOKUP(B655,DADOS!$A$2:$H$252,8,0),"")</f>
        <v>20</v>
      </c>
      <c r="H655" s="22">
        <v>30.0</v>
      </c>
      <c r="I655" s="23">
        <f>IFERROR(VLOOKUP(B655,DADOS!$A$2:$H$252,4,0)*H655,"")</f>
        <v>2.31762</v>
      </c>
      <c r="J655" s="36"/>
      <c r="K655" s="25">
        <f>IFERROR(VLOOKUP(B655,DADOS!$A$2:$H$252,4,0)*J655,"")</f>
        <v>0</v>
      </c>
      <c r="L655" s="26">
        <f t="shared" si="14"/>
        <v>0</v>
      </c>
      <c r="M655" s="27"/>
      <c r="N655" s="30"/>
      <c r="O655" s="28"/>
      <c r="P655" s="28"/>
      <c r="Q655" s="28"/>
      <c r="R655" s="28"/>
      <c r="S655" s="28"/>
    </row>
    <row r="656">
      <c r="A656" s="17">
        <v>45561.0</v>
      </c>
      <c r="B656" s="18" t="s">
        <v>16</v>
      </c>
      <c r="C656" s="18" t="s">
        <v>136</v>
      </c>
      <c r="D656" s="19"/>
      <c r="E656" s="19"/>
      <c r="F656" s="20">
        <f t="shared" si="7"/>
        <v>0</v>
      </c>
      <c r="G656" s="21">
        <f>IFERROR(VLOOKUP(B656,DADOS!$A$2:$H$252,8,0),"")</f>
        <v>150</v>
      </c>
      <c r="H656" s="22">
        <v>631.0</v>
      </c>
      <c r="I656" s="23">
        <f>IFERROR(VLOOKUP(B656,DADOS!$A$2:$H$252,4,0)*H656,"")</f>
        <v>18.2565968</v>
      </c>
      <c r="J656" s="36"/>
      <c r="K656" s="25">
        <f>IFERROR(VLOOKUP(B656,DADOS!$A$2:$H$252,4,0)*J656,"")</f>
        <v>0</v>
      </c>
      <c r="L656" s="26">
        <f t="shared" si="14"/>
        <v>0</v>
      </c>
      <c r="M656" s="27"/>
      <c r="N656" s="30"/>
      <c r="O656" s="28"/>
      <c r="P656" s="28"/>
      <c r="Q656" s="28"/>
      <c r="R656" s="28"/>
      <c r="S656" s="28"/>
    </row>
    <row r="657">
      <c r="A657" s="17">
        <v>45562.0</v>
      </c>
      <c r="B657" s="18" t="s">
        <v>133</v>
      </c>
      <c r="C657" s="18" t="s">
        <v>149</v>
      </c>
      <c r="D657" s="19"/>
      <c r="E657" s="19"/>
      <c r="F657" s="20">
        <f t="shared" si="7"/>
        <v>0</v>
      </c>
      <c r="G657" s="21">
        <f>IFERROR(VLOOKUP(B657,DADOS!$A$2:$H$252,8,0),"")</f>
        <v>20</v>
      </c>
      <c r="H657" s="22">
        <v>28.0</v>
      </c>
      <c r="I657" s="23">
        <f>IFERROR(VLOOKUP(B657,DADOS!$A$2:$H$252,4,0)*H657,"")</f>
        <v>2.163112</v>
      </c>
      <c r="J657" s="24">
        <v>2.0</v>
      </c>
      <c r="K657" s="25">
        <f>IFERROR(VLOOKUP(B657,DADOS!$A$2:$H$252,4,0)*J657,"")</f>
        <v>0.154508</v>
      </c>
      <c r="L657" s="26">
        <f t="shared" si="14"/>
        <v>0</v>
      </c>
      <c r="M657" s="27"/>
      <c r="N657" s="30"/>
      <c r="O657" s="28"/>
      <c r="P657" s="28"/>
      <c r="Q657" s="28"/>
      <c r="R657" s="28"/>
      <c r="S657" s="28"/>
    </row>
    <row r="658">
      <c r="A658" s="17">
        <v>45562.0</v>
      </c>
      <c r="B658" s="18" t="s">
        <v>58</v>
      </c>
      <c r="C658" s="18" t="s">
        <v>149</v>
      </c>
      <c r="D658" s="19"/>
      <c r="E658" s="19"/>
      <c r="F658" s="20">
        <f t="shared" si="7"/>
        <v>0</v>
      </c>
      <c r="G658" s="21">
        <f>IFERROR(VLOOKUP(B658,DADOS!$A$2:$H$252,8,0),"")</f>
        <v>31</v>
      </c>
      <c r="H658" s="22">
        <v>60.0</v>
      </c>
      <c r="I658" s="23">
        <f>IFERROR(VLOOKUP(B658,DADOS!$A$2:$H$252,4,0)*H658,"")</f>
        <v>6.836016</v>
      </c>
      <c r="J658" s="36"/>
      <c r="K658" s="25">
        <f>IFERROR(VLOOKUP(B658,DADOS!$A$2:$H$252,4,0)*J658,"")</f>
        <v>0</v>
      </c>
      <c r="L658" s="26">
        <f t="shared" si="14"/>
        <v>0</v>
      </c>
      <c r="M658" s="27"/>
      <c r="N658" s="30"/>
      <c r="O658" s="28"/>
      <c r="P658" s="28"/>
      <c r="Q658" s="28"/>
      <c r="R658" s="28"/>
      <c r="S658" s="28"/>
    </row>
    <row r="659">
      <c r="A659" s="17">
        <v>45562.0</v>
      </c>
      <c r="B659" s="18" t="s">
        <v>126</v>
      </c>
      <c r="C659" s="18" t="s">
        <v>136</v>
      </c>
      <c r="D659" s="19"/>
      <c r="E659" s="19"/>
      <c r="F659" s="20">
        <f t="shared" si="7"/>
        <v>0</v>
      </c>
      <c r="G659" s="21">
        <f>IFERROR(VLOOKUP(B659,DADOS!$A$2:$H$252,8,0),"")</f>
        <v>100</v>
      </c>
      <c r="H659" s="22">
        <v>87.0</v>
      </c>
      <c r="I659" s="23">
        <f>IFERROR(VLOOKUP(B659,DADOS!$A$2:$H$252,4,0)*H659,"")</f>
        <v>4.607955</v>
      </c>
      <c r="J659" s="24">
        <v>1.0</v>
      </c>
      <c r="K659" s="25">
        <f>IFERROR(VLOOKUP(B659,DADOS!$A$2:$H$252,4,0)*J659,"")</f>
        <v>0.052965</v>
      </c>
      <c r="L659" s="26">
        <f t="shared" si="14"/>
        <v>0</v>
      </c>
      <c r="M659" s="27"/>
      <c r="N659" s="30"/>
      <c r="O659" s="28"/>
      <c r="P659" s="28"/>
      <c r="Q659" s="28"/>
      <c r="R659" s="28"/>
      <c r="S659" s="28"/>
    </row>
    <row r="660">
      <c r="A660" s="17">
        <v>45562.0</v>
      </c>
      <c r="B660" s="18" t="s">
        <v>56</v>
      </c>
      <c r="C660" s="18" t="s">
        <v>136</v>
      </c>
      <c r="D660" s="19"/>
      <c r="E660" s="19"/>
      <c r="F660" s="20">
        <f t="shared" si="7"/>
        <v>0</v>
      </c>
      <c r="G660" s="21">
        <f>IFERROR(VLOOKUP(B660,DADOS!$A$2:$H$252,8,0),"")</f>
        <v>162</v>
      </c>
      <c r="H660" s="22">
        <v>240.0</v>
      </c>
      <c r="I660" s="23">
        <f>IFERROR(VLOOKUP(B660,DADOS!$A$2:$H$252,4,0)*H660,"")</f>
        <v>2.3112</v>
      </c>
      <c r="J660" s="36"/>
      <c r="K660" s="25">
        <f>IFERROR(VLOOKUP(B660,DADOS!$A$2:$H$252,4,0)*J660,"")</f>
        <v>0</v>
      </c>
      <c r="L660" s="26">
        <f t="shared" si="14"/>
        <v>0</v>
      </c>
      <c r="M660" s="27"/>
      <c r="N660" s="30"/>
      <c r="O660" s="28"/>
      <c r="P660" s="28"/>
      <c r="Q660" s="28"/>
      <c r="R660" s="28"/>
      <c r="S660" s="28"/>
    </row>
    <row r="661">
      <c r="A661" s="17">
        <v>45565.0</v>
      </c>
      <c r="B661" s="18" t="s">
        <v>26</v>
      </c>
      <c r="C661" s="18" t="s">
        <v>19</v>
      </c>
      <c r="D661" s="19"/>
      <c r="E661" s="19"/>
      <c r="F661" s="20">
        <f t="shared" si="7"/>
        <v>0</v>
      </c>
      <c r="G661" s="21">
        <f>IFERROR(VLOOKUP(B661,DADOS!$A$2:$H$252,8,0),"")</f>
        <v>50</v>
      </c>
      <c r="H661" s="22">
        <v>10.0</v>
      </c>
      <c r="I661" s="23">
        <f>IFERROR(VLOOKUP(B661,DADOS!$A$2:$H$252,4,0)*H661,"")</f>
        <v>1.139336</v>
      </c>
      <c r="J661" s="36"/>
      <c r="K661" s="25">
        <f>IFERROR(VLOOKUP(B661,DADOS!$A$2:$H$252,4,0)*J661,"")</f>
        <v>0</v>
      </c>
      <c r="L661" s="26">
        <f t="shared" si="14"/>
        <v>0</v>
      </c>
      <c r="M661" s="27"/>
      <c r="N661" s="30"/>
      <c r="O661" s="28"/>
      <c r="P661" s="28"/>
      <c r="Q661" s="28"/>
      <c r="R661" s="28"/>
      <c r="S661" s="28"/>
    </row>
    <row r="662">
      <c r="A662" s="17">
        <v>45565.0</v>
      </c>
      <c r="B662" s="18" t="s">
        <v>58</v>
      </c>
      <c r="C662" s="18" t="s">
        <v>149</v>
      </c>
      <c r="D662" s="19"/>
      <c r="E662" s="19"/>
      <c r="F662" s="20">
        <f t="shared" si="7"/>
        <v>0</v>
      </c>
      <c r="G662" s="21">
        <f>IFERROR(VLOOKUP(B662,DADOS!$A$2:$H$252,8,0),"")</f>
        <v>31</v>
      </c>
      <c r="H662" s="22">
        <v>40.0</v>
      </c>
      <c r="I662" s="23">
        <f>IFERROR(VLOOKUP(B662,DADOS!$A$2:$H$252,4,0)*H662,"")</f>
        <v>4.557344</v>
      </c>
      <c r="J662" s="36"/>
      <c r="K662" s="25">
        <f>IFERROR(VLOOKUP(B662,DADOS!$A$2:$H$252,4,0)*J662,"")</f>
        <v>0</v>
      </c>
      <c r="L662" s="26">
        <f t="shared" si="14"/>
        <v>0</v>
      </c>
      <c r="M662" s="27"/>
      <c r="N662" s="30"/>
      <c r="O662" s="28"/>
      <c r="P662" s="28"/>
      <c r="Q662" s="28"/>
      <c r="R662" s="28"/>
      <c r="S662" s="28"/>
    </row>
    <row r="663">
      <c r="A663" s="17">
        <v>45565.0</v>
      </c>
      <c r="B663" s="18" t="s">
        <v>18</v>
      </c>
      <c r="C663" s="18" t="s">
        <v>149</v>
      </c>
      <c r="D663" s="19"/>
      <c r="E663" s="19"/>
      <c r="F663" s="20">
        <f t="shared" si="7"/>
        <v>0</v>
      </c>
      <c r="G663" s="21">
        <f>IFERROR(VLOOKUP(B663,DADOS!$A$2:$H$252,8,0),"")</f>
        <v>21</v>
      </c>
      <c r="H663" s="22">
        <v>49.0</v>
      </c>
      <c r="I663" s="23">
        <f>IFERROR(VLOOKUP(B663,DADOS!$A$2:$H$252,4,0)*H663,"")</f>
        <v>14.355334</v>
      </c>
      <c r="J663" s="24">
        <v>1.0</v>
      </c>
      <c r="K663" s="25">
        <f>IFERROR(VLOOKUP(B663,DADOS!$A$2:$H$252,4,0)*J663,"")</f>
        <v>0.292966</v>
      </c>
      <c r="L663" s="26">
        <f t="shared" si="14"/>
        <v>0</v>
      </c>
      <c r="M663" s="27"/>
      <c r="N663" s="30"/>
      <c r="O663" s="28"/>
      <c r="P663" s="28"/>
      <c r="Q663" s="28"/>
      <c r="R663" s="28"/>
      <c r="S663" s="28"/>
    </row>
    <row r="664">
      <c r="A664" s="17">
        <v>45565.0</v>
      </c>
      <c r="B664" s="18" t="s">
        <v>37</v>
      </c>
      <c r="C664" s="18" t="s">
        <v>136</v>
      </c>
      <c r="D664" s="19"/>
      <c r="E664" s="19"/>
      <c r="F664" s="20">
        <f t="shared" si="7"/>
        <v>0</v>
      </c>
      <c r="G664" s="21" t="str">
        <f>IFERROR(VLOOKUP(B664,DADOS!$A$2:$H$252,8,0),"")</f>
        <v/>
      </c>
      <c r="H664" s="22">
        <v>192.0</v>
      </c>
      <c r="I664" s="23" t="str">
        <f>IFERROR(VLOOKUP(B664,DADOS!$A$2:$H$252,4,0)*H664,"")</f>
        <v/>
      </c>
      <c r="J664" s="24">
        <v>1.0</v>
      </c>
      <c r="K664" s="25" t="str">
        <f>IFERROR(VLOOKUP(B664,DADOS!$A$2:$H$252,4,0)*J664,"")</f>
        <v/>
      </c>
      <c r="L664" s="26" t="str">
        <f t="shared" si="14"/>
        <v/>
      </c>
      <c r="M664" s="27"/>
      <c r="N664" s="30"/>
      <c r="O664" s="28"/>
      <c r="P664" s="28"/>
      <c r="Q664" s="28"/>
      <c r="R664" s="28"/>
      <c r="S664" s="28"/>
    </row>
    <row r="665">
      <c r="A665" s="17">
        <v>45565.0</v>
      </c>
      <c r="B665" s="18" t="s">
        <v>79</v>
      </c>
      <c r="C665" s="18" t="s">
        <v>136</v>
      </c>
      <c r="D665" s="19"/>
      <c r="E665" s="19"/>
      <c r="F665" s="20">
        <f t="shared" si="7"/>
        <v>0</v>
      </c>
      <c r="G665" s="21">
        <f>IFERROR(VLOOKUP(B665,DADOS!$A$2:$H$252,8,0),"")</f>
        <v>87</v>
      </c>
      <c r="H665" s="22">
        <v>22.0</v>
      </c>
      <c r="I665" s="23">
        <f>IFERROR(VLOOKUP(B665,DADOS!$A$2:$H$252,4,0)*H665,"")</f>
        <v>0.37664</v>
      </c>
      <c r="J665" s="36"/>
      <c r="K665" s="25">
        <f>IFERROR(VLOOKUP(B665,DADOS!$A$2:$H$252,4,0)*J665,"")</f>
        <v>0</v>
      </c>
      <c r="L665" s="26">
        <f t="shared" si="14"/>
        <v>0</v>
      </c>
      <c r="M665" s="27"/>
      <c r="N665" s="30"/>
      <c r="O665" s="28"/>
      <c r="P665" s="28"/>
      <c r="Q665" s="28"/>
      <c r="R665" s="28"/>
      <c r="S665" s="28"/>
    </row>
    <row r="666">
      <c r="A666" s="17">
        <v>45565.0</v>
      </c>
      <c r="B666" s="18" t="s">
        <v>56</v>
      </c>
      <c r="C666" s="18" t="s">
        <v>136</v>
      </c>
      <c r="D666" s="19"/>
      <c r="E666" s="19"/>
      <c r="F666" s="20">
        <f t="shared" si="7"/>
        <v>0</v>
      </c>
      <c r="G666" s="21">
        <f>IFERROR(VLOOKUP(B666,DADOS!$A$2:$H$252,8,0),"")</f>
        <v>162</v>
      </c>
      <c r="H666" s="22">
        <v>29.0</v>
      </c>
      <c r="I666" s="23">
        <f>IFERROR(VLOOKUP(B666,DADOS!$A$2:$H$252,4,0)*H666,"")</f>
        <v>0.27927</v>
      </c>
      <c r="J666" s="36"/>
      <c r="K666" s="25">
        <f>IFERROR(VLOOKUP(B666,DADOS!$A$2:$H$252,4,0)*J666,"")</f>
        <v>0</v>
      </c>
      <c r="L666" s="26">
        <f t="shared" si="14"/>
        <v>0</v>
      </c>
      <c r="M666" s="27"/>
      <c r="N666" s="30"/>
      <c r="O666" s="28"/>
      <c r="P666" s="28"/>
      <c r="Q666" s="28"/>
      <c r="R666" s="28"/>
      <c r="S666" s="28"/>
    </row>
    <row r="667">
      <c r="A667" s="17">
        <v>45565.0</v>
      </c>
      <c r="B667" s="18" t="s">
        <v>28</v>
      </c>
      <c r="C667" s="18" t="s">
        <v>146</v>
      </c>
      <c r="D667" s="19"/>
      <c r="E667" s="19"/>
      <c r="F667" s="20">
        <f t="shared" si="7"/>
        <v>0</v>
      </c>
      <c r="G667" s="21">
        <f>IFERROR(VLOOKUP(B667,DADOS!$A$2:$H$252,8,0),"")</f>
        <v>25</v>
      </c>
      <c r="H667" s="22">
        <v>57.0</v>
      </c>
      <c r="I667" s="23">
        <f>IFERROR(VLOOKUP(B667,DADOS!$A$2:$H$252,4,0)*H667,"")</f>
        <v>6.4942152</v>
      </c>
      <c r="J667" s="24">
        <v>3.0</v>
      </c>
      <c r="K667" s="25">
        <f>IFERROR(VLOOKUP(B667,DADOS!$A$2:$H$252,4,0)*J667,"")</f>
        <v>0.3418008</v>
      </c>
      <c r="L667" s="26">
        <f t="shared" si="14"/>
        <v>0</v>
      </c>
      <c r="M667" s="27"/>
      <c r="N667" s="30"/>
      <c r="O667" s="28"/>
      <c r="P667" s="28"/>
      <c r="Q667" s="28"/>
      <c r="R667" s="28"/>
      <c r="S667" s="28"/>
    </row>
    <row r="668">
      <c r="A668" s="17">
        <v>45566.0</v>
      </c>
      <c r="B668" s="18" t="s">
        <v>49</v>
      </c>
      <c r="C668" s="18" t="s">
        <v>149</v>
      </c>
      <c r="D668" s="19"/>
      <c r="E668" s="19"/>
      <c r="F668" s="20">
        <f t="shared" si="7"/>
        <v>0</v>
      </c>
      <c r="G668" s="21">
        <f>IFERROR(VLOOKUP(B668,DADOS!$A$2:$H$252,8,0),"")</f>
        <v>42</v>
      </c>
      <c r="H668" s="22">
        <v>63.0</v>
      </c>
      <c r="I668" s="23">
        <f>IFERROR(VLOOKUP(B668,DADOS!$A$2:$H$252,4,0)*H668,"")</f>
        <v>4.2859278</v>
      </c>
      <c r="J668" s="24">
        <v>2.0</v>
      </c>
      <c r="K668" s="25">
        <f>IFERROR(VLOOKUP(B668,DADOS!$A$2:$H$252,4,0)*J668,"")</f>
        <v>0.1360612</v>
      </c>
      <c r="L668" s="26">
        <f t="shared" si="14"/>
        <v>0</v>
      </c>
      <c r="M668" s="27"/>
      <c r="N668" s="30"/>
      <c r="O668" s="28"/>
      <c r="P668" s="28"/>
      <c r="Q668" s="28"/>
      <c r="R668" s="28"/>
      <c r="S668" s="28"/>
    </row>
    <row r="669">
      <c r="A669" s="17">
        <v>45566.0</v>
      </c>
      <c r="B669" s="18" t="s">
        <v>31</v>
      </c>
      <c r="C669" s="18" t="s">
        <v>149</v>
      </c>
      <c r="D669" s="19"/>
      <c r="E669" s="19"/>
      <c r="F669" s="20">
        <f t="shared" si="7"/>
        <v>0</v>
      </c>
      <c r="G669" s="21">
        <f>IFERROR(VLOOKUP(B669,DADOS!$A$2:$H$252,8,0),"")</f>
        <v>10</v>
      </c>
      <c r="H669" s="22">
        <v>10.0</v>
      </c>
      <c r="I669" s="23">
        <f>IFERROR(VLOOKUP(B669,DADOS!$A$2:$H$252,4,0)*H669,"")</f>
        <v>1.355904</v>
      </c>
      <c r="J669" s="24">
        <v>15.0</v>
      </c>
      <c r="K669" s="25">
        <f>IFERROR(VLOOKUP(B669,DADOS!$A$2:$H$252,4,0)*J669,"")</f>
        <v>2.033856</v>
      </c>
      <c r="L669" s="26">
        <f t="shared" si="14"/>
        <v>0</v>
      </c>
      <c r="M669" s="27"/>
      <c r="N669" s="30"/>
      <c r="O669" s="28"/>
      <c r="P669" s="28"/>
      <c r="Q669" s="28"/>
      <c r="R669" s="28"/>
      <c r="S669" s="28"/>
    </row>
    <row r="670">
      <c r="A670" s="17">
        <v>45566.0</v>
      </c>
      <c r="B670" s="18" t="s">
        <v>79</v>
      </c>
      <c r="C670" s="18" t="s">
        <v>136</v>
      </c>
      <c r="D670" s="19"/>
      <c r="E670" s="19"/>
      <c r="F670" s="20">
        <f t="shared" si="7"/>
        <v>0</v>
      </c>
      <c r="G670" s="21">
        <f>IFERROR(VLOOKUP(B670,DADOS!$A$2:$H$252,8,0),"")</f>
        <v>87</v>
      </c>
      <c r="H670" s="22">
        <v>167.0</v>
      </c>
      <c r="I670" s="23">
        <f>IFERROR(VLOOKUP(B670,DADOS!$A$2:$H$252,4,0)*H670,"")</f>
        <v>2.85904</v>
      </c>
      <c r="J670" s="24">
        <v>15.0</v>
      </c>
      <c r="K670" s="25">
        <f>IFERROR(VLOOKUP(B670,DADOS!$A$2:$H$252,4,0)*J670,"")</f>
        <v>0.2568</v>
      </c>
      <c r="L670" s="26">
        <f t="shared" si="14"/>
        <v>0</v>
      </c>
      <c r="M670" s="27"/>
      <c r="N670" s="30"/>
      <c r="O670" s="28"/>
      <c r="P670" s="28"/>
      <c r="Q670" s="28"/>
      <c r="R670" s="28"/>
      <c r="S670" s="28"/>
    </row>
    <row r="671">
      <c r="A671" s="17">
        <v>45566.0</v>
      </c>
      <c r="B671" s="18" t="s">
        <v>72</v>
      </c>
      <c r="C671" s="18" t="s">
        <v>136</v>
      </c>
      <c r="D671" s="19"/>
      <c r="E671" s="19"/>
      <c r="F671" s="20">
        <f t="shared" si="7"/>
        <v>0</v>
      </c>
      <c r="G671" s="21">
        <f>IFERROR(VLOOKUP(B671,DADOS!$A$2:$H$252,8,0),"")</f>
        <v>43</v>
      </c>
      <c r="H671" s="22">
        <v>62.0</v>
      </c>
      <c r="I671" s="23">
        <f>IFERROR(VLOOKUP(B671,DADOS!$A$2:$H$252,4,0)*H671,"")</f>
        <v>1.06144</v>
      </c>
      <c r="J671" s="24">
        <v>1.0</v>
      </c>
      <c r="K671" s="25">
        <f>IFERROR(VLOOKUP(B671,DADOS!$A$2:$H$252,4,0)*J671,"")</f>
        <v>0.01712</v>
      </c>
      <c r="L671" s="26">
        <f t="shared" si="14"/>
        <v>0</v>
      </c>
      <c r="M671" s="27"/>
      <c r="N671" s="30"/>
      <c r="O671" s="28"/>
      <c r="P671" s="28"/>
      <c r="Q671" s="28"/>
      <c r="R671" s="28"/>
      <c r="S671" s="28"/>
    </row>
    <row r="672">
      <c r="A672" s="17">
        <v>45567.0</v>
      </c>
      <c r="B672" s="18" t="s">
        <v>119</v>
      </c>
      <c r="C672" s="18" t="s">
        <v>19</v>
      </c>
      <c r="D672" s="19"/>
      <c r="E672" s="19"/>
      <c r="F672" s="20">
        <f t="shared" si="7"/>
        <v>0</v>
      </c>
      <c r="G672" s="21">
        <f>IFERROR(VLOOKUP(B672,DADOS!$A$2:$H$252,8,0),"")</f>
        <v>25</v>
      </c>
      <c r="H672" s="22">
        <v>2.0</v>
      </c>
      <c r="I672" s="23">
        <f>IFERROR(VLOOKUP(B672,DADOS!$A$2:$H$252,4,0)*H672,"")</f>
        <v>0.2603952</v>
      </c>
      <c r="J672" s="36"/>
      <c r="K672" s="25">
        <f>IFERROR(VLOOKUP(B672,DADOS!$A$2:$H$252,4,0)*J672,"")</f>
        <v>0</v>
      </c>
      <c r="L672" s="26">
        <f t="shared" si="14"/>
        <v>0</v>
      </c>
      <c r="M672" s="27"/>
      <c r="N672" s="30"/>
      <c r="O672" s="28"/>
      <c r="P672" s="28"/>
      <c r="Q672" s="28"/>
      <c r="R672" s="28"/>
      <c r="S672" s="28"/>
    </row>
    <row r="673">
      <c r="A673" s="17">
        <v>45567.0</v>
      </c>
      <c r="B673" s="18" t="s">
        <v>101</v>
      </c>
      <c r="C673" s="18" t="s">
        <v>19</v>
      </c>
      <c r="D673" s="19"/>
      <c r="E673" s="19"/>
      <c r="F673" s="20">
        <f t="shared" si="7"/>
        <v>0</v>
      </c>
      <c r="G673" s="21" t="str">
        <f>IFERROR(VLOOKUP(B673,DADOS!$A$2:$H$252,8,0),"")</f>
        <v/>
      </c>
      <c r="H673" s="22">
        <v>10.0</v>
      </c>
      <c r="I673" s="23">
        <f>IFERROR(VLOOKUP(B673,DADOS!$A$2:$H$252,4,0)*H673,"")</f>
        <v>1.591304</v>
      </c>
      <c r="J673" s="24">
        <v>3.0</v>
      </c>
      <c r="K673" s="25">
        <f>IFERROR(VLOOKUP(B673,DADOS!$A$2:$H$252,4,0)*J673,"")</f>
        <v>0.4773912</v>
      </c>
      <c r="L673" s="26">
        <f t="shared" si="14"/>
        <v>0</v>
      </c>
      <c r="M673" s="27"/>
      <c r="N673" s="30"/>
      <c r="O673" s="28"/>
      <c r="P673" s="28"/>
      <c r="Q673" s="28"/>
      <c r="R673" s="28"/>
      <c r="S673" s="28"/>
    </row>
    <row r="674">
      <c r="A674" s="17">
        <v>45567.0</v>
      </c>
      <c r="B674" s="18" t="s">
        <v>31</v>
      </c>
      <c r="C674" s="18" t="s">
        <v>149</v>
      </c>
      <c r="D674" s="19"/>
      <c r="E674" s="19"/>
      <c r="F674" s="20">
        <f t="shared" si="7"/>
        <v>0</v>
      </c>
      <c r="G674" s="21">
        <f>IFERROR(VLOOKUP(B674,DADOS!$A$2:$H$252,8,0),"")</f>
        <v>10</v>
      </c>
      <c r="H674" s="22">
        <v>33.0</v>
      </c>
      <c r="I674" s="23">
        <f>IFERROR(VLOOKUP(B674,DADOS!$A$2:$H$252,4,0)*H674,"")</f>
        <v>4.4744832</v>
      </c>
      <c r="J674" s="24">
        <v>7.0</v>
      </c>
      <c r="K674" s="25">
        <f>IFERROR(VLOOKUP(B674,DADOS!$A$2:$H$252,4,0)*J674,"")</f>
        <v>0.9491328</v>
      </c>
      <c r="L674" s="26">
        <f t="shared" si="14"/>
        <v>0</v>
      </c>
      <c r="M674" s="27"/>
      <c r="N674" s="30"/>
      <c r="O674" s="28"/>
      <c r="P674" s="28"/>
      <c r="Q674" s="28"/>
      <c r="R674" s="28"/>
      <c r="S674" s="28"/>
    </row>
    <row r="675">
      <c r="A675" s="17">
        <v>45567.0</v>
      </c>
      <c r="B675" s="18" t="s">
        <v>72</v>
      </c>
      <c r="C675" s="18" t="s">
        <v>136</v>
      </c>
      <c r="D675" s="19"/>
      <c r="E675" s="19"/>
      <c r="F675" s="20">
        <f t="shared" si="7"/>
        <v>0</v>
      </c>
      <c r="G675" s="21">
        <f>IFERROR(VLOOKUP(B675,DADOS!$A$2:$H$252,8,0),"")</f>
        <v>43</v>
      </c>
      <c r="H675" s="22">
        <v>332.0</v>
      </c>
      <c r="I675" s="23">
        <f>IFERROR(VLOOKUP(B675,DADOS!$A$2:$H$252,4,0)*H675,"")</f>
        <v>5.68384</v>
      </c>
      <c r="J675" s="24">
        <v>1.0</v>
      </c>
      <c r="K675" s="25">
        <f>IFERROR(VLOOKUP(B675,DADOS!$A$2:$H$252,4,0)*J675,"")</f>
        <v>0.01712</v>
      </c>
      <c r="L675" s="26">
        <f t="shared" si="14"/>
        <v>0</v>
      </c>
      <c r="M675" s="27"/>
      <c r="N675" s="30"/>
      <c r="O675" s="28"/>
      <c r="P675" s="28"/>
      <c r="Q675" s="28"/>
      <c r="R675" s="28"/>
      <c r="S675" s="28"/>
    </row>
    <row r="676">
      <c r="A676" s="17">
        <v>45568.0</v>
      </c>
      <c r="B676" s="18" t="s">
        <v>31</v>
      </c>
      <c r="C676" s="18" t="s">
        <v>149</v>
      </c>
      <c r="D676" s="19"/>
      <c r="E676" s="19"/>
      <c r="F676" s="20">
        <f t="shared" si="7"/>
        <v>0</v>
      </c>
      <c r="G676" s="21">
        <f>IFERROR(VLOOKUP(B676,DADOS!$A$2:$H$252,8,0),"")</f>
        <v>10</v>
      </c>
      <c r="H676" s="22">
        <v>2.0</v>
      </c>
      <c r="I676" s="23">
        <f>IFERROR(VLOOKUP(B676,DADOS!$A$2:$H$252,4,0)*H676,"")</f>
        <v>0.2711808</v>
      </c>
      <c r="J676" s="24">
        <v>2.0</v>
      </c>
      <c r="K676" s="25">
        <f>IFERROR(VLOOKUP(B676,DADOS!$A$2:$H$252,4,0)*J676,"")</f>
        <v>0.2711808</v>
      </c>
      <c r="L676" s="26">
        <f t="shared" si="14"/>
        <v>0</v>
      </c>
      <c r="M676" s="27"/>
      <c r="N676" s="30"/>
      <c r="O676" s="28"/>
      <c r="P676" s="28"/>
      <c r="Q676" s="28"/>
      <c r="R676" s="28"/>
      <c r="S676" s="28"/>
    </row>
    <row r="677">
      <c r="A677" s="17">
        <v>45568.0</v>
      </c>
      <c r="B677" s="18" t="s">
        <v>18</v>
      </c>
      <c r="C677" s="18" t="s">
        <v>149</v>
      </c>
      <c r="D677" s="19"/>
      <c r="E677" s="19"/>
      <c r="F677" s="20">
        <f t="shared" si="7"/>
        <v>0</v>
      </c>
      <c r="G677" s="21">
        <f>IFERROR(VLOOKUP(B677,DADOS!$A$2:$H$252,8,0),"")</f>
        <v>21</v>
      </c>
      <c r="H677" s="22">
        <v>85.0</v>
      </c>
      <c r="I677" s="23">
        <f>IFERROR(VLOOKUP(B677,DADOS!$A$2:$H$252,4,0)*H677,"")</f>
        <v>24.90211</v>
      </c>
      <c r="J677" s="24">
        <v>1.0</v>
      </c>
      <c r="K677" s="25">
        <f>IFERROR(VLOOKUP(B677,DADOS!$A$2:$H$252,4,0)*J677,"")</f>
        <v>0.292966</v>
      </c>
      <c r="L677" s="26">
        <f t="shared" si="14"/>
        <v>0</v>
      </c>
      <c r="M677" s="27"/>
      <c r="N677" s="30"/>
      <c r="O677" s="28"/>
      <c r="P677" s="28"/>
      <c r="Q677" s="28"/>
      <c r="R677" s="28"/>
      <c r="S677" s="28"/>
    </row>
    <row r="678">
      <c r="A678" s="17">
        <v>45568.0</v>
      </c>
      <c r="B678" s="18" t="s">
        <v>72</v>
      </c>
      <c r="C678" s="18" t="s">
        <v>136</v>
      </c>
      <c r="D678" s="19"/>
      <c r="E678" s="19"/>
      <c r="F678" s="20">
        <f t="shared" si="7"/>
        <v>0</v>
      </c>
      <c r="G678" s="21">
        <f>IFERROR(VLOOKUP(B678,DADOS!$A$2:$H$252,8,0),"")</f>
        <v>43</v>
      </c>
      <c r="H678" s="22">
        <v>173.0</v>
      </c>
      <c r="I678" s="23">
        <f>IFERROR(VLOOKUP(B678,DADOS!$A$2:$H$252,4,0)*H678,"")</f>
        <v>2.96176</v>
      </c>
      <c r="J678" s="24">
        <v>1.0</v>
      </c>
      <c r="K678" s="25">
        <f>IFERROR(VLOOKUP(B678,DADOS!$A$2:$H$252,4,0)*J678,"")</f>
        <v>0.01712</v>
      </c>
      <c r="L678" s="26">
        <f t="shared" si="14"/>
        <v>0</v>
      </c>
      <c r="M678" s="27"/>
      <c r="N678" s="30"/>
      <c r="O678" s="28"/>
      <c r="P678" s="28"/>
      <c r="Q678" s="28"/>
      <c r="R678" s="28"/>
      <c r="S678" s="28"/>
    </row>
    <row r="679">
      <c r="A679" s="17">
        <v>45568.0</v>
      </c>
      <c r="B679" s="18" t="s">
        <v>92</v>
      </c>
      <c r="C679" s="18" t="s">
        <v>136</v>
      </c>
      <c r="D679" s="19"/>
      <c r="E679" s="19"/>
      <c r="F679" s="20">
        <f t="shared" si="7"/>
        <v>0</v>
      </c>
      <c r="G679" s="21">
        <f>IFERROR(VLOOKUP(B679,DADOS!$A$2:$H$252,8,0),"")</f>
        <v>100</v>
      </c>
      <c r="H679" s="22">
        <v>279.0</v>
      </c>
      <c r="I679" s="23">
        <f>IFERROR(VLOOKUP(B679,DADOS!$A$2:$H$252,4,0)*H679,"")</f>
        <v>7.0632198</v>
      </c>
      <c r="J679" s="36"/>
      <c r="K679" s="25">
        <f>IFERROR(VLOOKUP(B679,DADOS!$A$2:$H$252,4,0)*J679,"")</f>
        <v>0</v>
      </c>
      <c r="L679" s="26">
        <f t="shared" si="14"/>
        <v>0</v>
      </c>
      <c r="M679" s="27"/>
      <c r="N679" s="30"/>
      <c r="O679" s="28"/>
      <c r="P679" s="28"/>
      <c r="Q679" s="28"/>
      <c r="R679" s="28"/>
      <c r="S679" s="28"/>
    </row>
    <row r="680">
      <c r="A680" s="17">
        <v>45569.0</v>
      </c>
      <c r="B680" s="18" t="s">
        <v>18</v>
      </c>
      <c r="C680" s="18" t="s">
        <v>149</v>
      </c>
      <c r="D680" s="19"/>
      <c r="E680" s="19"/>
      <c r="F680" s="20">
        <f t="shared" si="7"/>
        <v>0</v>
      </c>
      <c r="G680" s="21">
        <f>IFERROR(VLOOKUP(B680,DADOS!$A$2:$H$252,8,0),"")</f>
        <v>21</v>
      </c>
      <c r="H680" s="22">
        <v>4.0</v>
      </c>
      <c r="I680" s="23">
        <f>IFERROR(VLOOKUP(B680,DADOS!$A$2:$H$252,4,0)*H680,"")</f>
        <v>1.171864</v>
      </c>
      <c r="J680" s="36"/>
      <c r="K680" s="25">
        <f>IFERROR(VLOOKUP(B680,DADOS!$A$2:$H$252,4,0)*J680,"")</f>
        <v>0</v>
      </c>
      <c r="L680" s="26">
        <f t="shared" si="14"/>
        <v>0</v>
      </c>
      <c r="M680" s="27"/>
      <c r="N680" s="30"/>
      <c r="O680" s="28"/>
      <c r="P680" s="28"/>
      <c r="Q680" s="28"/>
      <c r="R680" s="28"/>
      <c r="S680" s="28"/>
    </row>
    <row r="681">
      <c r="A681" s="17">
        <v>45569.0</v>
      </c>
      <c r="B681" s="18" t="s">
        <v>35</v>
      </c>
      <c r="C681" s="18" t="s">
        <v>149</v>
      </c>
      <c r="D681" s="19"/>
      <c r="E681" s="19"/>
      <c r="F681" s="20">
        <f t="shared" si="7"/>
        <v>0</v>
      </c>
      <c r="G681" s="21">
        <f>IFERROR(VLOOKUP(B681,DADOS!$A$2:$H$252,8,0),"")</f>
        <v>30</v>
      </c>
      <c r="H681" s="22">
        <v>99.0</v>
      </c>
      <c r="I681" s="23">
        <f>IFERROR(VLOOKUP(B681,DADOS!$A$2:$H$252,4,0)*H681,"")</f>
        <v>16.9890534</v>
      </c>
      <c r="J681" s="24">
        <v>1.0</v>
      </c>
      <c r="K681" s="25">
        <f>IFERROR(VLOOKUP(B681,DADOS!$A$2:$H$252,4,0)*J681,"")</f>
        <v>0.1716066</v>
      </c>
      <c r="L681" s="26">
        <f t="shared" si="14"/>
        <v>0</v>
      </c>
      <c r="M681" s="27"/>
      <c r="N681" s="30"/>
      <c r="O681" s="28"/>
      <c r="P681" s="28"/>
      <c r="Q681" s="28"/>
      <c r="R681" s="28"/>
      <c r="S681" s="28"/>
    </row>
    <row r="682">
      <c r="A682" s="17">
        <v>45569.0</v>
      </c>
      <c r="B682" s="18" t="s">
        <v>27</v>
      </c>
      <c r="C682" s="18" t="s">
        <v>136</v>
      </c>
      <c r="D682" s="19"/>
      <c r="E682" s="19"/>
      <c r="F682" s="20">
        <f t="shared" si="7"/>
        <v>0</v>
      </c>
      <c r="G682" s="21">
        <f>IFERROR(VLOOKUP(B682,DADOS!$A$2:$H$252,8,0),"")</f>
        <v>30</v>
      </c>
      <c r="H682" s="22">
        <v>226.0</v>
      </c>
      <c r="I682" s="23">
        <f>IFERROR(VLOOKUP(B682,DADOS!$A$2:$H$252,4,0)*H682,"")</f>
        <v>3.86912</v>
      </c>
      <c r="J682" s="24">
        <v>1.0</v>
      </c>
      <c r="K682" s="25">
        <f>IFERROR(VLOOKUP(B682,DADOS!$A$2:$H$252,4,0)*J682,"")</f>
        <v>0.01712</v>
      </c>
      <c r="L682" s="26">
        <f t="shared" si="14"/>
        <v>0</v>
      </c>
      <c r="M682" s="27"/>
      <c r="N682" s="30"/>
      <c r="O682" s="28"/>
      <c r="P682" s="28"/>
      <c r="Q682" s="28"/>
      <c r="R682" s="28"/>
      <c r="S682" s="28"/>
    </row>
    <row r="683">
      <c r="A683" s="17">
        <v>45572.0</v>
      </c>
      <c r="B683" s="18" t="s">
        <v>26</v>
      </c>
      <c r="C683" s="18" t="s">
        <v>149</v>
      </c>
      <c r="D683" s="19"/>
      <c r="E683" s="19"/>
      <c r="F683" s="20">
        <f t="shared" si="7"/>
        <v>0</v>
      </c>
      <c r="G683" s="21">
        <f>IFERROR(VLOOKUP(B683,DADOS!$A$2:$H$252,8,0),"")</f>
        <v>50</v>
      </c>
      <c r="H683" s="22">
        <v>129.0</v>
      </c>
      <c r="I683" s="23">
        <f>IFERROR(VLOOKUP(B683,DADOS!$A$2:$H$252,4,0)*H683,"")</f>
        <v>14.6974344</v>
      </c>
      <c r="J683" s="24">
        <v>17.0</v>
      </c>
      <c r="K683" s="25">
        <f>IFERROR(VLOOKUP(B683,DADOS!$A$2:$H$252,4,0)*J683,"")</f>
        <v>1.9368712</v>
      </c>
      <c r="L683" s="26">
        <f t="shared" si="14"/>
        <v>0</v>
      </c>
      <c r="M683" s="27"/>
      <c r="N683" s="30"/>
      <c r="O683" s="28"/>
      <c r="P683" s="28"/>
      <c r="Q683" s="28"/>
      <c r="R683" s="28"/>
      <c r="S683" s="28"/>
    </row>
    <row r="684">
      <c r="A684" s="17">
        <v>45572.0</v>
      </c>
      <c r="B684" s="18" t="s">
        <v>16</v>
      </c>
      <c r="C684" s="18" t="s">
        <v>136</v>
      </c>
      <c r="D684" s="19"/>
      <c r="E684" s="19"/>
      <c r="F684" s="20">
        <f t="shared" si="7"/>
        <v>0</v>
      </c>
      <c r="G684" s="21">
        <f>IFERROR(VLOOKUP(B684,DADOS!$A$2:$H$252,8,0),"")</f>
        <v>150</v>
      </c>
      <c r="H684" s="22">
        <v>262.0</v>
      </c>
      <c r="I684" s="23">
        <f>IFERROR(VLOOKUP(B684,DADOS!$A$2:$H$252,4,0)*H684,"")</f>
        <v>7.5803936</v>
      </c>
      <c r="J684" s="36"/>
      <c r="K684" s="25">
        <f>IFERROR(VLOOKUP(B684,DADOS!$A$2:$H$252,4,0)*J684,"")</f>
        <v>0</v>
      </c>
      <c r="L684" s="26">
        <f t="shared" si="14"/>
        <v>0</v>
      </c>
      <c r="M684" s="27"/>
      <c r="N684" s="30"/>
      <c r="O684" s="28"/>
      <c r="P684" s="28"/>
      <c r="Q684" s="28"/>
      <c r="R684" s="28"/>
      <c r="S684" s="28"/>
    </row>
    <row r="685">
      <c r="A685" s="17">
        <v>45572.0</v>
      </c>
      <c r="B685" s="18" t="s">
        <v>27</v>
      </c>
      <c r="C685" s="18" t="s">
        <v>136</v>
      </c>
      <c r="D685" s="19"/>
      <c r="E685" s="19"/>
      <c r="F685" s="20">
        <f t="shared" si="7"/>
        <v>0</v>
      </c>
      <c r="G685" s="21">
        <f>IFERROR(VLOOKUP(B685,DADOS!$A$2:$H$252,8,0),"")</f>
        <v>30</v>
      </c>
      <c r="H685" s="22">
        <v>177.0</v>
      </c>
      <c r="I685" s="23">
        <f>IFERROR(VLOOKUP(B685,DADOS!$A$2:$H$252,4,0)*H685,"")</f>
        <v>3.03024</v>
      </c>
      <c r="J685" s="36"/>
      <c r="K685" s="25">
        <f>IFERROR(VLOOKUP(B685,DADOS!$A$2:$H$252,4,0)*J685,"")</f>
        <v>0</v>
      </c>
      <c r="L685" s="26">
        <f t="shared" si="14"/>
        <v>0</v>
      </c>
      <c r="M685" s="27"/>
      <c r="N685" s="30"/>
      <c r="O685" s="28"/>
      <c r="P685" s="28"/>
      <c r="Q685" s="28"/>
      <c r="R685" s="28"/>
      <c r="S685" s="28"/>
    </row>
    <row r="686">
      <c r="A686" s="17">
        <v>45572.0</v>
      </c>
      <c r="B686" s="18" t="s">
        <v>25</v>
      </c>
      <c r="C686" s="18" t="s">
        <v>146</v>
      </c>
      <c r="D686" s="19"/>
      <c r="E686" s="19"/>
      <c r="F686" s="20">
        <f t="shared" si="7"/>
        <v>0</v>
      </c>
      <c r="G686" s="21">
        <f>IFERROR(VLOOKUP(B686,DADOS!$A$2:$H$252,8,0),"")</f>
        <v>40</v>
      </c>
      <c r="H686" s="22">
        <v>106.0</v>
      </c>
      <c r="I686" s="23">
        <f>IFERROR(VLOOKUP(B686,DADOS!$A$2:$H$252,4,0)*H686,"")</f>
        <v>10.979056</v>
      </c>
      <c r="J686" s="24">
        <v>24.0</v>
      </c>
      <c r="K686" s="25">
        <f>IFERROR(VLOOKUP(B686,DADOS!$A$2:$H$252,4,0)*J686,"")</f>
        <v>2.485824</v>
      </c>
      <c r="L686" s="26">
        <f t="shared" si="14"/>
        <v>0</v>
      </c>
      <c r="M686" s="27"/>
      <c r="N686" s="30"/>
      <c r="O686" s="28"/>
      <c r="P686" s="28"/>
      <c r="Q686" s="28"/>
      <c r="R686" s="28"/>
      <c r="S686" s="28"/>
    </row>
    <row r="687">
      <c r="A687" s="17">
        <v>45573.0</v>
      </c>
      <c r="B687" s="18" t="s">
        <v>41</v>
      </c>
      <c r="C687" s="18" t="s">
        <v>149</v>
      </c>
      <c r="D687" s="19"/>
      <c r="E687" s="19"/>
      <c r="F687" s="20">
        <f t="shared" si="7"/>
        <v>0</v>
      </c>
      <c r="G687" s="21">
        <f>IFERROR(VLOOKUP(B687,DADOS!$A$2:$H$252,8,0),"")</f>
        <v>14</v>
      </c>
      <c r="H687" s="22">
        <v>51.0</v>
      </c>
      <c r="I687" s="23">
        <f>IFERROR(VLOOKUP(B687,DADOS!$A$2:$H$252,4,0)*H687,"")</f>
        <v>14.144544</v>
      </c>
      <c r="J687" s="24">
        <v>9.0</v>
      </c>
      <c r="K687" s="25">
        <f>IFERROR(VLOOKUP(B687,DADOS!$A$2:$H$252,4,0)*J687,"")</f>
        <v>2.496096</v>
      </c>
      <c r="L687" s="26">
        <f t="shared" si="14"/>
        <v>0</v>
      </c>
      <c r="M687" s="27"/>
      <c r="N687" s="30"/>
      <c r="O687" s="28"/>
      <c r="P687" s="28"/>
      <c r="Q687" s="28"/>
      <c r="R687" s="28"/>
      <c r="S687" s="28"/>
    </row>
    <row r="688">
      <c r="A688" s="17">
        <v>45573.0</v>
      </c>
      <c r="B688" s="18" t="s">
        <v>26</v>
      </c>
      <c r="C688" s="18" t="s">
        <v>149</v>
      </c>
      <c r="D688" s="19"/>
      <c r="E688" s="19"/>
      <c r="F688" s="20">
        <f t="shared" si="7"/>
        <v>0</v>
      </c>
      <c r="G688" s="21">
        <f>IFERROR(VLOOKUP(B688,DADOS!$A$2:$H$252,8,0),"")</f>
        <v>50</v>
      </c>
      <c r="H688" s="22">
        <v>14.0</v>
      </c>
      <c r="I688" s="23">
        <f>IFERROR(VLOOKUP(B688,DADOS!$A$2:$H$252,4,0)*H688,"")</f>
        <v>1.5950704</v>
      </c>
      <c r="J688" s="24">
        <v>1.0</v>
      </c>
      <c r="K688" s="25">
        <f>IFERROR(VLOOKUP(B688,DADOS!$A$2:$H$252,4,0)*J688,"")</f>
        <v>0.1139336</v>
      </c>
      <c r="L688" s="26">
        <f t="shared" si="14"/>
        <v>0</v>
      </c>
      <c r="M688" s="27"/>
      <c r="N688" s="30"/>
      <c r="O688" s="28"/>
      <c r="P688" s="28"/>
      <c r="Q688" s="28"/>
      <c r="R688" s="28"/>
      <c r="S688" s="28"/>
    </row>
    <row r="689">
      <c r="A689" s="17">
        <v>45573.0</v>
      </c>
      <c r="B689" s="18" t="s">
        <v>25</v>
      </c>
      <c r="C689" s="18" t="s">
        <v>149</v>
      </c>
      <c r="D689" s="19"/>
      <c r="E689" s="19"/>
      <c r="F689" s="20">
        <f t="shared" si="7"/>
        <v>0</v>
      </c>
      <c r="G689" s="21">
        <f>IFERROR(VLOOKUP(B689,DADOS!$A$2:$H$252,8,0),"")</f>
        <v>40</v>
      </c>
      <c r="H689" s="22">
        <v>5.0</v>
      </c>
      <c r="I689" s="23">
        <f>IFERROR(VLOOKUP(B689,DADOS!$A$2:$H$252,4,0)*H689,"")</f>
        <v>0.51788</v>
      </c>
      <c r="J689" s="36"/>
      <c r="K689" s="25">
        <f>IFERROR(VLOOKUP(B689,DADOS!$A$2:$H$252,4,0)*J689,"")</f>
        <v>0</v>
      </c>
      <c r="L689" s="26">
        <f t="shared" si="14"/>
        <v>0</v>
      </c>
      <c r="M689" s="27"/>
      <c r="N689" s="30"/>
      <c r="O689" s="28"/>
      <c r="P689" s="28"/>
      <c r="Q689" s="28"/>
      <c r="R689" s="28"/>
      <c r="S689" s="28"/>
    </row>
    <row r="690">
      <c r="A690" s="17">
        <v>45573.0</v>
      </c>
      <c r="B690" s="18" t="s">
        <v>109</v>
      </c>
      <c r="C690" s="18" t="s">
        <v>149</v>
      </c>
      <c r="D690" s="19"/>
      <c r="E690" s="19"/>
      <c r="F690" s="20">
        <f t="shared" si="7"/>
        <v>0</v>
      </c>
      <c r="G690" s="21" t="str">
        <f>IFERROR(VLOOKUP(B690,DADOS!$A$2:$H$252,8,0),"")</f>
        <v/>
      </c>
      <c r="H690" s="22">
        <v>31.0</v>
      </c>
      <c r="I690" s="23" t="str">
        <f>IFERROR(VLOOKUP(B690,DADOS!$A$2:$H$252,4,0)*H690,"")</f>
        <v/>
      </c>
      <c r="J690" s="36"/>
      <c r="K690" s="25" t="str">
        <f>IFERROR(VLOOKUP(B690,DADOS!$A$2:$H$252,4,0)*J690,"")</f>
        <v/>
      </c>
      <c r="L690" s="26" t="str">
        <f t="shared" si="14"/>
        <v/>
      </c>
      <c r="M690" s="27"/>
      <c r="N690" s="30"/>
      <c r="O690" s="28"/>
      <c r="P690" s="28"/>
      <c r="Q690" s="28"/>
      <c r="R690" s="28"/>
      <c r="S690" s="28"/>
    </row>
    <row r="691">
      <c r="A691" s="17">
        <v>45574.0</v>
      </c>
      <c r="B691" s="18" t="s">
        <v>109</v>
      </c>
      <c r="C691" s="18" t="s">
        <v>149</v>
      </c>
      <c r="D691" s="19"/>
      <c r="E691" s="19"/>
      <c r="F691" s="20">
        <f t="shared" si="7"/>
        <v>0</v>
      </c>
      <c r="G691" s="21" t="str">
        <f>IFERROR(VLOOKUP(B691,DADOS!$A$2:$H$252,8,0),"")</f>
        <v/>
      </c>
      <c r="H691" s="22">
        <v>52.0</v>
      </c>
      <c r="I691" s="23" t="str">
        <f>IFERROR(VLOOKUP(B691,DADOS!$A$2:$H$252,4,0)*H691,"")</f>
        <v/>
      </c>
      <c r="J691" s="24">
        <v>3.0</v>
      </c>
      <c r="K691" s="25" t="str">
        <f>IFERROR(VLOOKUP(B691,DADOS!$A$2:$H$252,4,0)*J691,"")</f>
        <v/>
      </c>
      <c r="L691" s="26" t="str">
        <f t="shared" si="14"/>
        <v/>
      </c>
      <c r="M691" s="27"/>
      <c r="N691" s="30"/>
      <c r="O691" s="28"/>
      <c r="P691" s="28"/>
      <c r="Q691" s="28"/>
      <c r="R691" s="28"/>
      <c r="S691" s="28"/>
    </row>
    <row r="692">
      <c r="A692" s="17">
        <v>45574.0</v>
      </c>
      <c r="B692" s="18" t="s">
        <v>16</v>
      </c>
      <c r="C692" s="18" t="s">
        <v>136</v>
      </c>
      <c r="D692" s="19"/>
      <c r="E692" s="19"/>
      <c r="F692" s="20">
        <f t="shared" si="7"/>
        <v>0</v>
      </c>
      <c r="G692" s="21">
        <f>IFERROR(VLOOKUP(B692,DADOS!$A$2:$H$252,8,0),"")</f>
        <v>150</v>
      </c>
      <c r="H692" s="22">
        <v>854.0</v>
      </c>
      <c r="I692" s="23">
        <f>IFERROR(VLOOKUP(B692,DADOS!$A$2:$H$252,4,0)*H692,"")</f>
        <v>24.7086112</v>
      </c>
      <c r="J692" s="36"/>
      <c r="K692" s="25">
        <f>IFERROR(VLOOKUP(B692,DADOS!$A$2:$H$252,4,0)*J692,"")</f>
        <v>0</v>
      </c>
      <c r="L692" s="26">
        <f t="shared" si="14"/>
        <v>0</v>
      </c>
      <c r="M692" s="27"/>
      <c r="N692" s="30"/>
      <c r="O692" s="28"/>
      <c r="P692" s="28"/>
      <c r="Q692" s="28"/>
      <c r="R692" s="28"/>
      <c r="S692" s="28"/>
    </row>
    <row r="693">
      <c r="A693" s="17">
        <v>45575.0</v>
      </c>
      <c r="B693" s="18" t="s">
        <v>115</v>
      </c>
      <c r="C693" s="18" t="s">
        <v>149</v>
      </c>
      <c r="D693" s="19"/>
      <c r="E693" s="19"/>
      <c r="F693" s="20">
        <f t="shared" si="7"/>
        <v>0</v>
      </c>
      <c r="G693" s="21">
        <f>IFERROR(VLOOKUP(B693,DADOS!$A$2:$H$252,8,0),"")</f>
        <v>12</v>
      </c>
      <c r="H693" s="22">
        <v>14.0</v>
      </c>
      <c r="I693" s="23">
        <f>IFERROR(VLOOKUP(B693,DADOS!$A$2:$H$252,4,0)*H693,"")</f>
        <v>4.101524</v>
      </c>
      <c r="J693" s="36"/>
      <c r="K693" s="25">
        <f>IFERROR(VLOOKUP(B693,DADOS!$A$2:$H$252,4,0)*J693,"")</f>
        <v>0</v>
      </c>
      <c r="L693" s="26">
        <f t="shared" si="14"/>
        <v>0</v>
      </c>
      <c r="M693" s="27"/>
      <c r="N693" s="30"/>
      <c r="O693" s="28"/>
      <c r="P693" s="28"/>
      <c r="Q693" s="28"/>
      <c r="R693" s="28"/>
      <c r="S693" s="28"/>
    </row>
    <row r="694">
      <c r="A694" s="17">
        <v>45575.0</v>
      </c>
      <c r="B694" s="18" t="s">
        <v>116</v>
      </c>
      <c r="C694" s="18" t="s">
        <v>149</v>
      </c>
      <c r="D694" s="19"/>
      <c r="E694" s="19"/>
      <c r="F694" s="20">
        <f t="shared" si="7"/>
        <v>0</v>
      </c>
      <c r="G694" s="21">
        <f>IFERROR(VLOOKUP(B694,DADOS!$A$2:$H$252,8,0),"")</f>
        <v>15</v>
      </c>
      <c r="H694" s="22">
        <v>6.0</v>
      </c>
      <c r="I694" s="23">
        <f>IFERROR(VLOOKUP(B694,DADOS!$A$2:$H$252,4,0)*H694,"")</f>
        <v>1.664064</v>
      </c>
      <c r="J694" s="36"/>
      <c r="K694" s="25">
        <f>IFERROR(VLOOKUP(B694,DADOS!$A$2:$H$252,4,0)*J694,"")</f>
        <v>0</v>
      </c>
      <c r="L694" s="26">
        <f t="shared" si="14"/>
        <v>0</v>
      </c>
      <c r="M694" s="27"/>
      <c r="N694" s="30"/>
      <c r="O694" s="28"/>
      <c r="P694" s="28"/>
      <c r="Q694" s="28"/>
      <c r="R694" s="28"/>
      <c r="S694" s="28"/>
    </row>
    <row r="695">
      <c r="A695" s="17">
        <v>45575.0</v>
      </c>
      <c r="B695" s="18" t="s">
        <v>62</v>
      </c>
      <c r="C695" s="18" t="s">
        <v>149</v>
      </c>
      <c r="D695" s="19"/>
      <c r="E695" s="19"/>
      <c r="F695" s="20">
        <f t="shared" si="7"/>
        <v>0</v>
      </c>
      <c r="G695" s="21">
        <f>IFERROR(VLOOKUP(B695,DADOS!$A$2:$H$252,8,0),"")</f>
        <v>14</v>
      </c>
      <c r="H695" s="22">
        <v>8.0</v>
      </c>
      <c r="I695" s="23">
        <f>IFERROR(VLOOKUP(B695,DADOS!$A$2:$H$252,4,0)*H695,"")</f>
        <v>0.6798352</v>
      </c>
      <c r="J695" s="24">
        <v>1.0</v>
      </c>
      <c r="K695" s="25">
        <f>IFERROR(VLOOKUP(B695,DADOS!$A$2:$H$252,4,0)*J695,"")</f>
        <v>0.0849794</v>
      </c>
      <c r="L695" s="26">
        <f t="shared" si="14"/>
        <v>0</v>
      </c>
      <c r="M695" s="27"/>
      <c r="N695" s="30"/>
      <c r="O695" s="28"/>
      <c r="P695" s="28"/>
      <c r="Q695" s="28"/>
      <c r="R695" s="28"/>
      <c r="S695" s="28"/>
    </row>
    <row r="696">
      <c r="A696" s="17">
        <v>45575.0</v>
      </c>
      <c r="B696" s="18" t="s">
        <v>51</v>
      </c>
      <c r="C696" s="18" t="s">
        <v>149</v>
      </c>
      <c r="D696" s="19"/>
      <c r="E696" s="19"/>
      <c r="F696" s="20">
        <f t="shared" si="7"/>
        <v>0</v>
      </c>
      <c r="G696" s="21">
        <f>IFERROR(VLOOKUP(B696,DADOS!$A$2:$H$252,8,0),"")</f>
        <v>28</v>
      </c>
      <c r="H696" s="22">
        <v>59.0</v>
      </c>
      <c r="I696" s="23">
        <f>IFERROR(VLOOKUP(B696,DADOS!$A$2:$H$252,4,0)*H696,"")</f>
        <v>6.7220824</v>
      </c>
      <c r="J696" s="36"/>
      <c r="K696" s="25">
        <f>IFERROR(VLOOKUP(B696,DADOS!$A$2:$H$252,4,0)*J696,"")</f>
        <v>0</v>
      </c>
      <c r="L696" s="26">
        <f t="shared" si="14"/>
        <v>0</v>
      </c>
      <c r="M696" s="27"/>
      <c r="N696" s="30"/>
      <c r="O696" s="28"/>
      <c r="P696" s="28"/>
      <c r="Q696" s="28"/>
      <c r="R696" s="28"/>
      <c r="S696" s="28"/>
    </row>
    <row r="697">
      <c r="A697" s="17">
        <v>45575.0</v>
      </c>
      <c r="B697" s="18" t="s">
        <v>16</v>
      </c>
      <c r="C697" s="18" t="s">
        <v>136</v>
      </c>
      <c r="D697" s="19"/>
      <c r="E697" s="19"/>
      <c r="F697" s="20">
        <f t="shared" si="7"/>
        <v>0</v>
      </c>
      <c r="G697" s="21">
        <f>IFERROR(VLOOKUP(B697,DADOS!$A$2:$H$252,8,0),"")</f>
        <v>150</v>
      </c>
      <c r="H697" s="22">
        <v>807.0</v>
      </c>
      <c r="I697" s="23">
        <f>IFERROR(VLOOKUP(B697,DADOS!$A$2:$H$252,4,0)*H697,"")</f>
        <v>23.3487696</v>
      </c>
      <c r="J697" s="36"/>
      <c r="K697" s="25">
        <f>IFERROR(VLOOKUP(B697,DADOS!$A$2:$H$252,4,0)*J697,"")</f>
        <v>0</v>
      </c>
      <c r="L697" s="26">
        <f t="shared" si="14"/>
        <v>0</v>
      </c>
      <c r="M697" s="27"/>
      <c r="N697" s="30"/>
      <c r="O697" s="28"/>
      <c r="P697" s="28"/>
      <c r="Q697" s="28"/>
      <c r="R697" s="28"/>
      <c r="S697" s="28"/>
    </row>
    <row r="698">
      <c r="A698" s="17">
        <v>45575.0</v>
      </c>
      <c r="B698" s="18" t="s">
        <v>54</v>
      </c>
      <c r="C698" s="18" t="s">
        <v>146</v>
      </c>
      <c r="D698" s="19"/>
      <c r="E698" s="19"/>
      <c r="F698" s="20">
        <f t="shared" si="7"/>
        <v>0</v>
      </c>
      <c r="G698" s="21" t="str">
        <f>IFERROR(VLOOKUP(B698,DADOS!$A$2:$H$252,8,0),"")</f>
        <v/>
      </c>
      <c r="H698" s="22">
        <v>12.0</v>
      </c>
      <c r="I698" s="23">
        <f>IFERROR(VLOOKUP(B698,DADOS!$A$2:$H$252,4,0)*H698,"")</f>
        <v>16.8288744</v>
      </c>
      <c r="J698" s="36"/>
      <c r="K698" s="25">
        <f>IFERROR(VLOOKUP(B698,DADOS!$A$2:$H$252,4,0)*J698,"")</f>
        <v>0</v>
      </c>
      <c r="L698" s="26">
        <f t="shared" si="14"/>
        <v>0</v>
      </c>
      <c r="M698" s="27"/>
      <c r="N698" s="30"/>
      <c r="O698" s="28"/>
      <c r="P698" s="28"/>
      <c r="Q698" s="28"/>
      <c r="R698" s="28"/>
      <c r="S698" s="28"/>
    </row>
    <row r="699">
      <c r="A699" s="17">
        <v>45575.0</v>
      </c>
      <c r="B699" s="18" t="s">
        <v>33</v>
      </c>
      <c r="C699" s="18" t="s">
        <v>146</v>
      </c>
      <c r="D699" s="19"/>
      <c r="E699" s="19"/>
      <c r="F699" s="20">
        <f t="shared" si="7"/>
        <v>0</v>
      </c>
      <c r="G699" s="21">
        <f>IFERROR(VLOOKUP(B699,DADOS!$A$2:$H$252,8,0),"")</f>
        <v>7</v>
      </c>
      <c r="H699" s="22">
        <v>22.0</v>
      </c>
      <c r="I699" s="23">
        <f>IFERROR(VLOOKUP(B699,DADOS!$A$2:$H$252,4,0)*H699,"")</f>
        <v>30.8529364</v>
      </c>
      <c r="J699" s="36"/>
      <c r="K699" s="25">
        <f>IFERROR(VLOOKUP(B699,DADOS!$A$2:$H$252,4,0)*J699,"")</f>
        <v>0</v>
      </c>
      <c r="L699" s="26">
        <f t="shared" si="14"/>
        <v>0</v>
      </c>
      <c r="M699" s="27"/>
      <c r="N699" s="30"/>
      <c r="O699" s="28"/>
      <c r="P699" s="28"/>
      <c r="Q699" s="28"/>
      <c r="R699" s="28"/>
      <c r="S699" s="28"/>
    </row>
    <row r="700">
      <c r="A700" s="17">
        <v>45576.0</v>
      </c>
      <c r="B700" s="18" t="s">
        <v>115</v>
      </c>
      <c r="C700" s="18" t="s">
        <v>149</v>
      </c>
      <c r="D700" s="19"/>
      <c r="E700" s="19"/>
      <c r="F700" s="20">
        <f t="shared" si="7"/>
        <v>0</v>
      </c>
      <c r="G700" s="21">
        <f>IFERROR(VLOOKUP(B700,DADOS!$A$2:$H$252,8,0),"")</f>
        <v>12</v>
      </c>
      <c r="H700" s="22">
        <v>18.0</v>
      </c>
      <c r="I700" s="23">
        <f>IFERROR(VLOOKUP(B700,DADOS!$A$2:$H$252,4,0)*H700,"")</f>
        <v>5.273388</v>
      </c>
      <c r="J700" s="36"/>
      <c r="K700" s="25">
        <f>IFERROR(VLOOKUP(B700,DADOS!$A$2:$H$252,4,0)*J700,"")</f>
        <v>0</v>
      </c>
      <c r="L700" s="26">
        <f t="shared" si="14"/>
        <v>0</v>
      </c>
      <c r="M700" s="27"/>
      <c r="N700" s="30"/>
      <c r="O700" s="28"/>
      <c r="P700" s="28"/>
      <c r="Q700" s="28"/>
      <c r="R700" s="28"/>
      <c r="S700" s="28"/>
    </row>
    <row r="701">
      <c r="A701" s="17">
        <v>45576.0</v>
      </c>
      <c r="B701" s="18" t="s">
        <v>116</v>
      </c>
      <c r="C701" s="18" t="s">
        <v>149</v>
      </c>
      <c r="D701" s="19"/>
      <c r="E701" s="19"/>
      <c r="F701" s="20">
        <f t="shared" si="7"/>
        <v>0</v>
      </c>
      <c r="G701" s="21">
        <f>IFERROR(VLOOKUP(B701,DADOS!$A$2:$H$252,8,0),"")</f>
        <v>15</v>
      </c>
      <c r="H701" s="22">
        <v>7.0</v>
      </c>
      <c r="I701" s="23">
        <f>IFERROR(VLOOKUP(B701,DADOS!$A$2:$H$252,4,0)*H701,"")</f>
        <v>1.941408</v>
      </c>
      <c r="J701" s="36"/>
      <c r="K701" s="25">
        <f>IFERROR(VLOOKUP(B701,DADOS!$A$2:$H$252,4,0)*J701,"")</f>
        <v>0</v>
      </c>
      <c r="L701" s="26">
        <f t="shared" si="14"/>
        <v>0</v>
      </c>
      <c r="M701" s="27"/>
      <c r="N701" s="30"/>
      <c r="O701" s="28"/>
      <c r="P701" s="28"/>
      <c r="Q701" s="28"/>
      <c r="R701" s="28"/>
      <c r="S701" s="28"/>
    </row>
    <row r="702">
      <c r="A702" s="17">
        <v>45576.0</v>
      </c>
      <c r="B702" s="18" t="s">
        <v>62</v>
      </c>
      <c r="C702" s="18" t="s">
        <v>149</v>
      </c>
      <c r="D702" s="19"/>
      <c r="E702" s="19"/>
      <c r="F702" s="20">
        <f t="shared" si="7"/>
        <v>0</v>
      </c>
      <c r="G702" s="21">
        <f>IFERROR(VLOOKUP(B702,DADOS!$A$2:$H$252,8,0),"")</f>
        <v>14</v>
      </c>
      <c r="H702" s="22">
        <v>2.0</v>
      </c>
      <c r="I702" s="23">
        <f>IFERROR(VLOOKUP(B702,DADOS!$A$2:$H$252,4,0)*H702,"")</f>
        <v>0.1699588</v>
      </c>
      <c r="J702" s="24">
        <v>2.0</v>
      </c>
      <c r="K702" s="25">
        <f>IFERROR(VLOOKUP(B702,DADOS!$A$2:$H$252,4,0)*J702,"")</f>
        <v>0.1699588</v>
      </c>
      <c r="L702" s="26">
        <f t="shared" si="14"/>
        <v>0</v>
      </c>
      <c r="M702" s="27"/>
      <c r="N702" s="30"/>
      <c r="O702" s="28"/>
      <c r="P702" s="28"/>
      <c r="Q702" s="28"/>
      <c r="R702" s="28"/>
      <c r="S702" s="28"/>
    </row>
    <row r="703">
      <c r="A703" s="17">
        <v>45576.0</v>
      </c>
      <c r="B703" s="18" t="s">
        <v>16</v>
      </c>
      <c r="C703" s="18" t="s">
        <v>136</v>
      </c>
      <c r="D703" s="19">
        <v>0.3263888888888889</v>
      </c>
      <c r="E703" s="19">
        <v>0.4236111111111111</v>
      </c>
      <c r="F703" s="20">
        <f t="shared" si="7"/>
        <v>0.09722222222</v>
      </c>
      <c r="G703" s="21">
        <f>IFERROR(VLOOKUP(B703,DADOS!$A$2:$H$252,8,0),"")</f>
        <v>150</v>
      </c>
      <c r="H703" s="22">
        <v>357.0</v>
      </c>
      <c r="I703" s="23">
        <f>IFERROR(VLOOKUP(B703,DADOS!$A$2:$H$252,4,0)*H703,"")</f>
        <v>10.3290096</v>
      </c>
      <c r="J703" s="36"/>
      <c r="K703" s="25">
        <f>IFERROR(VLOOKUP(B703,DADOS!$A$2:$H$252,4,0)*J703,"")</f>
        <v>0</v>
      </c>
      <c r="L703" s="26">
        <f t="shared" si="14"/>
        <v>0</v>
      </c>
      <c r="M703" s="27"/>
      <c r="N703" s="30"/>
      <c r="O703" s="28"/>
      <c r="P703" s="28"/>
      <c r="Q703" s="28"/>
      <c r="R703" s="28"/>
      <c r="S703" s="28"/>
    </row>
    <row r="704">
      <c r="A704" s="17">
        <v>45580.0</v>
      </c>
      <c r="B704" s="18" t="s">
        <v>59</v>
      </c>
      <c r="C704" s="18" t="s">
        <v>136</v>
      </c>
      <c r="D704" s="29">
        <v>0.5416666666666666</v>
      </c>
      <c r="E704" s="19">
        <v>0.71875</v>
      </c>
      <c r="F704" s="20">
        <f t="shared" si="7"/>
        <v>0.1770833333</v>
      </c>
      <c r="G704" s="21">
        <f>IFERROR(VLOOKUP(B704,DADOS!$A$2:$H$252,8,0),"")</f>
        <v>50</v>
      </c>
      <c r="H704" s="22">
        <v>183.0</v>
      </c>
      <c r="I704" s="23">
        <f>IFERROR(VLOOKUP(B704,DADOS!$A$2:$H$252,4,0)*H704,"")</f>
        <v>3.13296</v>
      </c>
      <c r="J704" s="36"/>
      <c r="K704" s="25">
        <f>IFERROR(VLOOKUP(B704,DADOS!$A$2:$H$252,4,0)*J704,"")</f>
        <v>0</v>
      </c>
      <c r="L704" s="26">
        <f t="shared" si="14"/>
        <v>0</v>
      </c>
      <c r="M704" s="27"/>
      <c r="N704" s="30"/>
      <c r="O704" s="28"/>
      <c r="P704" s="28"/>
      <c r="Q704" s="28"/>
      <c r="R704" s="28"/>
      <c r="S704" s="28"/>
    </row>
    <row r="705">
      <c r="A705" s="17">
        <v>45581.0</v>
      </c>
      <c r="B705" s="18" t="s">
        <v>59</v>
      </c>
      <c r="C705" s="18" t="s">
        <v>136</v>
      </c>
      <c r="D705" s="19">
        <v>0.3298611111111111</v>
      </c>
      <c r="E705" s="19">
        <v>0.4965277777777778</v>
      </c>
      <c r="F705" s="20">
        <f t="shared" si="7"/>
        <v>0.1666666667</v>
      </c>
      <c r="G705" s="21">
        <f>IFERROR(VLOOKUP(B705,DADOS!$A$2:$H$252,8,0),"")</f>
        <v>50</v>
      </c>
      <c r="H705" s="22">
        <v>117.0</v>
      </c>
      <c r="I705" s="23">
        <f>IFERROR(VLOOKUP(B705,DADOS!$A$2:$H$252,4,0)*H705,"")</f>
        <v>2.00304</v>
      </c>
      <c r="J705" s="36"/>
      <c r="K705" s="25">
        <f>IFERROR(VLOOKUP(B705,DADOS!$A$2:$H$252,4,0)*J705,"")</f>
        <v>0</v>
      </c>
      <c r="L705" s="26">
        <f t="shared" si="14"/>
        <v>0</v>
      </c>
      <c r="M705" s="27"/>
      <c r="N705" s="30"/>
      <c r="O705" s="28"/>
      <c r="P705" s="28"/>
      <c r="Q705" s="28"/>
      <c r="R705" s="28"/>
      <c r="S705" s="28"/>
    </row>
    <row r="706">
      <c r="A706" s="17">
        <v>45581.0</v>
      </c>
      <c r="B706" s="18" t="s">
        <v>16</v>
      </c>
      <c r="C706" s="18" t="s">
        <v>136</v>
      </c>
      <c r="D706" s="19">
        <v>0.5736111111111111</v>
      </c>
      <c r="E706" s="19">
        <v>0.71875</v>
      </c>
      <c r="F706" s="20">
        <f t="shared" si="7"/>
        <v>0.1451388889</v>
      </c>
      <c r="G706" s="21">
        <f>IFERROR(VLOOKUP(B706,DADOS!$A$2:$H$252,8,0),"")</f>
        <v>150</v>
      </c>
      <c r="H706" s="22">
        <v>406.0</v>
      </c>
      <c r="I706" s="23">
        <f>IFERROR(VLOOKUP(B706,DADOS!$A$2:$H$252,4,0)*H706,"")</f>
        <v>11.7467168</v>
      </c>
      <c r="J706" s="36"/>
      <c r="K706" s="25">
        <f>IFERROR(VLOOKUP(B706,DADOS!$A$2:$H$252,4,0)*J706,"")</f>
        <v>0</v>
      </c>
      <c r="L706" s="26">
        <f t="shared" si="14"/>
        <v>0</v>
      </c>
      <c r="M706" s="27"/>
      <c r="N706" s="30"/>
      <c r="O706" s="28"/>
      <c r="P706" s="28"/>
      <c r="Q706" s="28"/>
      <c r="R706" s="28"/>
      <c r="S706" s="28"/>
    </row>
    <row r="707">
      <c r="A707" s="17">
        <v>45582.0</v>
      </c>
      <c r="B707" s="18" t="s">
        <v>16</v>
      </c>
      <c r="C707" s="18" t="s">
        <v>136</v>
      </c>
      <c r="D707" s="19">
        <v>0.3423611111111111</v>
      </c>
      <c r="E707" s="19">
        <v>0.39791666666666664</v>
      </c>
      <c r="F707" s="20">
        <f t="shared" si="7"/>
        <v>0.05555555556</v>
      </c>
      <c r="G707" s="21">
        <f>IFERROR(VLOOKUP(B707,DADOS!$A$2:$H$252,8,0),"")</f>
        <v>150</v>
      </c>
      <c r="H707" s="22">
        <v>117.0</v>
      </c>
      <c r="I707" s="23">
        <f>IFERROR(VLOOKUP(B707,DADOS!$A$2:$H$252,4,0)*H707,"")</f>
        <v>3.3851376</v>
      </c>
      <c r="J707" s="36"/>
      <c r="K707" s="25">
        <f>IFERROR(VLOOKUP(B707,DADOS!$A$2:$H$252,4,0)*J707,"")</f>
        <v>0</v>
      </c>
      <c r="L707" s="26">
        <f t="shared" si="14"/>
        <v>0</v>
      </c>
      <c r="M707" s="27"/>
      <c r="N707" s="30"/>
      <c r="O707" s="28"/>
      <c r="P707" s="28"/>
      <c r="Q707" s="28"/>
      <c r="R707" s="28"/>
      <c r="S707" s="28"/>
    </row>
    <row r="708">
      <c r="A708" s="17">
        <v>45582.0</v>
      </c>
      <c r="B708" s="18" t="s">
        <v>74</v>
      </c>
      <c r="C708" s="18" t="s">
        <v>136</v>
      </c>
      <c r="D708" s="19">
        <v>0.4861111111111111</v>
      </c>
      <c r="E708" s="19">
        <v>0.7222222222222222</v>
      </c>
      <c r="F708" s="20">
        <f t="shared" si="7"/>
        <v>0.2361111111</v>
      </c>
      <c r="G708" s="21">
        <f>IFERROR(VLOOKUP(B708,DADOS!$A$2:$H$252,8,0),"")</f>
        <v>60</v>
      </c>
      <c r="H708" s="22">
        <v>196.0</v>
      </c>
      <c r="I708" s="23">
        <f>IFERROR(VLOOKUP(B708,DADOS!$A$2:$H$252,4,0)*H708,"")</f>
        <v>271.79712</v>
      </c>
      <c r="J708" s="36"/>
      <c r="K708" s="25">
        <f>IFERROR(VLOOKUP(B708,DADOS!$A$2:$H$252,4,0)*J708,"")</f>
        <v>0</v>
      </c>
      <c r="L708" s="26">
        <f t="shared" si="14"/>
        <v>0</v>
      </c>
      <c r="M708" s="27"/>
      <c r="N708" s="30"/>
      <c r="O708" s="28"/>
      <c r="P708" s="28"/>
      <c r="Q708" s="28"/>
      <c r="R708" s="28"/>
      <c r="S708" s="28"/>
    </row>
    <row r="709">
      <c r="A709" s="17">
        <v>45583.0</v>
      </c>
      <c r="B709" s="18" t="s">
        <v>101</v>
      </c>
      <c r="C709" s="18" t="s">
        <v>19</v>
      </c>
      <c r="D709" s="19"/>
      <c r="E709" s="19"/>
      <c r="F709" s="20">
        <f t="shared" si="7"/>
        <v>0</v>
      </c>
      <c r="G709" s="21" t="str">
        <f>IFERROR(VLOOKUP(B709,DADOS!$A$2:$H$252,8,0),"")</f>
        <v/>
      </c>
      <c r="H709" s="22">
        <v>18.0</v>
      </c>
      <c r="I709" s="23">
        <f>IFERROR(VLOOKUP(B709,DADOS!$A$2:$H$252,4,0)*H709,"")</f>
        <v>2.8643472</v>
      </c>
      <c r="J709" s="24">
        <v>1.0</v>
      </c>
      <c r="K709" s="25">
        <f>IFERROR(VLOOKUP(B709,DADOS!$A$2:$H$252,4,0)*J709,"")</f>
        <v>0.1591304</v>
      </c>
      <c r="L709" s="26">
        <f t="shared" si="14"/>
        <v>0</v>
      </c>
      <c r="M709" s="27"/>
      <c r="N709" s="30"/>
      <c r="O709" s="28"/>
      <c r="P709" s="28"/>
      <c r="Q709" s="28"/>
      <c r="R709" s="28"/>
      <c r="S709" s="28"/>
    </row>
    <row r="710">
      <c r="A710" s="17">
        <v>45583.0</v>
      </c>
      <c r="B710" s="18" t="s">
        <v>119</v>
      </c>
      <c r="C710" s="18" t="s">
        <v>19</v>
      </c>
      <c r="D710" s="19"/>
      <c r="E710" s="19"/>
      <c r="F710" s="20">
        <f t="shared" si="7"/>
        <v>0</v>
      </c>
      <c r="G710" s="21">
        <f>IFERROR(VLOOKUP(B710,DADOS!$A$2:$H$252,8,0),"")</f>
        <v>25</v>
      </c>
      <c r="H710" s="22">
        <v>1.0</v>
      </c>
      <c r="I710" s="23">
        <f>IFERROR(VLOOKUP(B710,DADOS!$A$2:$H$252,4,0)*H710,"")</f>
        <v>0.1301976</v>
      </c>
      <c r="J710" s="36"/>
      <c r="K710" s="25">
        <f>IFERROR(VLOOKUP(B710,DADOS!$A$2:$H$252,4,0)*J710,"")</f>
        <v>0</v>
      </c>
      <c r="L710" s="26">
        <f t="shared" si="14"/>
        <v>0</v>
      </c>
      <c r="M710" s="27"/>
      <c r="N710" s="30"/>
      <c r="O710" s="28"/>
      <c r="P710" s="28"/>
      <c r="Q710" s="28"/>
      <c r="R710" s="28"/>
      <c r="S710" s="28"/>
    </row>
    <row r="711">
      <c r="A711" s="17">
        <v>45586.0</v>
      </c>
      <c r="B711" s="18" t="s">
        <v>62</v>
      </c>
      <c r="C711" s="18" t="s">
        <v>19</v>
      </c>
      <c r="D711" s="19"/>
      <c r="E711" s="19"/>
      <c r="F711" s="20">
        <f t="shared" si="7"/>
        <v>0</v>
      </c>
      <c r="G711" s="21">
        <f>IFERROR(VLOOKUP(B711,DADOS!$A$2:$H$252,8,0),"")</f>
        <v>14</v>
      </c>
      <c r="H711" s="35"/>
      <c r="I711" s="23">
        <f>IFERROR(VLOOKUP(B711,DADOS!$A$2:$H$252,4,0)*H711,"")</f>
        <v>0</v>
      </c>
      <c r="J711" s="36"/>
      <c r="K711" s="25">
        <f>IFERROR(VLOOKUP(B711,DADOS!$A$2:$H$252,4,0)*J711,"")</f>
        <v>0</v>
      </c>
      <c r="L711" s="26" t="str">
        <f t="shared" si="14"/>
        <v/>
      </c>
      <c r="M711" s="27"/>
      <c r="N711" s="30"/>
      <c r="O711" s="28"/>
      <c r="P711" s="28"/>
      <c r="Q711" s="28"/>
      <c r="R711" s="28"/>
      <c r="S711" s="28"/>
    </row>
    <row r="712">
      <c r="A712" s="17">
        <v>45586.0</v>
      </c>
      <c r="B712" s="18" t="s">
        <v>131</v>
      </c>
      <c r="C712" s="18" t="s">
        <v>19</v>
      </c>
      <c r="D712" s="19"/>
      <c r="E712" s="19"/>
      <c r="F712" s="20">
        <f t="shared" si="7"/>
        <v>0</v>
      </c>
      <c r="G712" s="21">
        <f>IFERROR(VLOOKUP(B712,DADOS!$A$2:$H$252,8,0),"")</f>
        <v>15</v>
      </c>
      <c r="H712" s="35"/>
      <c r="I712" s="23">
        <f>IFERROR(VLOOKUP(B712,DADOS!$A$2:$H$252,4,0)*H712,"")</f>
        <v>0</v>
      </c>
      <c r="J712" s="36"/>
      <c r="K712" s="25">
        <f>IFERROR(VLOOKUP(B712,DADOS!$A$2:$H$252,4,0)*J712,"")</f>
        <v>0</v>
      </c>
      <c r="L712" s="26" t="str">
        <f t="shared" si="14"/>
        <v/>
      </c>
      <c r="M712" s="27"/>
      <c r="N712" s="30"/>
      <c r="O712" s="28"/>
      <c r="P712" s="28"/>
      <c r="Q712" s="28"/>
      <c r="R712" s="28"/>
      <c r="S712" s="28"/>
    </row>
    <row r="713">
      <c r="A713" s="17">
        <v>45586.0</v>
      </c>
      <c r="B713" s="18" t="s">
        <v>18</v>
      </c>
      <c r="C713" s="18" t="s">
        <v>19</v>
      </c>
      <c r="D713" s="19"/>
      <c r="E713" s="19"/>
      <c r="F713" s="20">
        <f t="shared" si="7"/>
        <v>0</v>
      </c>
      <c r="G713" s="21">
        <f>IFERROR(VLOOKUP(B713,DADOS!$A$2:$H$252,8,0),"")</f>
        <v>21</v>
      </c>
      <c r="H713" s="35"/>
      <c r="I713" s="23">
        <f>IFERROR(VLOOKUP(B713,DADOS!$A$2:$H$252,4,0)*H713,"")</f>
        <v>0</v>
      </c>
      <c r="J713" s="36"/>
      <c r="K713" s="25">
        <f>IFERROR(VLOOKUP(B713,DADOS!$A$2:$H$252,4,0)*J713,"")</f>
        <v>0</v>
      </c>
      <c r="L713" s="26" t="str">
        <f t="shared" si="14"/>
        <v/>
      </c>
      <c r="M713" s="27"/>
      <c r="N713" s="30"/>
      <c r="O713" s="28"/>
      <c r="P713" s="28"/>
      <c r="Q713" s="28"/>
      <c r="R713" s="28"/>
      <c r="S713" s="28"/>
    </row>
    <row r="714">
      <c r="A714" s="17">
        <v>45586.0</v>
      </c>
      <c r="B714" s="18" t="s">
        <v>25</v>
      </c>
      <c r="C714" s="18" t="s">
        <v>19</v>
      </c>
      <c r="D714" s="19"/>
      <c r="E714" s="19"/>
      <c r="F714" s="20">
        <f t="shared" si="7"/>
        <v>0</v>
      </c>
      <c r="G714" s="21">
        <f>IFERROR(VLOOKUP(B714,DADOS!$A$2:$H$252,8,0),"")</f>
        <v>40</v>
      </c>
      <c r="H714" s="35"/>
      <c r="I714" s="23">
        <f>IFERROR(VLOOKUP(B714,DADOS!$A$2:$H$252,4,0)*H714,"")</f>
        <v>0</v>
      </c>
      <c r="J714" s="36"/>
      <c r="K714" s="25">
        <f>IFERROR(VLOOKUP(B714,DADOS!$A$2:$H$252,4,0)*J714,"")</f>
        <v>0</v>
      </c>
      <c r="L714" s="26" t="str">
        <f t="shared" si="14"/>
        <v/>
      </c>
      <c r="M714" s="27"/>
      <c r="N714" s="30"/>
      <c r="O714" s="28"/>
      <c r="P714" s="28"/>
      <c r="Q714" s="28"/>
      <c r="R714" s="28"/>
      <c r="S714" s="28"/>
    </row>
    <row r="715">
      <c r="A715" s="17">
        <v>45586.0</v>
      </c>
      <c r="B715" s="18" t="s">
        <v>76</v>
      </c>
      <c r="C715" s="18" t="s">
        <v>136</v>
      </c>
      <c r="D715" s="19"/>
      <c r="E715" s="19"/>
      <c r="F715" s="20">
        <f t="shared" si="7"/>
        <v>0</v>
      </c>
      <c r="G715" s="21">
        <f>IFERROR(VLOOKUP(B715,DADOS!$A$2:$H$252,8,0),"")</f>
        <v>120</v>
      </c>
      <c r="H715" s="22">
        <v>160.0</v>
      </c>
      <c r="I715" s="23">
        <f>IFERROR(VLOOKUP(B715,DADOS!$A$2:$H$252,4,0)*H715,"")</f>
        <v>0.416016</v>
      </c>
      <c r="J715" s="36"/>
      <c r="K715" s="25">
        <f>IFERROR(VLOOKUP(B715,DADOS!$A$2:$H$252,4,0)*J715,"")</f>
        <v>0</v>
      </c>
      <c r="L715" s="26">
        <f t="shared" si="14"/>
        <v>0</v>
      </c>
      <c r="M715" s="27"/>
      <c r="N715" s="30"/>
      <c r="O715" s="28"/>
      <c r="P715" s="28"/>
      <c r="Q715" s="28"/>
      <c r="R715" s="28"/>
      <c r="S715" s="28"/>
    </row>
    <row r="716">
      <c r="A716" s="17">
        <v>45587.0</v>
      </c>
      <c r="B716" s="18" t="s">
        <v>18</v>
      </c>
      <c r="C716" s="18" t="s">
        <v>19</v>
      </c>
      <c r="D716" s="19"/>
      <c r="E716" s="19"/>
      <c r="F716" s="20">
        <f t="shared" si="7"/>
        <v>0</v>
      </c>
      <c r="G716" s="21">
        <f>IFERROR(VLOOKUP(B716,DADOS!$A$2:$H$252,8,0),"")</f>
        <v>21</v>
      </c>
      <c r="H716" s="22">
        <v>50.0</v>
      </c>
      <c r="I716" s="23">
        <f>IFERROR(VLOOKUP(B716,DADOS!$A$2:$H$252,4,0)*H716,"")</f>
        <v>14.6483</v>
      </c>
      <c r="J716" s="36"/>
      <c r="K716" s="25">
        <f>IFERROR(VLOOKUP(B716,DADOS!$A$2:$H$252,4,0)*J716,"")</f>
        <v>0</v>
      </c>
      <c r="L716" s="26">
        <f t="shared" si="14"/>
        <v>0</v>
      </c>
      <c r="M716" s="27"/>
      <c r="N716" s="30"/>
      <c r="O716" s="28"/>
      <c r="P716" s="28"/>
      <c r="Q716" s="28"/>
      <c r="R716" s="28"/>
      <c r="S716" s="28"/>
    </row>
    <row r="717">
      <c r="A717" s="17">
        <v>45587.0</v>
      </c>
      <c r="B717" s="18" t="s">
        <v>22</v>
      </c>
      <c r="C717" s="18" t="s">
        <v>19</v>
      </c>
      <c r="D717" s="19"/>
      <c r="E717" s="19"/>
      <c r="F717" s="20">
        <f t="shared" si="7"/>
        <v>0</v>
      </c>
      <c r="G717" s="21">
        <f>IFERROR(VLOOKUP(B717,DADOS!$A$2:$H$252,8,0),"")</f>
        <v>15</v>
      </c>
      <c r="H717" s="22">
        <v>20.0</v>
      </c>
      <c r="I717" s="23">
        <f>IFERROR(VLOOKUP(B717,DADOS!$A$2:$H$252,4,0)*H717,"")</f>
        <v>12.245508</v>
      </c>
      <c r="J717" s="36"/>
      <c r="K717" s="25">
        <f>IFERROR(VLOOKUP(B717,DADOS!$A$2:$H$252,4,0)*J717,"")</f>
        <v>0</v>
      </c>
      <c r="L717" s="26">
        <f t="shared" si="14"/>
        <v>0</v>
      </c>
      <c r="M717" s="27"/>
      <c r="N717" s="30"/>
      <c r="O717" s="28"/>
      <c r="P717" s="28"/>
      <c r="Q717" s="28"/>
      <c r="R717" s="28"/>
      <c r="S717" s="28"/>
    </row>
    <row r="718">
      <c r="A718" s="17">
        <v>45587.0</v>
      </c>
      <c r="B718" s="18" t="s">
        <v>154</v>
      </c>
      <c r="C718" s="18" t="s">
        <v>19</v>
      </c>
      <c r="D718" s="19"/>
      <c r="E718" s="19"/>
      <c r="F718" s="20">
        <f t="shared" si="7"/>
        <v>0</v>
      </c>
      <c r="G718" s="21">
        <f>IFERROR(VLOOKUP(B718,DADOS!$A$2:$H$252,8,0),"")</f>
        <v>10</v>
      </c>
      <c r="H718" s="22">
        <v>12.0</v>
      </c>
      <c r="I718" s="23">
        <f>IFERROR(VLOOKUP(B718,DADOS!$A$2:$H$252,4,0)*H718,"")</f>
        <v>1.3672032</v>
      </c>
      <c r="J718" s="36"/>
      <c r="K718" s="25">
        <f>IFERROR(VLOOKUP(B718,DADOS!$A$2:$H$252,4,0)*J718,"")</f>
        <v>0</v>
      </c>
      <c r="L718" s="26">
        <f t="shared" si="14"/>
        <v>0</v>
      </c>
      <c r="M718" s="27"/>
      <c r="N718" s="30"/>
      <c r="O718" s="28"/>
      <c r="P718" s="28"/>
      <c r="Q718" s="28"/>
      <c r="R718" s="28"/>
      <c r="S718" s="28"/>
    </row>
    <row r="719">
      <c r="A719" s="17">
        <v>45587.0</v>
      </c>
      <c r="B719" s="18" t="s">
        <v>26</v>
      </c>
      <c r="C719" s="18" t="s">
        <v>19</v>
      </c>
      <c r="D719" s="19"/>
      <c r="E719" s="19"/>
      <c r="F719" s="20">
        <f t="shared" si="7"/>
        <v>0</v>
      </c>
      <c r="G719" s="21">
        <f>IFERROR(VLOOKUP(B719,DADOS!$A$2:$H$252,8,0),"")</f>
        <v>50</v>
      </c>
      <c r="H719" s="22">
        <v>37.0</v>
      </c>
      <c r="I719" s="23">
        <f>IFERROR(VLOOKUP(B719,DADOS!$A$2:$H$252,4,0)*H719,"")</f>
        <v>4.2155432</v>
      </c>
      <c r="J719" s="36"/>
      <c r="K719" s="25">
        <f>IFERROR(VLOOKUP(B719,DADOS!$A$2:$H$252,4,0)*J719,"")</f>
        <v>0</v>
      </c>
      <c r="L719" s="26">
        <f t="shared" si="14"/>
        <v>0</v>
      </c>
      <c r="M719" s="27"/>
      <c r="N719" s="30"/>
      <c r="O719" s="28"/>
      <c r="P719" s="28"/>
      <c r="Q719" s="28"/>
      <c r="R719" s="28"/>
      <c r="S719" s="28"/>
    </row>
    <row r="720">
      <c r="A720" s="17">
        <v>45587.0</v>
      </c>
      <c r="B720" s="18" t="s">
        <v>37</v>
      </c>
      <c r="C720" s="18" t="s">
        <v>136</v>
      </c>
      <c r="D720" s="19"/>
      <c r="E720" s="19"/>
      <c r="F720" s="20">
        <f t="shared" si="7"/>
        <v>0</v>
      </c>
      <c r="G720" s="21" t="str">
        <f>IFERROR(VLOOKUP(B720,DADOS!$A$2:$H$252,8,0),"")</f>
        <v/>
      </c>
      <c r="H720" s="22">
        <v>35.0</v>
      </c>
      <c r="I720" s="23" t="str">
        <f>IFERROR(VLOOKUP(B720,DADOS!$A$2:$H$252,4,0)*H720,"")</f>
        <v/>
      </c>
      <c r="J720" s="36"/>
      <c r="K720" s="25" t="str">
        <f>IFERROR(VLOOKUP(B720,DADOS!$A$2:$H$252,4,0)*J720,"")</f>
        <v/>
      </c>
      <c r="L720" s="26" t="str">
        <f t="shared" si="14"/>
        <v/>
      </c>
      <c r="M720" s="27"/>
      <c r="N720" s="30"/>
      <c r="O720" s="28"/>
      <c r="P720" s="28"/>
      <c r="Q720" s="28"/>
      <c r="R720" s="28"/>
      <c r="S720" s="28"/>
    </row>
    <row r="721">
      <c r="A721" s="17">
        <v>45588.0</v>
      </c>
      <c r="B721" s="18" t="s">
        <v>22</v>
      </c>
      <c r="C721" s="18" t="s">
        <v>19</v>
      </c>
      <c r="D721" s="19"/>
      <c r="E721" s="19"/>
      <c r="F721" s="20">
        <f t="shared" si="7"/>
        <v>0</v>
      </c>
      <c r="G721" s="21">
        <f>IFERROR(VLOOKUP(B721,DADOS!$A$2:$H$252,8,0),"")</f>
        <v>15</v>
      </c>
      <c r="H721" s="22">
        <v>31.0</v>
      </c>
      <c r="I721" s="23">
        <f>IFERROR(VLOOKUP(B721,DADOS!$A$2:$H$252,4,0)*H721,"")</f>
        <v>18.9805374</v>
      </c>
      <c r="J721" s="36"/>
      <c r="K721" s="25">
        <f>IFERROR(VLOOKUP(B721,DADOS!$A$2:$H$252,4,0)*J721,"")</f>
        <v>0</v>
      </c>
      <c r="L721" s="26">
        <f t="shared" si="14"/>
        <v>0</v>
      </c>
      <c r="M721" s="27"/>
      <c r="N721" s="30"/>
      <c r="O721" s="28"/>
      <c r="P721" s="28"/>
      <c r="Q721" s="28"/>
      <c r="R721" s="28"/>
      <c r="S721" s="28"/>
    </row>
    <row r="722">
      <c r="A722" s="17">
        <v>45588.0</v>
      </c>
      <c r="B722" s="18" t="s">
        <v>155</v>
      </c>
      <c r="C722" s="18" t="s">
        <v>19</v>
      </c>
      <c r="D722" s="19"/>
      <c r="E722" s="19"/>
      <c r="F722" s="20">
        <f t="shared" si="7"/>
        <v>0</v>
      </c>
      <c r="G722" s="21">
        <f>IFERROR(VLOOKUP(B722,DADOS!$A$2:$H$252,8,0),"")</f>
        <v>18</v>
      </c>
      <c r="H722" s="22">
        <v>18.0</v>
      </c>
      <c r="I722" s="23">
        <f>IFERROR(VLOOKUP(B722,DADOS!$A$2:$H$252,4,0)*H722,"")</f>
        <v>7.122348</v>
      </c>
      <c r="J722" s="36"/>
      <c r="K722" s="25">
        <f>IFERROR(VLOOKUP(B722,DADOS!$A$2:$H$252,4,0)*J722,"")</f>
        <v>0</v>
      </c>
      <c r="L722" s="26">
        <f t="shared" si="14"/>
        <v>0</v>
      </c>
      <c r="M722" s="27"/>
      <c r="N722" s="30"/>
      <c r="O722" s="28"/>
      <c r="P722" s="28"/>
      <c r="Q722" s="28"/>
      <c r="R722" s="28"/>
      <c r="S722" s="28"/>
    </row>
    <row r="723">
      <c r="A723" s="17">
        <v>45588.0</v>
      </c>
      <c r="B723" s="18" t="s">
        <v>55</v>
      </c>
      <c r="C723" s="18" t="s">
        <v>136</v>
      </c>
      <c r="D723" s="19"/>
      <c r="E723" s="19"/>
      <c r="F723" s="20">
        <f t="shared" si="7"/>
        <v>0</v>
      </c>
      <c r="G723" s="21">
        <f>IFERROR(VLOOKUP(B723,DADOS!$A$2:$H$252,8,0),"")</f>
        <v>60</v>
      </c>
      <c r="H723" s="22">
        <v>147.0</v>
      </c>
      <c r="I723" s="23">
        <f>IFERROR(VLOOKUP(B723,DADOS!$A$2:$H$252,4,0)*H723,"")</f>
        <v>2.51664</v>
      </c>
      <c r="J723" s="24">
        <v>3.0</v>
      </c>
      <c r="K723" s="25">
        <f>IFERROR(VLOOKUP(B723,DADOS!$A$2:$H$252,4,0)*J723,"")</f>
        <v>0.05136</v>
      </c>
      <c r="L723" s="26">
        <f t="shared" si="14"/>
        <v>0</v>
      </c>
      <c r="M723" s="27"/>
      <c r="N723" s="30"/>
      <c r="O723" s="28"/>
      <c r="P723" s="28"/>
      <c r="Q723" s="28"/>
      <c r="R723" s="28"/>
      <c r="S723" s="28"/>
    </row>
    <row r="724">
      <c r="A724" s="17">
        <v>45588.0</v>
      </c>
      <c r="B724" s="18" t="s">
        <v>37</v>
      </c>
      <c r="C724" s="18" t="s">
        <v>136</v>
      </c>
      <c r="D724" s="19"/>
      <c r="E724" s="19"/>
      <c r="F724" s="20">
        <f t="shared" si="7"/>
        <v>0</v>
      </c>
      <c r="G724" s="21" t="str">
        <f>IFERROR(VLOOKUP(B724,DADOS!$A$2:$H$252,8,0),"")</f>
        <v/>
      </c>
      <c r="H724" s="22">
        <v>123.0</v>
      </c>
      <c r="I724" s="23" t="str">
        <f>IFERROR(VLOOKUP(B724,DADOS!$A$2:$H$252,4,0)*H724,"")</f>
        <v/>
      </c>
      <c r="J724" s="36"/>
      <c r="K724" s="25" t="str">
        <f>IFERROR(VLOOKUP(B724,DADOS!$A$2:$H$252,4,0)*J724,"")</f>
        <v/>
      </c>
      <c r="L724" s="26" t="str">
        <f t="shared" si="14"/>
        <v/>
      </c>
      <c r="M724" s="27"/>
      <c r="N724" s="30"/>
      <c r="O724" s="28"/>
      <c r="P724" s="28"/>
      <c r="Q724" s="28"/>
      <c r="R724" s="28"/>
      <c r="S724" s="28"/>
    </row>
    <row r="725">
      <c r="A725" s="17">
        <v>45589.0</v>
      </c>
      <c r="B725" s="18" t="s">
        <v>126</v>
      </c>
      <c r="C725" s="18" t="s">
        <v>136</v>
      </c>
      <c r="D725" s="19"/>
      <c r="E725" s="19"/>
      <c r="F725" s="20">
        <f t="shared" si="7"/>
        <v>0</v>
      </c>
      <c r="G725" s="21">
        <f>IFERROR(VLOOKUP(B725,DADOS!$A$2:$H$252,8,0),"")</f>
        <v>100</v>
      </c>
      <c r="H725" s="22">
        <v>98.0</v>
      </c>
      <c r="I725" s="23">
        <f>IFERROR(VLOOKUP(B725,DADOS!$A$2:$H$252,4,0)*H725,"")</f>
        <v>5.19057</v>
      </c>
      <c r="J725" s="24">
        <v>2.0</v>
      </c>
      <c r="K725" s="25">
        <f>IFERROR(VLOOKUP(B725,DADOS!$A$2:$H$252,4,0)*J725,"")</f>
        <v>0.10593</v>
      </c>
      <c r="L725" s="26">
        <f t="shared" si="14"/>
        <v>0</v>
      </c>
      <c r="M725" s="27"/>
      <c r="N725" s="30"/>
      <c r="O725" s="28"/>
      <c r="P725" s="28"/>
      <c r="Q725" s="28"/>
      <c r="R725" s="28"/>
      <c r="S725" s="28"/>
    </row>
    <row r="726">
      <c r="A726" s="17">
        <v>45589.0</v>
      </c>
      <c r="B726" s="18" t="s">
        <v>27</v>
      </c>
      <c r="C726" s="18" t="s">
        <v>136</v>
      </c>
      <c r="D726" s="19"/>
      <c r="E726" s="19"/>
      <c r="F726" s="20">
        <f t="shared" si="7"/>
        <v>0</v>
      </c>
      <c r="G726" s="21">
        <f>IFERROR(VLOOKUP(B726,DADOS!$A$2:$H$252,8,0),"")</f>
        <v>30</v>
      </c>
      <c r="H726" s="22">
        <v>82.0</v>
      </c>
      <c r="I726" s="23">
        <f>IFERROR(VLOOKUP(B726,DADOS!$A$2:$H$252,4,0)*H726,"")</f>
        <v>1.40384</v>
      </c>
      <c r="J726" s="36"/>
      <c r="K726" s="25">
        <f>IFERROR(VLOOKUP(B726,DADOS!$A$2:$H$252,4,0)*J726,"")</f>
        <v>0</v>
      </c>
      <c r="L726" s="26">
        <f t="shared" si="14"/>
        <v>0</v>
      </c>
      <c r="M726" s="27"/>
      <c r="N726" s="30"/>
      <c r="O726" s="28"/>
      <c r="P726" s="28"/>
      <c r="Q726" s="28"/>
      <c r="R726" s="28"/>
      <c r="S726" s="28"/>
    </row>
    <row r="727">
      <c r="A727" s="17">
        <v>45590.0</v>
      </c>
      <c r="B727" s="18" t="s">
        <v>156</v>
      </c>
      <c r="C727" s="18" t="s">
        <v>19</v>
      </c>
      <c r="D727" s="19"/>
      <c r="E727" s="19"/>
      <c r="F727" s="20">
        <f t="shared" si="7"/>
        <v>0</v>
      </c>
      <c r="G727" s="21">
        <f>IFERROR(VLOOKUP(B727,DADOS!$A$2:$H$252,8,0),"")</f>
        <v>25</v>
      </c>
      <c r="H727" s="22">
        <v>6.0</v>
      </c>
      <c r="I727" s="23">
        <f>IFERROR(VLOOKUP(B727,DADOS!$A$2:$H$252,4,0)*H727,"")</f>
        <v>0.41088</v>
      </c>
      <c r="J727" s="36"/>
      <c r="K727" s="25">
        <f>IFERROR(VLOOKUP(B727,DADOS!$A$2:$H$252,4,0)*J727,"")</f>
        <v>0</v>
      </c>
      <c r="L727" s="26">
        <f t="shared" si="14"/>
        <v>0</v>
      </c>
      <c r="M727" s="27"/>
      <c r="N727" s="30"/>
      <c r="O727" s="28"/>
      <c r="P727" s="28"/>
      <c r="Q727" s="28"/>
      <c r="R727" s="28"/>
      <c r="S727" s="28"/>
    </row>
    <row r="728">
      <c r="A728" s="17">
        <v>45590.0</v>
      </c>
      <c r="B728" s="18" t="s">
        <v>27</v>
      </c>
      <c r="C728" s="18" t="s">
        <v>136</v>
      </c>
      <c r="D728" s="19"/>
      <c r="E728" s="19"/>
      <c r="F728" s="20">
        <f t="shared" si="7"/>
        <v>0</v>
      </c>
      <c r="G728" s="21">
        <f>IFERROR(VLOOKUP(B728,DADOS!$A$2:$H$252,8,0),"")</f>
        <v>30</v>
      </c>
      <c r="H728" s="22">
        <v>99.0</v>
      </c>
      <c r="I728" s="23">
        <f>IFERROR(VLOOKUP(B728,DADOS!$A$2:$H$252,4,0)*H728,"")</f>
        <v>1.69488</v>
      </c>
      <c r="J728" s="24">
        <v>19.0</v>
      </c>
      <c r="K728" s="25">
        <f>IFERROR(VLOOKUP(B728,DADOS!$A$2:$H$252,4,0)*J728,"")</f>
        <v>0.32528</v>
      </c>
      <c r="L728" s="26">
        <f t="shared" si="14"/>
        <v>0</v>
      </c>
      <c r="M728" s="27"/>
      <c r="N728" s="30"/>
      <c r="O728" s="28"/>
      <c r="P728" s="28"/>
      <c r="Q728" s="28"/>
      <c r="R728" s="28"/>
      <c r="S728" s="28"/>
    </row>
    <row r="729">
      <c r="A729" s="17">
        <v>45590.0</v>
      </c>
      <c r="B729" s="18" t="s">
        <v>99</v>
      </c>
      <c r="C729" s="18" t="s">
        <v>136</v>
      </c>
      <c r="D729" s="19"/>
      <c r="E729" s="19"/>
      <c r="F729" s="20">
        <f t="shared" si="7"/>
        <v>0</v>
      </c>
      <c r="G729" s="21">
        <f>IFERROR(VLOOKUP(B729,DADOS!$A$2:$H$252,8,0),"")</f>
        <v>26</v>
      </c>
      <c r="H729" s="22">
        <v>81.0</v>
      </c>
      <c r="I729" s="23">
        <f>IFERROR(VLOOKUP(B729,DADOS!$A$2:$H$252,4,0)*H729,"")</f>
        <v>7.62696</v>
      </c>
      <c r="J729" s="24">
        <v>6.0</v>
      </c>
      <c r="K729" s="25">
        <f>IFERROR(VLOOKUP(B729,DADOS!$A$2:$H$252,4,0)*J729,"")</f>
        <v>0.56496</v>
      </c>
      <c r="L729" s="26">
        <f t="shared" si="14"/>
        <v>0</v>
      </c>
      <c r="M729" s="27"/>
      <c r="N729" s="30"/>
      <c r="O729" s="28"/>
      <c r="P729" s="28"/>
      <c r="Q729" s="28"/>
      <c r="R729" s="28"/>
      <c r="S729" s="28"/>
    </row>
    <row r="730">
      <c r="A730" s="17">
        <v>45593.0</v>
      </c>
      <c r="B730" s="18" t="s">
        <v>47</v>
      </c>
      <c r="C730" s="18" t="s">
        <v>19</v>
      </c>
      <c r="D730" s="19"/>
      <c r="E730" s="19"/>
      <c r="F730" s="20">
        <f t="shared" si="7"/>
        <v>0</v>
      </c>
      <c r="G730" s="21">
        <f>IFERROR(VLOOKUP(B730,DADOS!$A$2:$H$252,8,0),"")</f>
        <v>35</v>
      </c>
      <c r="H730" s="22">
        <v>21.0</v>
      </c>
      <c r="I730" s="23">
        <f>IFERROR(VLOOKUP(B730,DADOS!$A$2:$H$252,4,0)*H730,"")</f>
        <v>2.3926056</v>
      </c>
      <c r="J730" s="36"/>
      <c r="K730" s="25">
        <f>IFERROR(VLOOKUP(B730,DADOS!$A$2:$H$252,4,0)*J730,"")</f>
        <v>0</v>
      </c>
      <c r="L730" s="26">
        <f t="shared" si="14"/>
        <v>0</v>
      </c>
      <c r="M730" s="27"/>
      <c r="N730" s="30"/>
      <c r="O730" s="28"/>
      <c r="P730" s="28"/>
      <c r="Q730" s="28"/>
      <c r="R730" s="28"/>
      <c r="S730" s="28"/>
    </row>
    <row r="731">
      <c r="A731" s="17">
        <v>45593.0</v>
      </c>
      <c r="B731" s="18" t="s">
        <v>54</v>
      </c>
      <c r="C731" s="18" t="s">
        <v>19</v>
      </c>
      <c r="D731" s="19"/>
      <c r="E731" s="19"/>
      <c r="F731" s="20">
        <f t="shared" si="7"/>
        <v>0</v>
      </c>
      <c r="G731" s="21" t="str">
        <f>IFERROR(VLOOKUP(B731,DADOS!$A$2:$H$252,8,0),"")</f>
        <v/>
      </c>
      <c r="H731" s="22">
        <v>32.0</v>
      </c>
      <c r="I731" s="23">
        <f>IFERROR(VLOOKUP(B731,DADOS!$A$2:$H$252,4,0)*H731,"")</f>
        <v>44.8769984</v>
      </c>
      <c r="J731" s="36"/>
      <c r="K731" s="25">
        <f>IFERROR(VLOOKUP(B731,DADOS!$A$2:$H$252,4,0)*J731,"")</f>
        <v>0</v>
      </c>
      <c r="L731" s="26">
        <f t="shared" si="14"/>
        <v>0</v>
      </c>
      <c r="M731" s="27"/>
      <c r="N731" s="30"/>
      <c r="O731" s="28"/>
      <c r="P731" s="28"/>
      <c r="Q731" s="28"/>
      <c r="R731" s="28"/>
      <c r="S731" s="28"/>
    </row>
    <row r="732">
      <c r="A732" s="17">
        <v>45593.0</v>
      </c>
      <c r="B732" s="18" t="s">
        <v>33</v>
      </c>
      <c r="C732" s="18" t="s">
        <v>19</v>
      </c>
      <c r="D732" s="19"/>
      <c r="E732" s="19"/>
      <c r="F732" s="20">
        <f t="shared" si="7"/>
        <v>0</v>
      </c>
      <c r="G732" s="21">
        <f>IFERROR(VLOOKUP(B732,DADOS!$A$2:$H$252,8,0),"")</f>
        <v>7</v>
      </c>
      <c r="H732" s="22">
        <v>17.0</v>
      </c>
      <c r="I732" s="23">
        <f>IFERROR(VLOOKUP(B732,DADOS!$A$2:$H$252,4,0)*H732,"")</f>
        <v>23.8409054</v>
      </c>
      <c r="J732" s="36"/>
      <c r="K732" s="25">
        <f>IFERROR(VLOOKUP(B732,DADOS!$A$2:$H$252,4,0)*J732,"")</f>
        <v>0</v>
      </c>
      <c r="L732" s="26">
        <f t="shared" si="14"/>
        <v>0</v>
      </c>
      <c r="M732" s="27"/>
      <c r="N732" s="30"/>
      <c r="O732" s="28"/>
      <c r="P732" s="28"/>
      <c r="Q732" s="28"/>
      <c r="R732" s="28"/>
      <c r="S732" s="28"/>
    </row>
    <row r="733">
      <c r="A733" s="17">
        <v>45593.0</v>
      </c>
      <c r="B733" s="18" t="s">
        <v>96</v>
      </c>
      <c r="C733" s="18" t="s">
        <v>136</v>
      </c>
      <c r="D733" s="19"/>
      <c r="E733" s="19"/>
      <c r="F733" s="20">
        <f t="shared" si="7"/>
        <v>0</v>
      </c>
      <c r="G733" s="21">
        <f>IFERROR(VLOOKUP(B733,DADOS!$A$2:$H$252,8,0),"")</f>
        <v>27</v>
      </c>
      <c r="H733" s="22">
        <v>50.0</v>
      </c>
      <c r="I733" s="23">
        <f>IFERROR(VLOOKUP(B733,DADOS!$A$2:$H$252,4,0)*H733,"")</f>
        <v>4.708</v>
      </c>
      <c r="J733" s="36"/>
      <c r="K733" s="25">
        <f>IFERROR(VLOOKUP(B733,DADOS!$A$2:$H$252,4,0)*J733,"")</f>
        <v>0</v>
      </c>
      <c r="L733" s="26">
        <f t="shared" si="14"/>
        <v>0</v>
      </c>
      <c r="M733" s="27"/>
      <c r="N733" s="30"/>
      <c r="O733" s="28"/>
      <c r="P733" s="28"/>
      <c r="Q733" s="28"/>
      <c r="R733" s="28"/>
      <c r="S733" s="28"/>
    </row>
    <row r="734">
      <c r="A734" s="17">
        <v>45593.0</v>
      </c>
      <c r="B734" s="18" t="s">
        <v>18</v>
      </c>
      <c r="C734" s="18" t="s">
        <v>136</v>
      </c>
      <c r="D734" s="19"/>
      <c r="E734" s="19"/>
      <c r="F734" s="20">
        <f t="shared" si="7"/>
        <v>0</v>
      </c>
      <c r="G734" s="21">
        <f>IFERROR(VLOOKUP(B734,DADOS!$A$2:$H$252,8,0),"")</f>
        <v>21</v>
      </c>
      <c r="H734" s="22">
        <v>49.0</v>
      </c>
      <c r="I734" s="23">
        <f>IFERROR(VLOOKUP(B734,DADOS!$A$2:$H$252,4,0)*H734,"")</f>
        <v>14.355334</v>
      </c>
      <c r="J734" s="24">
        <v>1.0</v>
      </c>
      <c r="K734" s="25">
        <f>IFERROR(VLOOKUP(B734,DADOS!$A$2:$H$252,4,0)*J734,"")</f>
        <v>0.292966</v>
      </c>
      <c r="L734" s="26">
        <f t="shared" si="14"/>
        <v>0</v>
      </c>
      <c r="M734" s="27"/>
      <c r="N734" s="30"/>
      <c r="O734" s="28"/>
      <c r="P734" s="28"/>
      <c r="Q734" s="28"/>
      <c r="R734" s="28"/>
      <c r="S734" s="28"/>
    </row>
    <row r="735">
      <c r="A735" s="17">
        <v>45594.0</v>
      </c>
      <c r="B735" s="18" t="s">
        <v>150</v>
      </c>
      <c r="C735" s="18" t="s">
        <v>19</v>
      </c>
      <c r="D735" s="19"/>
      <c r="E735" s="19"/>
      <c r="F735" s="20">
        <f t="shared" si="7"/>
        <v>0</v>
      </c>
      <c r="G735" s="21">
        <f>IFERROR(VLOOKUP(B735,DADOS!$A$2:$H$252,8,0),"")</f>
        <v>12</v>
      </c>
      <c r="H735" s="22">
        <v>17.0</v>
      </c>
      <c r="I735" s="23">
        <f>IFERROR(VLOOKUP(B735,DADOS!$A$2:$H$252,4,0)*H735,"")</f>
        <v>2.9173122</v>
      </c>
      <c r="J735" s="24">
        <v>3.0</v>
      </c>
      <c r="K735" s="25">
        <f>IFERROR(VLOOKUP(B735,DADOS!$A$2:$H$252,4,0)*J735,"")</f>
        <v>0.5148198</v>
      </c>
      <c r="L735" s="26">
        <f t="shared" si="14"/>
        <v>0</v>
      </c>
      <c r="M735" s="27"/>
      <c r="N735" s="30"/>
      <c r="O735" s="28"/>
      <c r="P735" s="28"/>
      <c r="Q735" s="28"/>
      <c r="R735" s="28"/>
      <c r="S735" s="28"/>
    </row>
    <row r="736">
      <c r="A736" s="17">
        <v>45594.0</v>
      </c>
      <c r="B736" s="18" t="s">
        <v>33</v>
      </c>
      <c r="C736" s="18" t="s">
        <v>19</v>
      </c>
      <c r="D736" s="19"/>
      <c r="E736" s="19"/>
      <c r="F736" s="20">
        <f t="shared" si="7"/>
        <v>0</v>
      </c>
      <c r="G736" s="21">
        <f>IFERROR(VLOOKUP(B736,DADOS!$A$2:$H$252,8,0),"")</f>
        <v>7</v>
      </c>
      <c r="H736" s="22">
        <v>17.0</v>
      </c>
      <c r="I736" s="23">
        <f>IFERROR(VLOOKUP(B736,DADOS!$A$2:$H$252,4,0)*H736,"")</f>
        <v>23.8409054</v>
      </c>
      <c r="J736" s="36"/>
      <c r="K736" s="25">
        <f>IFERROR(VLOOKUP(B736,DADOS!$A$2:$H$252,4,0)*J736,"")</f>
        <v>0</v>
      </c>
      <c r="L736" s="26">
        <f t="shared" si="14"/>
        <v>0</v>
      </c>
      <c r="M736" s="27"/>
      <c r="N736" s="30"/>
      <c r="O736" s="28"/>
      <c r="P736" s="28"/>
      <c r="Q736" s="28"/>
      <c r="R736" s="28"/>
      <c r="S736" s="28"/>
    </row>
    <row r="737">
      <c r="A737" s="17">
        <v>45594.0</v>
      </c>
      <c r="B737" s="18" t="s">
        <v>129</v>
      </c>
      <c r="C737" s="18" t="s">
        <v>19</v>
      </c>
      <c r="D737" s="19"/>
      <c r="E737" s="19"/>
      <c r="F737" s="20">
        <f t="shared" si="7"/>
        <v>0</v>
      </c>
      <c r="G737" s="21" t="str">
        <f>IFERROR(VLOOKUP(B737,DADOS!$A$2:$H$252,8,0),"")</f>
        <v/>
      </c>
      <c r="H737" s="22">
        <v>3.0</v>
      </c>
      <c r="I737" s="23">
        <f>IFERROR(VLOOKUP(B737,DADOS!$A$2:$H$252,4,0)*H737,"")</f>
        <v>4.4475834</v>
      </c>
      <c r="J737" s="24">
        <v>1.0</v>
      </c>
      <c r="K737" s="25">
        <f>IFERROR(VLOOKUP(B737,DADOS!$A$2:$H$252,4,0)*J737,"")</f>
        <v>1.4825278</v>
      </c>
      <c r="L737" s="26">
        <f t="shared" si="14"/>
        <v>0</v>
      </c>
      <c r="M737" s="27"/>
      <c r="N737" s="30"/>
      <c r="O737" s="28"/>
      <c r="P737" s="28"/>
      <c r="Q737" s="28"/>
      <c r="R737" s="28"/>
      <c r="S737" s="28"/>
    </row>
    <row r="738">
      <c r="A738" s="17">
        <v>45594.0</v>
      </c>
      <c r="B738" s="18" t="s">
        <v>130</v>
      </c>
      <c r="C738" s="18" t="s">
        <v>19</v>
      </c>
      <c r="D738" s="19"/>
      <c r="E738" s="19"/>
      <c r="F738" s="20">
        <f t="shared" si="7"/>
        <v>0</v>
      </c>
      <c r="G738" s="21" t="str">
        <f>IFERROR(VLOOKUP(B738,DADOS!$A$2:$H$252,8,0),"")</f>
        <v/>
      </c>
      <c r="H738" s="22">
        <v>3.0</v>
      </c>
      <c r="I738" s="23">
        <f>IFERROR(VLOOKUP(B738,DADOS!$A$2:$H$252,4,0)*H738,"")</f>
        <v>4.4475834</v>
      </c>
      <c r="J738" s="36"/>
      <c r="K738" s="25">
        <f>IFERROR(VLOOKUP(B738,DADOS!$A$2:$H$252,4,0)*J738,"")</f>
        <v>0</v>
      </c>
      <c r="L738" s="26">
        <f t="shared" si="14"/>
        <v>0</v>
      </c>
      <c r="M738" s="27"/>
      <c r="N738" s="30"/>
      <c r="O738" s="28"/>
      <c r="P738" s="28"/>
      <c r="Q738" s="28"/>
      <c r="R738" s="28"/>
      <c r="S738" s="28"/>
    </row>
    <row r="739">
      <c r="A739" s="17">
        <v>45594.0</v>
      </c>
      <c r="B739" s="18" t="s">
        <v>113</v>
      </c>
      <c r="C739" s="18" t="s">
        <v>19</v>
      </c>
      <c r="D739" s="19"/>
      <c r="E739" s="19"/>
      <c r="F739" s="20">
        <f t="shared" si="7"/>
        <v>0</v>
      </c>
      <c r="G739" s="21">
        <f>IFERROR(VLOOKUP(B739,DADOS!$A$2:$H$252,8,0),"")</f>
        <v>8</v>
      </c>
      <c r="H739" s="22">
        <v>21.0</v>
      </c>
      <c r="I739" s="23">
        <f>IFERROR(VLOOKUP(B739,DADOS!$A$2:$H$252,4,0)*H739,"")</f>
        <v>13.3669536</v>
      </c>
      <c r="J739" s="24">
        <v>1.0</v>
      </c>
      <c r="K739" s="25">
        <f>IFERROR(VLOOKUP(B739,DADOS!$A$2:$H$252,4,0)*J739,"")</f>
        <v>0.6365216</v>
      </c>
      <c r="L739" s="26">
        <f t="shared" si="14"/>
        <v>0</v>
      </c>
      <c r="M739" s="27"/>
      <c r="N739" s="30"/>
      <c r="O739" s="28"/>
      <c r="P739" s="28"/>
      <c r="Q739" s="28"/>
      <c r="R739" s="28"/>
      <c r="S739" s="28"/>
    </row>
    <row r="740">
      <c r="A740" s="17">
        <v>45594.0</v>
      </c>
      <c r="B740" s="18" t="s">
        <v>62</v>
      </c>
      <c r="C740" s="18" t="s">
        <v>19</v>
      </c>
      <c r="D740" s="19"/>
      <c r="E740" s="19"/>
      <c r="F740" s="20">
        <f t="shared" si="7"/>
        <v>0</v>
      </c>
      <c r="G740" s="21">
        <f>IFERROR(VLOOKUP(B740,DADOS!$A$2:$H$252,8,0),"")</f>
        <v>14</v>
      </c>
      <c r="H740" s="22">
        <v>11.0</v>
      </c>
      <c r="I740" s="23">
        <f>IFERROR(VLOOKUP(B740,DADOS!$A$2:$H$252,4,0)*H740,"")</f>
        <v>0.9347734</v>
      </c>
      <c r="J740" s="36"/>
      <c r="K740" s="25">
        <f>IFERROR(VLOOKUP(B740,DADOS!$A$2:$H$252,4,0)*J740,"")</f>
        <v>0</v>
      </c>
      <c r="L740" s="26">
        <f t="shared" si="14"/>
        <v>0</v>
      </c>
      <c r="M740" s="27"/>
      <c r="N740" s="30"/>
      <c r="O740" s="28"/>
      <c r="P740" s="28"/>
      <c r="Q740" s="28"/>
      <c r="R740" s="28"/>
      <c r="S740" s="28"/>
    </row>
    <row r="741">
      <c r="A741" s="17">
        <v>45594.0</v>
      </c>
      <c r="B741" s="18" t="s">
        <v>26</v>
      </c>
      <c r="C741" s="18" t="s">
        <v>19</v>
      </c>
      <c r="D741" s="19"/>
      <c r="E741" s="19"/>
      <c r="F741" s="20">
        <f t="shared" si="7"/>
        <v>0</v>
      </c>
      <c r="G741" s="21">
        <f>IFERROR(VLOOKUP(B741,DADOS!$A$2:$H$252,8,0),"")</f>
        <v>50</v>
      </c>
      <c r="H741" s="22">
        <v>3.0</v>
      </c>
      <c r="I741" s="23">
        <f>IFERROR(VLOOKUP(B741,DADOS!$A$2:$H$252,4,0)*H741,"")</f>
        <v>0.3418008</v>
      </c>
      <c r="J741" s="36"/>
      <c r="K741" s="25">
        <f>IFERROR(VLOOKUP(B741,DADOS!$A$2:$H$252,4,0)*J741,"")</f>
        <v>0</v>
      </c>
      <c r="L741" s="26">
        <f t="shared" si="14"/>
        <v>0</v>
      </c>
      <c r="M741" s="27"/>
      <c r="N741" s="30"/>
      <c r="O741" s="28"/>
      <c r="P741" s="28"/>
      <c r="Q741" s="28"/>
      <c r="R741" s="28"/>
      <c r="S741" s="28"/>
    </row>
    <row r="742">
      <c r="A742" s="17">
        <v>45594.0</v>
      </c>
      <c r="B742" s="18" t="s">
        <v>18</v>
      </c>
      <c r="C742" s="18" t="s">
        <v>136</v>
      </c>
      <c r="D742" s="19"/>
      <c r="E742" s="19"/>
      <c r="F742" s="20">
        <f t="shared" si="7"/>
        <v>0</v>
      </c>
      <c r="G742" s="21">
        <f>IFERROR(VLOOKUP(B742,DADOS!$A$2:$H$252,8,0),"")</f>
        <v>21</v>
      </c>
      <c r="H742" s="22">
        <v>37.0</v>
      </c>
      <c r="I742" s="23">
        <f>IFERROR(VLOOKUP(B742,DADOS!$A$2:$H$252,4,0)*H742,"")</f>
        <v>10.839742</v>
      </c>
      <c r="J742" s="24">
        <v>1.0</v>
      </c>
      <c r="K742" s="25">
        <f>IFERROR(VLOOKUP(B742,DADOS!$A$2:$H$252,4,0)*J742,"")</f>
        <v>0.292966</v>
      </c>
      <c r="L742" s="26">
        <f t="shared" si="14"/>
        <v>0</v>
      </c>
      <c r="M742" s="27"/>
      <c r="N742" s="30"/>
      <c r="O742" s="28"/>
      <c r="P742" s="28"/>
      <c r="Q742" s="28"/>
      <c r="R742" s="28"/>
      <c r="S742" s="28"/>
    </row>
    <row r="743">
      <c r="A743" s="17">
        <v>45594.0</v>
      </c>
      <c r="B743" s="18" t="s">
        <v>25</v>
      </c>
      <c r="C743" s="18" t="s">
        <v>136</v>
      </c>
      <c r="D743" s="19"/>
      <c r="E743" s="19"/>
      <c r="F743" s="20">
        <f t="shared" si="7"/>
        <v>0</v>
      </c>
      <c r="G743" s="21">
        <f>IFERROR(VLOOKUP(B743,DADOS!$A$2:$H$252,8,0),"")</f>
        <v>40</v>
      </c>
      <c r="H743" s="22">
        <v>65.0</v>
      </c>
      <c r="I743" s="23">
        <f>IFERROR(VLOOKUP(B743,DADOS!$A$2:$H$252,4,0)*H743,"")</f>
        <v>6.73244</v>
      </c>
      <c r="J743" s="24">
        <v>2.0</v>
      </c>
      <c r="K743" s="25">
        <f>IFERROR(VLOOKUP(B743,DADOS!$A$2:$H$252,4,0)*J743,"")</f>
        <v>0.207152</v>
      </c>
      <c r="L743" s="26">
        <f t="shared" si="14"/>
        <v>0</v>
      </c>
      <c r="M743" s="27"/>
      <c r="N743" s="30"/>
      <c r="O743" s="28"/>
      <c r="P743" s="28"/>
      <c r="Q743" s="28"/>
      <c r="R743" s="28"/>
      <c r="S743" s="28"/>
    </row>
    <row r="744">
      <c r="A744" s="17">
        <v>45595.0</v>
      </c>
      <c r="B744" s="18" t="s">
        <v>26</v>
      </c>
      <c r="C744" s="18" t="s">
        <v>19</v>
      </c>
      <c r="D744" s="19"/>
      <c r="E744" s="19"/>
      <c r="F744" s="20">
        <f t="shared" si="7"/>
        <v>0</v>
      </c>
      <c r="G744" s="21">
        <f>IFERROR(VLOOKUP(B744,DADOS!$A$2:$H$252,8,0),"")</f>
        <v>50</v>
      </c>
      <c r="H744" s="22">
        <v>30.0</v>
      </c>
      <c r="I744" s="23">
        <f>IFERROR(VLOOKUP(B744,DADOS!$A$2:$H$252,4,0)*H744,"")</f>
        <v>3.418008</v>
      </c>
      <c r="J744" s="36"/>
      <c r="K744" s="25">
        <f>IFERROR(VLOOKUP(B744,DADOS!$A$2:$H$252,4,0)*J744,"")</f>
        <v>0</v>
      </c>
      <c r="L744" s="26">
        <f t="shared" si="14"/>
        <v>0</v>
      </c>
      <c r="M744" s="27"/>
      <c r="N744" s="30"/>
      <c r="O744" s="28"/>
      <c r="P744" s="28"/>
      <c r="Q744" s="28"/>
      <c r="R744" s="28"/>
      <c r="S744" s="28"/>
    </row>
    <row r="745">
      <c r="A745" s="17">
        <v>45595.0</v>
      </c>
      <c r="B745" s="18" t="s">
        <v>62</v>
      </c>
      <c r="C745" s="18" t="s">
        <v>19</v>
      </c>
      <c r="D745" s="19"/>
      <c r="E745" s="19"/>
      <c r="F745" s="20">
        <f t="shared" si="7"/>
        <v>0</v>
      </c>
      <c r="G745" s="21">
        <f>IFERROR(VLOOKUP(B745,DADOS!$A$2:$H$252,8,0),"")</f>
        <v>14</v>
      </c>
      <c r="H745" s="22">
        <v>30.0</v>
      </c>
      <c r="I745" s="23">
        <f>IFERROR(VLOOKUP(B745,DADOS!$A$2:$H$252,4,0)*H745,"")</f>
        <v>2.549382</v>
      </c>
      <c r="J745" s="36"/>
      <c r="K745" s="25">
        <f>IFERROR(VLOOKUP(B745,DADOS!$A$2:$H$252,4,0)*J745,"")</f>
        <v>0</v>
      </c>
      <c r="L745" s="26">
        <f t="shared" si="14"/>
        <v>0</v>
      </c>
      <c r="M745" s="27"/>
      <c r="N745" s="30"/>
      <c r="O745" s="28"/>
      <c r="P745" s="28"/>
      <c r="Q745" s="28"/>
      <c r="R745" s="28"/>
      <c r="S745" s="28"/>
    </row>
    <row r="746">
      <c r="A746" s="17">
        <v>45595.0</v>
      </c>
      <c r="B746" s="18" t="s">
        <v>93</v>
      </c>
      <c r="C746" s="18" t="s">
        <v>19</v>
      </c>
      <c r="D746" s="19"/>
      <c r="E746" s="19"/>
      <c r="F746" s="20">
        <f t="shared" si="7"/>
        <v>0</v>
      </c>
      <c r="G746" s="21" t="str">
        <f>IFERROR(VLOOKUP(B746,DADOS!$A$2:$H$252,8,0),"")</f>
        <v/>
      </c>
      <c r="H746" s="22">
        <v>20.0</v>
      </c>
      <c r="I746" s="23" t="str">
        <f>IFERROR(VLOOKUP(B746,DADOS!$A$2:$H$252,4,0)*H746,"")</f>
        <v/>
      </c>
      <c r="J746" s="36"/>
      <c r="K746" s="25" t="str">
        <f>IFERROR(VLOOKUP(B746,DADOS!$A$2:$H$252,4,0)*J746,"")</f>
        <v/>
      </c>
      <c r="L746" s="26" t="str">
        <f t="shared" si="14"/>
        <v/>
      </c>
      <c r="M746" s="27"/>
      <c r="N746" s="30"/>
      <c r="O746" s="28"/>
      <c r="P746" s="28"/>
      <c r="Q746" s="28"/>
      <c r="R746" s="28"/>
      <c r="S746" s="28"/>
    </row>
    <row r="747">
      <c r="A747" s="17">
        <v>45595.0</v>
      </c>
      <c r="B747" s="18" t="s">
        <v>156</v>
      </c>
      <c r="C747" s="18" t="s">
        <v>136</v>
      </c>
      <c r="D747" s="19"/>
      <c r="E747" s="19"/>
      <c r="F747" s="20">
        <f t="shared" si="7"/>
        <v>0</v>
      </c>
      <c r="G747" s="21">
        <f>IFERROR(VLOOKUP(B747,DADOS!$A$2:$H$252,8,0),"")</f>
        <v>25</v>
      </c>
      <c r="H747" s="22">
        <v>24.0</v>
      </c>
      <c r="I747" s="23">
        <f>IFERROR(VLOOKUP(B747,DADOS!$A$2:$H$252,4,0)*H747,"")</f>
        <v>1.64352</v>
      </c>
      <c r="J747" s="24">
        <v>1.0</v>
      </c>
      <c r="K747" s="25">
        <f>IFERROR(VLOOKUP(B747,DADOS!$A$2:$H$252,4,0)*J747,"")</f>
        <v>0.06848</v>
      </c>
      <c r="L747" s="26">
        <f t="shared" si="14"/>
        <v>0</v>
      </c>
      <c r="M747" s="27"/>
      <c r="N747" s="30"/>
      <c r="O747" s="28"/>
      <c r="P747" s="28"/>
      <c r="Q747" s="28"/>
      <c r="R747" s="28"/>
      <c r="S747" s="28"/>
    </row>
    <row r="748">
      <c r="A748" s="17">
        <v>45595.0</v>
      </c>
      <c r="B748" s="18" t="s">
        <v>157</v>
      </c>
      <c r="C748" s="18" t="s">
        <v>136</v>
      </c>
      <c r="D748" s="19"/>
      <c r="E748" s="19"/>
      <c r="F748" s="20">
        <f t="shared" si="7"/>
        <v>0</v>
      </c>
      <c r="G748" s="21">
        <f>IFERROR(VLOOKUP(B748,DADOS!$A$2:$H$252,8,0),"")</f>
        <v>37</v>
      </c>
      <c r="H748" s="22">
        <v>20.0</v>
      </c>
      <c r="I748" s="23">
        <f>IFERROR(VLOOKUP(B748,DADOS!$A$2:$H$252,4,0)*H748,"")</f>
        <v>2.278672</v>
      </c>
      <c r="J748" s="36"/>
      <c r="K748" s="25">
        <f>IFERROR(VLOOKUP(B748,DADOS!$A$2:$H$252,4,0)*J748,"")</f>
        <v>0</v>
      </c>
      <c r="L748" s="26">
        <f t="shared" si="14"/>
        <v>0</v>
      </c>
      <c r="M748" s="27"/>
      <c r="N748" s="30"/>
      <c r="O748" s="28"/>
      <c r="P748" s="28"/>
      <c r="Q748" s="28"/>
      <c r="R748" s="28"/>
      <c r="S748" s="28"/>
    </row>
    <row r="749">
      <c r="A749" s="17">
        <v>45595.0</v>
      </c>
      <c r="B749" s="18" t="s">
        <v>93</v>
      </c>
      <c r="C749" s="18" t="s">
        <v>136</v>
      </c>
      <c r="D749" s="19"/>
      <c r="E749" s="19"/>
      <c r="F749" s="20">
        <f t="shared" si="7"/>
        <v>0</v>
      </c>
      <c r="G749" s="21" t="str">
        <f>IFERROR(VLOOKUP(B749,DADOS!$A$2:$H$252,8,0),"")</f>
        <v/>
      </c>
      <c r="H749" s="22">
        <v>30.0</v>
      </c>
      <c r="I749" s="23" t="str">
        <f>IFERROR(VLOOKUP(B749,DADOS!$A$2:$H$252,4,0)*H749,"")</f>
        <v/>
      </c>
      <c r="J749" s="36"/>
      <c r="K749" s="25" t="str">
        <f>IFERROR(VLOOKUP(B749,DADOS!$A$2:$H$252,4,0)*J749,"")</f>
        <v/>
      </c>
      <c r="L749" s="26" t="str">
        <f t="shared" si="14"/>
        <v/>
      </c>
      <c r="M749" s="27"/>
      <c r="N749" s="30"/>
      <c r="O749" s="28"/>
      <c r="P749" s="28"/>
      <c r="Q749" s="28"/>
      <c r="R749" s="28"/>
      <c r="S749" s="28"/>
    </row>
    <row r="750">
      <c r="A750" s="17">
        <v>45595.0</v>
      </c>
      <c r="B750" s="18" t="s">
        <v>56</v>
      </c>
      <c r="C750" s="18" t="s">
        <v>136</v>
      </c>
      <c r="D750" s="19"/>
      <c r="E750" s="19"/>
      <c r="F750" s="20">
        <f t="shared" si="7"/>
        <v>0</v>
      </c>
      <c r="G750" s="21">
        <f>IFERROR(VLOOKUP(B750,DADOS!$A$2:$H$252,8,0),"")</f>
        <v>162</v>
      </c>
      <c r="H750" s="22">
        <v>67.0</v>
      </c>
      <c r="I750" s="23">
        <f>IFERROR(VLOOKUP(B750,DADOS!$A$2:$H$252,4,0)*H750,"")</f>
        <v>0.64521</v>
      </c>
      <c r="J750" s="36"/>
      <c r="K750" s="25">
        <f>IFERROR(VLOOKUP(B750,DADOS!$A$2:$H$252,4,0)*J750,"")</f>
        <v>0</v>
      </c>
      <c r="L750" s="26">
        <f t="shared" si="14"/>
        <v>0</v>
      </c>
      <c r="M750" s="27"/>
      <c r="N750" s="30"/>
      <c r="O750" s="28"/>
      <c r="P750" s="28"/>
      <c r="Q750" s="28"/>
      <c r="R750" s="28"/>
      <c r="S750" s="28"/>
    </row>
    <row r="751">
      <c r="A751" s="17">
        <v>45596.0</v>
      </c>
      <c r="B751" s="18" t="s">
        <v>93</v>
      </c>
      <c r="C751" s="18" t="s">
        <v>136</v>
      </c>
      <c r="D751" s="19"/>
      <c r="E751" s="19"/>
      <c r="F751" s="20">
        <f t="shared" si="7"/>
        <v>0</v>
      </c>
      <c r="G751" s="21" t="str">
        <f>IFERROR(VLOOKUP(B751,DADOS!$A$2:$H$252,8,0),"")</f>
        <v/>
      </c>
      <c r="H751" s="22">
        <v>70.0</v>
      </c>
      <c r="I751" s="23" t="str">
        <f>IFERROR(VLOOKUP(B751,DADOS!$A$2:$H$252,4,0)*H751,"")</f>
        <v/>
      </c>
      <c r="J751" s="36"/>
      <c r="K751" s="25" t="str">
        <f>IFERROR(VLOOKUP(B751,DADOS!$A$2:$H$252,4,0)*J751,"")</f>
        <v/>
      </c>
      <c r="L751" s="26" t="str">
        <f t="shared" si="14"/>
        <v/>
      </c>
      <c r="M751" s="27"/>
      <c r="N751" s="30"/>
      <c r="O751" s="28"/>
      <c r="P751" s="28"/>
      <c r="Q751" s="28"/>
      <c r="R751" s="28"/>
      <c r="S751" s="28"/>
    </row>
    <row r="752">
      <c r="A752" s="17">
        <v>45597.0</v>
      </c>
      <c r="B752" s="18" t="s">
        <v>26</v>
      </c>
      <c r="C752" s="18" t="s">
        <v>19</v>
      </c>
      <c r="D752" s="19"/>
      <c r="E752" s="19"/>
      <c r="F752" s="20">
        <f t="shared" si="7"/>
        <v>0</v>
      </c>
      <c r="G752" s="21">
        <f>IFERROR(VLOOKUP(B752,DADOS!$A$2:$H$252,8,0),"")</f>
        <v>50</v>
      </c>
      <c r="H752" s="22">
        <v>32.0</v>
      </c>
      <c r="I752" s="23">
        <f>IFERROR(VLOOKUP(B752,DADOS!$A$2:$H$252,4,0)*H752,"")</f>
        <v>3.6458752</v>
      </c>
      <c r="J752" s="36"/>
      <c r="K752" s="25">
        <f>IFERROR(VLOOKUP(B752,DADOS!$A$2:$H$252,4,0)*J752,"")</f>
        <v>0</v>
      </c>
      <c r="L752" s="26">
        <f t="shared" si="14"/>
        <v>0</v>
      </c>
      <c r="M752" s="27"/>
      <c r="N752" s="30"/>
      <c r="O752" s="28"/>
      <c r="P752" s="28"/>
      <c r="Q752" s="28"/>
      <c r="R752" s="28"/>
      <c r="S752" s="28"/>
    </row>
    <row r="753">
      <c r="A753" s="17">
        <v>45597.0</v>
      </c>
      <c r="B753" s="18" t="s">
        <v>58</v>
      </c>
      <c r="C753" s="18" t="s">
        <v>136</v>
      </c>
      <c r="D753" s="19"/>
      <c r="E753" s="19"/>
      <c r="F753" s="20">
        <f t="shared" si="7"/>
        <v>0</v>
      </c>
      <c r="G753" s="21">
        <f>IFERROR(VLOOKUP(B753,DADOS!$A$2:$H$252,8,0),"")</f>
        <v>31</v>
      </c>
      <c r="H753" s="22">
        <v>28.0</v>
      </c>
      <c r="I753" s="23">
        <f>IFERROR(VLOOKUP(B753,DADOS!$A$2:$H$252,4,0)*H753,"")</f>
        <v>3.1901408</v>
      </c>
      <c r="J753" s="24">
        <v>1.0</v>
      </c>
      <c r="K753" s="25">
        <f>IFERROR(VLOOKUP(B753,DADOS!$A$2:$H$252,4,0)*J753,"")</f>
        <v>0.1139336</v>
      </c>
      <c r="L753" s="26">
        <f t="shared" si="14"/>
        <v>0</v>
      </c>
      <c r="M753" s="27"/>
      <c r="N753" s="30"/>
      <c r="O753" s="28"/>
      <c r="P753" s="28"/>
      <c r="Q753" s="28"/>
      <c r="R753" s="28"/>
      <c r="S753" s="28"/>
    </row>
    <row r="754">
      <c r="A754" s="17">
        <v>45600.0</v>
      </c>
      <c r="B754" s="18" t="s">
        <v>54</v>
      </c>
      <c r="C754" s="18" t="s">
        <v>19</v>
      </c>
      <c r="D754" s="19"/>
      <c r="E754" s="19"/>
      <c r="F754" s="20">
        <f t="shared" si="7"/>
        <v>0</v>
      </c>
      <c r="G754" s="21" t="str">
        <f>IFERROR(VLOOKUP(B754,DADOS!$A$2:$H$252,8,0),"")</f>
        <v/>
      </c>
      <c r="H754" s="22">
        <v>9.0</v>
      </c>
      <c r="I754" s="23">
        <f>IFERROR(VLOOKUP(B754,DADOS!$A$2:$H$252,4,0)*H754,"")</f>
        <v>12.6216558</v>
      </c>
      <c r="J754" s="36"/>
      <c r="K754" s="25">
        <f>IFERROR(VLOOKUP(B754,DADOS!$A$2:$H$252,4,0)*J754,"")</f>
        <v>0</v>
      </c>
      <c r="L754" s="26">
        <f t="shared" si="14"/>
        <v>0</v>
      </c>
      <c r="M754" s="27"/>
      <c r="N754" s="30"/>
      <c r="O754" s="28"/>
      <c r="P754" s="28"/>
      <c r="Q754" s="28"/>
      <c r="R754" s="28"/>
      <c r="S754" s="28"/>
    </row>
    <row r="755">
      <c r="A755" s="17">
        <v>45600.0</v>
      </c>
      <c r="B755" s="18" t="s">
        <v>33</v>
      </c>
      <c r="C755" s="18" t="s">
        <v>19</v>
      </c>
      <c r="D755" s="19"/>
      <c r="E755" s="19"/>
      <c r="F755" s="20">
        <f t="shared" si="7"/>
        <v>0</v>
      </c>
      <c r="G755" s="21">
        <f>IFERROR(VLOOKUP(B755,DADOS!$A$2:$H$252,8,0),"")</f>
        <v>7</v>
      </c>
      <c r="H755" s="22">
        <v>9.0</v>
      </c>
      <c r="I755" s="23">
        <f>IFERROR(VLOOKUP(B755,DADOS!$A$2:$H$252,4,0)*H755,"")</f>
        <v>12.6216558</v>
      </c>
      <c r="J755" s="36"/>
      <c r="K755" s="25">
        <f>IFERROR(VLOOKUP(B755,DADOS!$A$2:$H$252,4,0)*J755,"")</f>
        <v>0</v>
      </c>
      <c r="L755" s="26">
        <f t="shared" si="14"/>
        <v>0</v>
      </c>
      <c r="M755" s="27"/>
      <c r="N755" s="30"/>
      <c r="O755" s="28"/>
      <c r="P755" s="28"/>
      <c r="Q755" s="28"/>
      <c r="R755" s="28"/>
      <c r="S755" s="28"/>
    </row>
    <row r="756">
      <c r="A756" s="17">
        <v>45600.0</v>
      </c>
      <c r="B756" s="18" t="s">
        <v>133</v>
      </c>
      <c r="C756" s="18" t="s">
        <v>19</v>
      </c>
      <c r="D756" s="19"/>
      <c r="E756" s="19"/>
      <c r="F756" s="20">
        <f t="shared" si="7"/>
        <v>0</v>
      </c>
      <c r="G756" s="21">
        <f>IFERROR(VLOOKUP(B756,DADOS!$A$2:$H$252,8,0),"")</f>
        <v>20</v>
      </c>
      <c r="H756" s="22">
        <v>29.0</v>
      </c>
      <c r="I756" s="23">
        <f>IFERROR(VLOOKUP(B756,DADOS!$A$2:$H$252,4,0)*H756,"")</f>
        <v>2.240366</v>
      </c>
      <c r="J756" s="24">
        <v>7.0</v>
      </c>
      <c r="K756" s="25">
        <f>IFERROR(VLOOKUP(B756,DADOS!$A$2:$H$252,4,0)*J756,"")</f>
        <v>0.540778</v>
      </c>
      <c r="L756" s="26">
        <f t="shared" si="14"/>
        <v>0</v>
      </c>
      <c r="M756" s="27"/>
      <c r="N756" s="30"/>
      <c r="O756" s="28"/>
      <c r="P756" s="28"/>
      <c r="Q756" s="28"/>
      <c r="R756" s="28"/>
      <c r="S756" s="28"/>
    </row>
    <row r="757">
      <c r="A757" s="17">
        <v>45600.0</v>
      </c>
      <c r="B757" s="18" t="s">
        <v>122</v>
      </c>
      <c r="C757" s="18" t="s">
        <v>19</v>
      </c>
      <c r="D757" s="19"/>
      <c r="E757" s="19"/>
      <c r="F757" s="20">
        <f t="shared" si="7"/>
        <v>0</v>
      </c>
      <c r="G757" s="21">
        <f>IFERROR(VLOOKUP(B757,DADOS!$A$2:$H$252,8,0),"")</f>
        <v>17</v>
      </c>
      <c r="H757" s="22">
        <v>10.0</v>
      </c>
      <c r="I757" s="23">
        <f>IFERROR(VLOOKUP(B757,DADOS!$A$2:$H$252,4,0)*H757,"")</f>
        <v>1.716066</v>
      </c>
      <c r="J757" s="24">
        <v>2.0</v>
      </c>
      <c r="K757" s="25">
        <f>IFERROR(VLOOKUP(B757,DADOS!$A$2:$H$252,4,0)*J757,"")</f>
        <v>0.3432132</v>
      </c>
      <c r="L757" s="26">
        <f t="shared" si="14"/>
        <v>0</v>
      </c>
      <c r="M757" s="27"/>
      <c r="N757" s="30"/>
      <c r="O757" s="28"/>
      <c r="P757" s="28"/>
      <c r="Q757" s="28"/>
      <c r="R757" s="28"/>
      <c r="S757" s="28"/>
    </row>
    <row r="758">
      <c r="A758" s="17">
        <v>45600.0</v>
      </c>
      <c r="B758" s="18" t="s">
        <v>58</v>
      </c>
      <c r="C758" s="18" t="s">
        <v>19</v>
      </c>
      <c r="D758" s="19"/>
      <c r="E758" s="19"/>
      <c r="F758" s="20">
        <f t="shared" si="7"/>
        <v>0</v>
      </c>
      <c r="G758" s="21">
        <f>IFERROR(VLOOKUP(B758,DADOS!$A$2:$H$252,8,0),"")</f>
        <v>31</v>
      </c>
      <c r="H758" s="22">
        <v>79.0</v>
      </c>
      <c r="I758" s="23">
        <f>IFERROR(VLOOKUP(B758,DADOS!$A$2:$H$252,4,0)*H758,"")</f>
        <v>9.0007544</v>
      </c>
      <c r="J758" s="24">
        <v>2.0</v>
      </c>
      <c r="K758" s="25">
        <f>IFERROR(VLOOKUP(B758,DADOS!$A$2:$H$252,4,0)*J758,"")</f>
        <v>0.2278672</v>
      </c>
      <c r="L758" s="26">
        <f t="shared" si="14"/>
        <v>0</v>
      </c>
      <c r="M758" s="27"/>
      <c r="N758" s="30"/>
      <c r="O758" s="28"/>
      <c r="P758" s="28"/>
      <c r="Q758" s="28"/>
      <c r="R758" s="28"/>
      <c r="S758" s="28"/>
    </row>
    <row r="759">
      <c r="A759" s="17">
        <v>45600.0</v>
      </c>
      <c r="B759" s="18" t="s">
        <v>22</v>
      </c>
      <c r="C759" s="18" t="s">
        <v>19</v>
      </c>
      <c r="D759" s="19"/>
      <c r="E759" s="19"/>
      <c r="F759" s="20">
        <f t="shared" si="7"/>
        <v>0</v>
      </c>
      <c r="G759" s="21">
        <f>IFERROR(VLOOKUP(B759,DADOS!$A$2:$H$252,8,0),"")</f>
        <v>15</v>
      </c>
      <c r="H759" s="22">
        <v>11.0</v>
      </c>
      <c r="I759" s="23">
        <f>IFERROR(VLOOKUP(B759,DADOS!$A$2:$H$252,4,0)*H759,"")</f>
        <v>6.7350294</v>
      </c>
      <c r="J759" s="36"/>
      <c r="K759" s="25">
        <f>IFERROR(VLOOKUP(B759,DADOS!$A$2:$H$252,4,0)*J759,"")</f>
        <v>0</v>
      </c>
      <c r="L759" s="26">
        <f t="shared" si="14"/>
        <v>0</v>
      </c>
      <c r="M759" s="27"/>
      <c r="N759" s="30"/>
      <c r="O759" s="28"/>
      <c r="P759" s="28"/>
      <c r="Q759" s="28"/>
      <c r="R759" s="28"/>
      <c r="S759" s="28"/>
    </row>
    <row r="760">
      <c r="A760" s="17">
        <v>45601.0</v>
      </c>
      <c r="B760" s="18" t="s">
        <v>25</v>
      </c>
      <c r="C760" s="18" t="s">
        <v>19</v>
      </c>
      <c r="D760" s="19"/>
      <c r="E760" s="19"/>
      <c r="F760" s="20">
        <f t="shared" si="7"/>
        <v>0</v>
      </c>
      <c r="G760" s="21">
        <f>IFERROR(VLOOKUP(B760,DADOS!$A$2:$H$252,8,0),"")</f>
        <v>40</v>
      </c>
      <c r="H760" s="22">
        <v>15.0</v>
      </c>
      <c r="I760" s="23">
        <f>IFERROR(VLOOKUP(B760,DADOS!$A$2:$H$252,4,0)*H760,"")</f>
        <v>1.55364</v>
      </c>
      <c r="J760" s="36"/>
      <c r="K760" s="25">
        <f>IFERROR(VLOOKUP(B760,DADOS!$A$2:$H$252,4,0)*J760,"")</f>
        <v>0</v>
      </c>
      <c r="L760" s="26">
        <f t="shared" si="14"/>
        <v>0</v>
      </c>
      <c r="M760" s="27"/>
      <c r="N760" s="30"/>
      <c r="O760" s="28"/>
      <c r="P760" s="28"/>
      <c r="Q760" s="28"/>
      <c r="R760" s="28"/>
      <c r="S760" s="28"/>
    </row>
    <row r="761">
      <c r="A761" s="17">
        <v>45601.0</v>
      </c>
      <c r="B761" s="18" t="s">
        <v>22</v>
      </c>
      <c r="C761" s="18" t="s">
        <v>19</v>
      </c>
      <c r="D761" s="19"/>
      <c r="E761" s="19"/>
      <c r="F761" s="20">
        <f t="shared" si="7"/>
        <v>0</v>
      </c>
      <c r="G761" s="21">
        <f>IFERROR(VLOOKUP(B761,DADOS!$A$2:$H$252,8,0),"")</f>
        <v>15</v>
      </c>
      <c r="H761" s="22">
        <v>27.0</v>
      </c>
      <c r="I761" s="23">
        <f>IFERROR(VLOOKUP(B761,DADOS!$A$2:$H$252,4,0)*H761,"")</f>
        <v>16.5314358</v>
      </c>
      <c r="J761" s="24">
        <v>1.0</v>
      </c>
      <c r="K761" s="25">
        <f>IFERROR(VLOOKUP(B761,DADOS!$A$2:$H$252,4,0)*J761,"")</f>
        <v>0.6122754</v>
      </c>
      <c r="L761" s="26">
        <f t="shared" si="14"/>
        <v>0</v>
      </c>
      <c r="M761" s="27"/>
      <c r="N761" s="30"/>
      <c r="O761" s="28"/>
      <c r="P761" s="28"/>
      <c r="Q761" s="28"/>
      <c r="R761" s="28"/>
      <c r="S761" s="28"/>
    </row>
    <row r="762">
      <c r="A762" s="17">
        <v>45601.0</v>
      </c>
      <c r="B762" s="18" t="s">
        <v>122</v>
      </c>
      <c r="C762" s="18" t="s">
        <v>19</v>
      </c>
      <c r="D762" s="19"/>
      <c r="E762" s="19"/>
      <c r="F762" s="20">
        <f t="shared" si="7"/>
        <v>0</v>
      </c>
      <c r="G762" s="21">
        <f>IFERROR(VLOOKUP(B762,DADOS!$A$2:$H$252,8,0),"")</f>
        <v>17</v>
      </c>
      <c r="H762" s="22">
        <v>10.0</v>
      </c>
      <c r="I762" s="23">
        <f>IFERROR(VLOOKUP(B762,DADOS!$A$2:$H$252,4,0)*H762,"")</f>
        <v>1.716066</v>
      </c>
      <c r="J762" s="36"/>
      <c r="K762" s="25">
        <f>IFERROR(VLOOKUP(B762,DADOS!$A$2:$H$252,4,0)*J762,"")</f>
        <v>0</v>
      </c>
      <c r="L762" s="26">
        <f t="shared" si="14"/>
        <v>0</v>
      </c>
      <c r="M762" s="27"/>
      <c r="N762" s="30"/>
      <c r="O762" s="28"/>
      <c r="P762" s="28"/>
      <c r="Q762" s="28"/>
      <c r="R762" s="28"/>
      <c r="S762" s="28"/>
    </row>
    <row r="763">
      <c r="A763" s="17">
        <v>45602.0</v>
      </c>
      <c r="B763" s="18" t="s">
        <v>62</v>
      </c>
      <c r="C763" s="18" t="s">
        <v>19</v>
      </c>
      <c r="D763" s="19"/>
      <c r="E763" s="19"/>
      <c r="F763" s="20">
        <f t="shared" si="7"/>
        <v>0</v>
      </c>
      <c r="G763" s="21">
        <f>IFERROR(VLOOKUP(B763,DADOS!$A$2:$H$252,8,0),"")</f>
        <v>14</v>
      </c>
      <c r="H763" s="22">
        <v>71.0</v>
      </c>
      <c r="I763" s="23">
        <f>IFERROR(VLOOKUP(B763,DADOS!$A$2:$H$252,4,0)*H763,"")</f>
        <v>6.0335374</v>
      </c>
      <c r="J763" s="24">
        <v>1.0</v>
      </c>
      <c r="K763" s="25">
        <f>IFERROR(VLOOKUP(B763,DADOS!$A$2:$H$252,4,0)*J763,"")</f>
        <v>0.0849794</v>
      </c>
      <c r="L763" s="26">
        <f t="shared" si="14"/>
        <v>0</v>
      </c>
      <c r="M763" s="27"/>
      <c r="N763" s="30"/>
      <c r="O763" s="28"/>
      <c r="P763" s="28"/>
      <c r="Q763" s="28"/>
      <c r="R763" s="28"/>
      <c r="S763" s="28"/>
    </row>
    <row r="764">
      <c r="A764" s="17">
        <v>45602.0</v>
      </c>
      <c r="B764" s="18" t="s">
        <v>75</v>
      </c>
      <c r="C764" s="18" t="s">
        <v>19</v>
      </c>
      <c r="D764" s="19"/>
      <c r="E764" s="19"/>
      <c r="F764" s="20">
        <f t="shared" si="7"/>
        <v>0</v>
      </c>
      <c r="G764" s="21">
        <f>IFERROR(VLOOKUP(B764,DADOS!$A$2:$H$252,8,0),"")</f>
        <v>23</v>
      </c>
      <c r="H764" s="22">
        <v>98.0</v>
      </c>
      <c r="I764" s="23">
        <f>IFERROR(VLOOKUP(B764,DADOS!$A$2:$H$252,4,0)*H764,"")</f>
        <v>11.1654928</v>
      </c>
      <c r="J764" s="24">
        <v>2.0</v>
      </c>
      <c r="K764" s="25">
        <f>IFERROR(VLOOKUP(B764,DADOS!$A$2:$H$252,4,0)*J764,"")</f>
        <v>0.2278672</v>
      </c>
      <c r="L764" s="26">
        <f t="shared" si="14"/>
        <v>0</v>
      </c>
      <c r="M764" s="27"/>
      <c r="N764" s="30"/>
      <c r="O764" s="28"/>
      <c r="P764" s="28"/>
      <c r="Q764" s="28"/>
      <c r="R764" s="28"/>
      <c r="S764" s="28"/>
    </row>
    <row r="765">
      <c r="A765" s="17">
        <v>45602.0</v>
      </c>
      <c r="B765" s="18" t="s">
        <v>26</v>
      </c>
      <c r="C765" s="18" t="s">
        <v>19</v>
      </c>
      <c r="D765" s="19"/>
      <c r="E765" s="19"/>
      <c r="F765" s="20">
        <f t="shared" si="7"/>
        <v>0</v>
      </c>
      <c r="G765" s="21">
        <f>IFERROR(VLOOKUP(B765,DADOS!$A$2:$H$252,8,0),"")</f>
        <v>50</v>
      </c>
      <c r="H765" s="22">
        <v>15.0</v>
      </c>
      <c r="I765" s="23">
        <f>IFERROR(VLOOKUP(B765,DADOS!$A$2:$H$252,4,0)*H765,"")</f>
        <v>1.709004</v>
      </c>
      <c r="J765" s="36"/>
      <c r="K765" s="25">
        <f>IFERROR(VLOOKUP(B765,DADOS!$A$2:$H$252,4,0)*J765,"")</f>
        <v>0</v>
      </c>
      <c r="L765" s="26">
        <f t="shared" si="14"/>
        <v>0</v>
      </c>
      <c r="M765" s="27"/>
      <c r="N765" s="30"/>
      <c r="O765" s="28"/>
      <c r="P765" s="28"/>
      <c r="Q765" s="28"/>
      <c r="R765" s="28"/>
      <c r="S765" s="28"/>
    </row>
    <row r="766">
      <c r="A766" s="17">
        <v>45602.0</v>
      </c>
      <c r="B766" s="18" t="s">
        <v>59</v>
      </c>
      <c r="C766" s="18" t="s">
        <v>136</v>
      </c>
      <c r="D766" s="19"/>
      <c r="E766" s="19"/>
      <c r="F766" s="20">
        <f t="shared" si="7"/>
        <v>0</v>
      </c>
      <c r="G766" s="21">
        <f>IFERROR(VLOOKUP(B766,DADOS!$A$2:$H$252,8,0),"")</f>
        <v>50</v>
      </c>
      <c r="H766" s="22">
        <v>160.0</v>
      </c>
      <c r="I766" s="23">
        <f>IFERROR(VLOOKUP(B766,DADOS!$A$2:$H$252,4,0)*H766,"")</f>
        <v>2.7392</v>
      </c>
      <c r="J766" s="24">
        <v>5.0</v>
      </c>
      <c r="K766" s="25">
        <f>IFERROR(VLOOKUP(B766,DADOS!$A$2:$H$252,4,0)*J766,"")</f>
        <v>0.0856</v>
      </c>
      <c r="L766" s="26">
        <f t="shared" si="14"/>
        <v>0</v>
      </c>
      <c r="M766" s="27"/>
      <c r="N766" s="30"/>
      <c r="O766" s="28"/>
      <c r="P766" s="28"/>
      <c r="Q766" s="28"/>
      <c r="R766" s="28"/>
      <c r="S766" s="28"/>
    </row>
    <row r="767">
      <c r="A767" s="17">
        <v>45602.0</v>
      </c>
      <c r="B767" s="18" t="s">
        <v>59</v>
      </c>
      <c r="C767" s="18" t="s">
        <v>136</v>
      </c>
      <c r="D767" s="19"/>
      <c r="E767" s="19"/>
      <c r="F767" s="20">
        <f t="shared" si="7"/>
        <v>0</v>
      </c>
      <c r="G767" s="21">
        <f>IFERROR(VLOOKUP(B767,DADOS!$A$2:$H$252,8,0),"")</f>
        <v>50</v>
      </c>
      <c r="H767" s="22">
        <v>160.0</v>
      </c>
      <c r="I767" s="23">
        <f>IFERROR(VLOOKUP(B767,DADOS!$A$2:$H$252,4,0)*H767,"")</f>
        <v>2.7392</v>
      </c>
      <c r="J767" s="24">
        <v>5.0</v>
      </c>
      <c r="K767" s="25">
        <f>IFERROR(VLOOKUP(B767,DADOS!$A$2:$H$252,4,0)*J767,"")</f>
        <v>0.0856</v>
      </c>
      <c r="L767" s="26">
        <f t="shared" si="14"/>
        <v>0</v>
      </c>
      <c r="M767" s="27"/>
      <c r="N767" s="30"/>
      <c r="O767" s="28"/>
      <c r="P767" s="28"/>
      <c r="Q767" s="28"/>
      <c r="R767" s="28"/>
      <c r="S767" s="28"/>
    </row>
    <row r="768">
      <c r="A768" s="17">
        <v>45603.0</v>
      </c>
      <c r="B768" s="18" t="s">
        <v>18</v>
      </c>
      <c r="C768" s="18" t="s">
        <v>19</v>
      </c>
      <c r="D768" s="19"/>
      <c r="E768" s="19"/>
      <c r="F768" s="20">
        <f t="shared" si="7"/>
        <v>0</v>
      </c>
      <c r="G768" s="21">
        <f>IFERROR(VLOOKUP(B768,DADOS!$A$2:$H$252,8,0),"")</f>
        <v>21</v>
      </c>
      <c r="H768" s="22">
        <v>50.0</v>
      </c>
      <c r="I768" s="23">
        <f>IFERROR(VLOOKUP(B768,DADOS!$A$2:$H$252,4,0)*H768,"")</f>
        <v>14.6483</v>
      </c>
      <c r="J768" s="36"/>
      <c r="K768" s="25">
        <f>IFERROR(VLOOKUP(B768,DADOS!$A$2:$H$252,4,0)*J768,"")</f>
        <v>0</v>
      </c>
      <c r="L768" s="26">
        <f t="shared" si="14"/>
        <v>0</v>
      </c>
      <c r="M768" s="27"/>
      <c r="N768" s="30"/>
      <c r="O768" s="28"/>
      <c r="P768" s="28"/>
      <c r="Q768" s="28"/>
      <c r="R768" s="28"/>
      <c r="S768" s="28"/>
    </row>
    <row r="769">
      <c r="A769" s="17">
        <v>45603.0</v>
      </c>
      <c r="B769" s="18" t="s">
        <v>60</v>
      </c>
      <c r="C769" s="18" t="s">
        <v>19</v>
      </c>
      <c r="D769" s="19"/>
      <c r="E769" s="19"/>
      <c r="F769" s="20">
        <f t="shared" si="7"/>
        <v>0</v>
      </c>
      <c r="G769" s="21">
        <f>IFERROR(VLOOKUP(B769,DADOS!$A$2:$H$252,8,0),"")</f>
        <v>15</v>
      </c>
      <c r="H769" s="22">
        <v>6.0</v>
      </c>
      <c r="I769" s="23">
        <f>IFERROR(VLOOKUP(B769,DADOS!$A$2:$H$252,4,0)*H769,"")</f>
        <v>1.952964</v>
      </c>
      <c r="J769" s="36"/>
      <c r="K769" s="25">
        <f>IFERROR(VLOOKUP(B769,DADOS!$A$2:$H$252,4,0)*J769,"")</f>
        <v>0</v>
      </c>
      <c r="L769" s="26">
        <f t="shared" si="14"/>
        <v>0</v>
      </c>
      <c r="M769" s="27"/>
      <c r="N769" s="30"/>
      <c r="O769" s="28"/>
      <c r="P769" s="28"/>
      <c r="Q769" s="28"/>
      <c r="R769" s="28"/>
      <c r="S769" s="28"/>
    </row>
    <row r="770">
      <c r="A770" s="17">
        <v>45604.0</v>
      </c>
      <c r="B770" s="18" t="s">
        <v>60</v>
      </c>
      <c r="C770" s="18" t="s">
        <v>19</v>
      </c>
      <c r="D770" s="19"/>
      <c r="E770" s="19"/>
      <c r="F770" s="20">
        <f t="shared" si="7"/>
        <v>0</v>
      </c>
      <c r="G770" s="21">
        <f>IFERROR(VLOOKUP(B770,DADOS!$A$2:$H$252,8,0),"")</f>
        <v>15</v>
      </c>
      <c r="H770" s="22">
        <v>30.0</v>
      </c>
      <c r="I770" s="23">
        <f>IFERROR(VLOOKUP(B770,DADOS!$A$2:$H$252,4,0)*H770,"")</f>
        <v>9.76482</v>
      </c>
      <c r="J770" s="36"/>
      <c r="K770" s="25">
        <f>IFERROR(VLOOKUP(B770,DADOS!$A$2:$H$252,4,0)*J770,"")</f>
        <v>0</v>
      </c>
      <c r="L770" s="26">
        <f t="shared" si="14"/>
        <v>0</v>
      </c>
      <c r="M770" s="27"/>
      <c r="N770" s="30"/>
      <c r="O770" s="28"/>
      <c r="P770" s="28"/>
      <c r="Q770" s="28"/>
      <c r="R770" s="28"/>
      <c r="S770" s="28"/>
    </row>
    <row r="771">
      <c r="A771" s="17">
        <v>45604.0</v>
      </c>
      <c r="B771" s="18" t="s">
        <v>16</v>
      </c>
      <c r="C771" s="18" t="s">
        <v>136</v>
      </c>
      <c r="D771" s="19"/>
      <c r="E771" s="19"/>
      <c r="F771" s="20">
        <f t="shared" si="7"/>
        <v>0</v>
      </c>
      <c r="G771" s="21">
        <f>IFERROR(VLOOKUP(B771,DADOS!$A$2:$H$252,8,0),"")</f>
        <v>150</v>
      </c>
      <c r="H771" s="22">
        <v>747.0</v>
      </c>
      <c r="I771" s="23">
        <f>IFERROR(VLOOKUP(B771,DADOS!$A$2:$H$252,4,0)*H771,"")</f>
        <v>21.6128016</v>
      </c>
      <c r="J771" s="36"/>
      <c r="K771" s="25">
        <f>IFERROR(VLOOKUP(B771,DADOS!$A$2:$H$252,4,0)*J771,"")</f>
        <v>0</v>
      </c>
      <c r="L771" s="26">
        <f t="shared" si="14"/>
        <v>0</v>
      </c>
      <c r="M771" s="27"/>
      <c r="N771" s="30"/>
      <c r="O771" s="28"/>
      <c r="P771" s="28"/>
      <c r="Q771" s="28"/>
      <c r="R771" s="28"/>
      <c r="S771" s="28"/>
    </row>
    <row r="772">
      <c r="A772" s="17">
        <v>45607.0</v>
      </c>
      <c r="B772" s="18" t="s">
        <v>18</v>
      </c>
      <c r="C772" s="18" t="s">
        <v>19</v>
      </c>
      <c r="D772" s="19"/>
      <c r="E772" s="19"/>
      <c r="F772" s="20">
        <f t="shared" si="7"/>
        <v>0</v>
      </c>
      <c r="G772" s="21">
        <f>IFERROR(VLOOKUP(B772,DADOS!$A$2:$H$252,8,0),"")</f>
        <v>21</v>
      </c>
      <c r="H772" s="22">
        <v>29.0</v>
      </c>
      <c r="I772" s="23">
        <f>IFERROR(VLOOKUP(B772,DADOS!$A$2:$H$252,4,0)*H772,"")</f>
        <v>8.496014</v>
      </c>
      <c r="J772" s="24">
        <v>1.0</v>
      </c>
      <c r="K772" s="25">
        <f>IFERROR(VLOOKUP(B772,DADOS!$A$2:$H$252,4,0)*J772,"")</f>
        <v>0.292966</v>
      </c>
      <c r="L772" s="26">
        <f t="shared" si="14"/>
        <v>0</v>
      </c>
      <c r="M772" s="27"/>
      <c r="N772" s="30"/>
      <c r="O772" s="28"/>
      <c r="P772" s="28"/>
      <c r="Q772" s="28"/>
      <c r="R772" s="28"/>
      <c r="S772" s="28"/>
    </row>
    <row r="773">
      <c r="A773" s="17">
        <v>45607.0</v>
      </c>
      <c r="B773" s="18" t="s">
        <v>26</v>
      </c>
      <c r="C773" s="18" t="s">
        <v>19</v>
      </c>
      <c r="D773" s="19"/>
      <c r="E773" s="19"/>
      <c r="F773" s="20">
        <f t="shared" si="7"/>
        <v>0</v>
      </c>
      <c r="G773" s="21">
        <f>IFERROR(VLOOKUP(B773,DADOS!$A$2:$H$252,8,0),"")</f>
        <v>50</v>
      </c>
      <c r="H773" s="22">
        <v>57.0</v>
      </c>
      <c r="I773" s="23">
        <f>IFERROR(VLOOKUP(B773,DADOS!$A$2:$H$252,4,0)*H773,"")</f>
        <v>6.4942152</v>
      </c>
      <c r="J773" s="36"/>
      <c r="K773" s="25">
        <f>IFERROR(VLOOKUP(B773,DADOS!$A$2:$H$252,4,0)*J773,"")</f>
        <v>0</v>
      </c>
      <c r="L773" s="26">
        <f t="shared" si="14"/>
        <v>0</v>
      </c>
      <c r="M773" s="27"/>
      <c r="N773" s="30"/>
      <c r="O773" s="28"/>
      <c r="P773" s="28"/>
      <c r="Q773" s="28"/>
      <c r="R773" s="28"/>
      <c r="S773" s="28"/>
    </row>
    <row r="774">
      <c r="A774" s="17">
        <v>45607.0</v>
      </c>
      <c r="B774" s="18" t="s">
        <v>69</v>
      </c>
      <c r="C774" s="18" t="s">
        <v>19</v>
      </c>
      <c r="D774" s="19"/>
      <c r="E774" s="19"/>
      <c r="F774" s="20">
        <f t="shared" si="7"/>
        <v>0</v>
      </c>
      <c r="G774" s="21">
        <f>IFERROR(VLOOKUP(B774,DADOS!$A$2:$H$252,8,0),"")</f>
        <v>13</v>
      </c>
      <c r="H774" s="22">
        <v>24.0</v>
      </c>
      <c r="I774" s="23">
        <f>IFERROR(VLOOKUP(B774,DADOS!$A$2:$H$252,4,0)*H774,"")</f>
        <v>8.2176</v>
      </c>
      <c r="J774" s="24">
        <v>1.0</v>
      </c>
      <c r="K774" s="25">
        <f>IFERROR(VLOOKUP(B774,DADOS!$A$2:$H$252,4,0)*J774,"")</f>
        <v>0.3424</v>
      </c>
      <c r="L774" s="26">
        <f t="shared" si="14"/>
        <v>0</v>
      </c>
      <c r="M774" s="27"/>
      <c r="N774" s="30"/>
      <c r="O774" s="28"/>
      <c r="P774" s="28"/>
      <c r="Q774" s="28"/>
      <c r="R774" s="28"/>
      <c r="S774" s="28"/>
    </row>
    <row r="775">
      <c r="A775" s="17">
        <v>45607.0</v>
      </c>
      <c r="B775" s="18" t="s">
        <v>70</v>
      </c>
      <c r="C775" s="18" t="s">
        <v>19</v>
      </c>
      <c r="D775" s="19"/>
      <c r="E775" s="19"/>
      <c r="F775" s="20">
        <f t="shared" si="7"/>
        <v>0</v>
      </c>
      <c r="G775" s="21">
        <f>IFERROR(VLOOKUP(B775,DADOS!$A$2:$H$252,8,0),"")</f>
        <v>13</v>
      </c>
      <c r="H775" s="22">
        <v>24.0</v>
      </c>
      <c r="I775" s="23">
        <f>IFERROR(VLOOKUP(B775,DADOS!$A$2:$H$252,4,0)*H775,"")</f>
        <v>8.2176</v>
      </c>
      <c r="J775" s="36"/>
      <c r="K775" s="25">
        <f>IFERROR(VLOOKUP(B775,DADOS!$A$2:$H$252,4,0)*J775,"")</f>
        <v>0</v>
      </c>
      <c r="L775" s="26">
        <f t="shared" si="14"/>
        <v>0</v>
      </c>
      <c r="M775" s="27"/>
      <c r="N775" s="30"/>
      <c r="O775" s="28"/>
      <c r="P775" s="28"/>
      <c r="Q775" s="28"/>
      <c r="R775" s="28"/>
      <c r="S775" s="28"/>
    </row>
    <row r="776">
      <c r="A776" s="17">
        <v>45607.0</v>
      </c>
      <c r="B776" s="18" t="s">
        <v>122</v>
      </c>
      <c r="C776" s="18" t="s">
        <v>19</v>
      </c>
      <c r="D776" s="19"/>
      <c r="E776" s="19"/>
      <c r="F776" s="20">
        <f t="shared" si="7"/>
        <v>0</v>
      </c>
      <c r="G776" s="21">
        <f>IFERROR(VLOOKUP(B776,DADOS!$A$2:$H$252,8,0),"")</f>
        <v>17</v>
      </c>
      <c r="H776" s="22">
        <v>11.0</v>
      </c>
      <c r="I776" s="23">
        <f>IFERROR(VLOOKUP(B776,DADOS!$A$2:$H$252,4,0)*H776,"")</f>
        <v>1.8876726</v>
      </c>
      <c r="J776" s="36"/>
      <c r="K776" s="25">
        <f>IFERROR(VLOOKUP(B776,DADOS!$A$2:$H$252,4,0)*J776,"")</f>
        <v>0</v>
      </c>
      <c r="L776" s="26">
        <f t="shared" si="14"/>
        <v>0</v>
      </c>
      <c r="M776" s="27"/>
      <c r="N776" s="30"/>
      <c r="O776" s="28"/>
      <c r="P776" s="28"/>
      <c r="Q776" s="28"/>
      <c r="R776" s="28"/>
      <c r="S776" s="28"/>
    </row>
    <row r="777">
      <c r="A777" s="17">
        <v>45607.0</v>
      </c>
      <c r="B777" s="18" t="s">
        <v>44</v>
      </c>
      <c r="C777" s="18" t="s">
        <v>19</v>
      </c>
      <c r="D777" s="19"/>
      <c r="E777" s="19"/>
      <c r="F777" s="20">
        <f t="shared" si="7"/>
        <v>0</v>
      </c>
      <c r="G777" s="21">
        <f>IFERROR(VLOOKUP(B777,DADOS!$A$2:$H$252,8,0),"")</f>
        <v>15</v>
      </c>
      <c r="H777" s="22">
        <v>21.0</v>
      </c>
      <c r="I777" s="23">
        <f>IFERROR(VLOOKUP(B777,DADOS!$A$2:$H$252,4,0)*H777,"")</f>
        <v>3.8756256</v>
      </c>
      <c r="J777" s="24">
        <v>2.0</v>
      </c>
      <c r="K777" s="25">
        <f>IFERROR(VLOOKUP(B777,DADOS!$A$2:$H$252,4,0)*J777,"")</f>
        <v>0.3691072</v>
      </c>
      <c r="L777" s="26">
        <f t="shared" si="14"/>
        <v>0</v>
      </c>
      <c r="M777" s="27"/>
      <c r="N777" s="30"/>
      <c r="O777" s="28"/>
      <c r="P777" s="28"/>
      <c r="Q777" s="28"/>
      <c r="R777" s="28"/>
      <c r="S777" s="28"/>
    </row>
    <row r="778">
      <c r="A778" s="17">
        <v>45607.0</v>
      </c>
      <c r="B778" s="18" t="s">
        <v>25</v>
      </c>
      <c r="C778" s="18" t="s">
        <v>136</v>
      </c>
      <c r="D778" s="19"/>
      <c r="E778" s="19"/>
      <c r="F778" s="20">
        <f t="shared" si="7"/>
        <v>0</v>
      </c>
      <c r="G778" s="21">
        <f>IFERROR(VLOOKUP(B778,DADOS!$A$2:$H$252,8,0),"")</f>
        <v>40</v>
      </c>
      <c r="H778" s="22">
        <v>57.0</v>
      </c>
      <c r="I778" s="23">
        <f>IFERROR(VLOOKUP(B778,DADOS!$A$2:$H$252,4,0)*H778,"")</f>
        <v>5.903832</v>
      </c>
      <c r="J778" s="36"/>
      <c r="K778" s="25">
        <f>IFERROR(VLOOKUP(B778,DADOS!$A$2:$H$252,4,0)*J778,"")</f>
        <v>0</v>
      </c>
      <c r="L778" s="26">
        <f t="shared" si="14"/>
        <v>0</v>
      </c>
      <c r="M778" s="27"/>
      <c r="N778" s="30"/>
      <c r="O778" s="28"/>
      <c r="P778" s="28"/>
      <c r="Q778" s="28"/>
      <c r="R778" s="28"/>
      <c r="S778" s="28"/>
    </row>
    <row r="779">
      <c r="A779" s="17">
        <v>45607.0</v>
      </c>
      <c r="B779" s="18" t="s">
        <v>49</v>
      </c>
      <c r="C779" s="18" t="s">
        <v>136</v>
      </c>
      <c r="D779" s="19"/>
      <c r="E779" s="19"/>
      <c r="F779" s="20">
        <f t="shared" si="7"/>
        <v>0</v>
      </c>
      <c r="G779" s="21">
        <f>IFERROR(VLOOKUP(B779,DADOS!$A$2:$H$252,8,0),"")</f>
        <v>42</v>
      </c>
      <c r="H779" s="22">
        <v>88.0</v>
      </c>
      <c r="I779" s="23">
        <f>IFERROR(VLOOKUP(B779,DADOS!$A$2:$H$252,4,0)*H779,"")</f>
        <v>5.9866928</v>
      </c>
      <c r="J779" s="24">
        <v>12.0</v>
      </c>
      <c r="K779" s="25">
        <f>IFERROR(VLOOKUP(B779,DADOS!$A$2:$H$252,4,0)*J779,"")</f>
        <v>0.8163672</v>
      </c>
      <c r="L779" s="26">
        <f t="shared" si="14"/>
        <v>0</v>
      </c>
      <c r="M779" s="27"/>
      <c r="N779" s="30"/>
      <c r="O779" s="28"/>
      <c r="P779" s="28"/>
      <c r="Q779" s="28"/>
      <c r="R779" s="28"/>
      <c r="S779" s="28"/>
    </row>
    <row r="780">
      <c r="A780" s="17">
        <v>45608.0</v>
      </c>
      <c r="B780" s="18" t="s">
        <v>71</v>
      </c>
      <c r="C780" s="18" t="s">
        <v>19</v>
      </c>
      <c r="D780" s="19"/>
      <c r="E780" s="19"/>
      <c r="F780" s="20">
        <f t="shared" si="7"/>
        <v>0</v>
      </c>
      <c r="G780" s="21">
        <f>IFERROR(VLOOKUP(B780,DADOS!$A$2:$H$252,8,0),"")</f>
        <v>7</v>
      </c>
      <c r="H780" s="22">
        <v>30.0</v>
      </c>
      <c r="I780" s="23">
        <f>IFERROR(VLOOKUP(B780,DADOS!$A$2:$H$252,4,0)*H780,"")</f>
        <v>42.072186</v>
      </c>
      <c r="J780" s="36"/>
      <c r="K780" s="25">
        <f>IFERROR(VLOOKUP(B780,DADOS!$A$2:$H$252,4,0)*J780,"")</f>
        <v>0</v>
      </c>
      <c r="L780" s="26">
        <f t="shared" si="14"/>
        <v>0</v>
      </c>
      <c r="M780" s="27"/>
      <c r="N780" s="30"/>
      <c r="O780" s="28"/>
      <c r="P780" s="28"/>
      <c r="Q780" s="28"/>
      <c r="R780" s="28"/>
      <c r="S780" s="28"/>
    </row>
    <row r="781">
      <c r="A781" s="17">
        <v>45608.0</v>
      </c>
      <c r="B781" s="18" t="s">
        <v>49</v>
      </c>
      <c r="C781" s="18" t="s">
        <v>136</v>
      </c>
      <c r="D781" s="19"/>
      <c r="E781" s="19"/>
      <c r="F781" s="20">
        <f t="shared" si="7"/>
        <v>0</v>
      </c>
      <c r="G781" s="21">
        <f>IFERROR(VLOOKUP(B781,DADOS!$A$2:$H$252,8,0),"")</f>
        <v>42</v>
      </c>
      <c r="H781" s="22">
        <v>28.0</v>
      </c>
      <c r="I781" s="23">
        <f>IFERROR(VLOOKUP(B781,DADOS!$A$2:$H$252,4,0)*H781,"")</f>
        <v>1.9048568</v>
      </c>
      <c r="J781" s="24">
        <v>2.0</v>
      </c>
      <c r="K781" s="25">
        <f>IFERROR(VLOOKUP(B781,DADOS!$A$2:$H$252,4,0)*J781,"")</f>
        <v>0.1360612</v>
      </c>
      <c r="L781" s="26">
        <f t="shared" si="14"/>
        <v>0</v>
      </c>
      <c r="M781" s="27"/>
      <c r="N781" s="30"/>
      <c r="O781" s="28"/>
      <c r="P781" s="28"/>
      <c r="Q781" s="28"/>
      <c r="R781" s="28"/>
      <c r="S781" s="28"/>
    </row>
    <row r="782">
      <c r="A782" s="17">
        <v>45608.0</v>
      </c>
      <c r="B782" s="18" t="s">
        <v>77</v>
      </c>
      <c r="C782" s="18" t="s">
        <v>136</v>
      </c>
      <c r="D782" s="19"/>
      <c r="E782" s="19"/>
      <c r="F782" s="20">
        <f t="shared" si="7"/>
        <v>0</v>
      </c>
      <c r="G782" s="21">
        <f>IFERROR(VLOOKUP(B782,DADOS!$A$2:$H$252,8,0),"")</f>
        <v>120</v>
      </c>
      <c r="H782" s="22">
        <v>197.0</v>
      </c>
      <c r="I782" s="23">
        <f>IFERROR(VLOOKUP(B782,DADOS!$A$2:$H$252,4,0)*H782,"")</f>
        <v>1.89711</v>
      </c>
      <c r="J782" s="24">
        <v>3.0</v>
      </c>
      <c r="K782" s="25">
        <f>IFERROR(VLOOKUP(B782,DADOS!$A$2:$H$252,4,0)*J782,"")</f>
        <v>0.02889</v>
      </c>
      <c r="L782" s="26">
        <f t="shared" si="14"/>
        <v>0</v>
      </c>
      <c r="M782" s="27"/>
      <c r="N782" s="30"/>
      <c r="O782" s="28"/>
      <c r="P782" s="28"/>
      <c r="Q782" s="28"/>
      <c r="R782" s="28"/>
      <c r="S782" s="28"/>
    </row>
    <row r="783">
      <c r="A783" s="17">
        <v>45609.0</v>
      </c>
      <c r="B783" s="18" t="s">
        <v>26</v>
      </c>
      <c r="C783" s="18" t="s">
        <v>19</v>
      </c>
      <c r="D783" s="19"/>
      <c r="E783" s="19"/>
      <c r="F783" s="20">
        <f t="shared" si="7"/>
        <v>0</v>
      </c>
      <c r="G783" s="21">
        <f>IFERROR(VLOOKUP(B783,DADOS!$A$2:$H$252,8,0),"")</f>
        <v>50</v>
      </c>
      <c r="H783" s="22">
        <v>50.0</v>
      </c>
      <c r="I783" s="23">
        <f>IFERROR(VLOOKUP(B783,DADOS!$A$2:$H$252,4,0)*H783,"")</f>
        <v>5.69668</v>
      </c>
      <c r="J783" s="36"/>
      <c r="K783" s="25">
        <f>IFERROR(VLOOKUP(B783,DADOS!$A$2:$H$252,4,0)*J783,"")</f>
        <v>0</v>
      </c>
      <c r="L783" s="26">
        <f t="shared" si="14"/>
        <v>0</v>
      </c>
      <c r="M783" s="27"/>
      <c r="N783" s="30"/>
      <c r="O783" s="28"/>
      <c r="P783" s="28"/>
      <c r="Q783" s="28"/>
      <c r="R783" s="28"/>
      <c r="S783" s="28"/>
    </row>
    <row r="784">
      <c r="A784" s="17">
        <v>45609.0</v>
      </c>
      <c r="B784" s="18" t="s">
        <v>71</v>
      </c>
      <c r="C784" s="18" t="s">
        <v>19</v>
      </c>
      <c r="D784" s="19"/>
      <c r="E784" s="19"/>
      <c r="F784" s="20">
        <f t="shared" si="7"/>
        <v>0</v>
      </c>
      <c r="G784" s="21">
        <f>IFERROR(VLOOKUP(B784,DADOS!$A$2:$H$252,8,0),"")</f>
        <v>7</v>
      </c>
      <c r="H784" s="22">
        <v>20.0</v>
      </c>
      <c r="I784" s="23">
        <f>IFERROR(VLOOKUP(B784,DADOS!$A$2:$H$252,4,0)*H784,"")</f>
        <v>28.048124</v>
      </c>
      <c r="J784" s="36"/>
      <c r="K784" s="25">
        <f>IFERROR(VLOOKUP(B784,DADOS!$A$2:$H$252,4,0)*J784,"")</f>
        <v>0</v>
      </c>
      <c r="L784" s="26">
        <f t="shared" si="14"/>
        <v>0</v>
      </c>
      <c r="M784" s="27"/>
      <c r="N784" s="30"/>
      <c r="O784" s="28"/>
      <c r="P784" s="28"/>
      <c r="Q784" s="28"/>
      <c r="R784" s="28"/>
      <c r="S784" s="28"/>
    </row>
    <row r="785">
      <c r="A785" s="17">
        <v>45609.0</v>
      </c>
      <c r="B785" s="18" t="s">
        <v>130</v>
      </c>
      <c r="C785" s="18" t="s">
        <v>19</v>
      </c>
      <c r="D785" s="19"/>
      <c r="E785" s="19"/>
      <c r="F785" s="20">
        <f t="shared" si="7"/>
        <v>0</v>
      </c>
      <c r="G785" s="21" t="str">
        <f>IFERROR(VLOOKUP(B785,DADOS!$A$2:$H$252,8,0),"")</f>
        <v/>
      </c>
      <c r="H785" s="22">
        <v>1.0</v>
      </c>
      <c r="I785" s="23">
        <f>IFERROR(VLOOKUP(B785,DADOS!$A$2:$H$252,4,0)*H785,"")</f>
        <v>1.4825278</v>
      </c>
      <c r="J785" s="36"/>
      <c r="K785" s="25">
        <f>IFERROR(VLOOKUP(B785,DADOS!$A$2:$H$252,4,0)*J785,"")</f>
        <v>0</v>
      </c>
      <c r="L785" s="26">
        <f t="shared" si="14"/>
        <v>0</v>
      </c>
      <c r="M785" s="27"/>
      <c r="N785" s="30"/>
      <c r="O785" s="28"/>
      <c r="P785" s="28"/>
      <c r="Q785" s="28"/>
      <c r="R785" s="28"/>
      <c r="S785" s="28"/>
    </row>
    <row r="786">
      <c r="A786" s="17">
        <v>45609.0</v>
      </c>
      <c r="B786" s="18" t="s">
        <v>25</v>
      </c>
      <c r="C786" s="18" t="s">
        <v>158</v>
      </c>
      <c r="D786" s="19"/>
      <c r="E786" s="19"/>
      <c r="F786" s="20">
        <f t="shared" si="7"/>
        <v>0</v>
      </c>
      <c r="G786" s="21">
        <f>IFERROR(VLOOKUP(B786,DADOS!$A$2:$H$252,8,0),"")</f>
        <v>40</v>
      </c>
      <c r="H786" s="22">
        <v>116.0</v>
      </c>
      <c r="I786" s="23">
        <f>IFERROR(VLOOKUP(B786,DADOS!$A$2:$H$252,4,0)*H786,"")</f>
        <v>12.014816</v>
      </c>
      <c r="J786" s="24">
        <v>6.0</v>
      </c>
      <c r="K786" s="25">
        <f>IFERROR(VLOOKUP(B786,DADOS!$A$2:$H$252,4,0)*J786,"")</f>
        <v>0.621456</v>
      </c>
      <c r="L786" s="26">
        <f t="shared" si="14"/>
        <v>0</v>
      </c>
      <c r="M786" s="27"/>
      <c r="N786" s="30"/>
      <c r="O786" s="28"/>
      <c r="P786" s="28"/>
      <c r="Q786" s="28"/>
      <c r="R786" s="28"/>
      <c r="S786" s="28"/>
    </row>
    <row r="787">
      <c r="A787" s="17">
        <v>45609.0</v>
      </c>
      <c r="B787" s="18" t="s">
        <v>98</v>
      </c>
      <c r="C787" s="18" t="s">
        <v>136</v>
      </c>
      <c r="D787" s="19"/>
      <c r="E787" s="19"/>
      <c r="F787" s="20">
        <f t="shared" si="7"/>
        <v>0</v>
      </c>
      <c r="G787" s="21">
        <f>IFERROR(VLOOKUP(B787,DADOS!$A$2:$H$252,8,0),"")</f>
        <v>100</v>
      </c>
      <c r="H787" s="22">
        <v>43.0</v>
      </c>
      <c r="I787" s="23">
        <f>IFERROR(VLOOKUP(B787,DADOS!$A$2:$H$252,4,0)*H787,"")</f>
        <v>11.59452</v>
      </c>
      <c r="J787" s="36"/>
      <c r="K787" s="25">
        <f>IFERROR(VLOOKUP(B787,DADOS!$A$2:$H$252,4,0)*J787,"")</f>
        <v>0</v>
      </c>
      <c r="L787" s="26">
        <f t="shared" si="14"/>
        <v>0</v>
      </c>
      <c r="M787" s="27"/>
      <c r="N787" s="30"/>
      <c r="O787" s="28"/>
      <c r="P787" s="28"/>
      <c r="Q787" s="28"/>
      <c r="R787" s="28"/>
      <c r="S787" s="28"/>
    </row>
    <row r="788">
      <c r="A788" s="17">
        <v>45610.0</v>
      </c>
      <c r="B788" s="18" t="s">
        <v>22</v>
      </c>
      <c r="C788" s="18" t="s">
        <v>19</v>
      </c>
      <c r="D788" s="19"/>
      <c r="E788" s="19"/>
      <c r="F788" s="20">
        <f t="shared" si="7"/>
        <v>0</v>
      </c>
      <c r="G788" s="21">
        <f>IFERROR(VLOOKUP(B788,DADOS!$A$2:$H$252,8,0),"")</f>
        <v>15</v>
      </c>
      <c r="H788" s="22">
        <v>30.0</v>
      </c>
      <c r="I788" s="23">
        <f>IFERROR(VLOOKUP(B788,DADOS!$A$2:$H$252,4,0)*H788,"")</f>
        <v>18.368262</v>
      </c>
      <c r="J788" s="36"/>
      <c r="K788" s="25">
        <f>IFERROR(VLOOKUP(B788,DADOS!$A$2:$H$252,4,0)*J788,"")</f>
        <v>0</v>
      </c>
      <c r="L788" s="26">
        <f t="shared" si="14"/>
        <v>0</v>
      </c>
      <c r="M788" s="27"/>
      <c r="N788" s="30"/>
      <c r="O788" s="28"/>
      <c r="P788" s="28"/>
      <c r="Q788" s="28"/>
      <c r="R788" s="28"/>
      <c r="S788" s="28"/>
    </row>
    <row r="789">
      <c r="A789" s="17">
        <v>45610.0</v>
      </c>
      <c r="B789" s="18" t="s">
        <v>32</v>
      </c>
      <c r="C789" s="18" t="s">
        <v>19</v>
      </c>
      <c r="D789" s="19"/>
      <c r="E789" s="19"/>
      <c r="F789" s="20">
        <f t="shared" si="7"/>
        <v>0</v>
      </c>
      <c r="G789" s="21">
        <f>IFERROR(VLOOKUP(B789,DADOS!$A$2:$H$252,8,0),"")</f>
        <v>10</v>
      </c>
      <c r="H789" s="22">
        <v>30.0</v>
      </c>
      <c r="I789" s="23">
        <f>IFERROR(VLOOKUP(B789,DADOS!$A$2:$H$252,4,0)*H789,"")</f>
        <v>18.368262</v>
      </c>
      <c r="J789" s="36"/>
      <c r="K789" s="25">
        <f>IFERROR(VLOOKUP(B789,DADOS!$A$2:$H$252,4,0)*J789,"")</f>
        <v>0</v>
      </c>
      <c r="L789" s="26">
        <f t="shared" si="14"/>
        <v>0</v>
      </c>
      <c r="M789" s="27"/>
      <c r="N789" s="30"/>
      <c r="O789" s="28"/>
      <c r="P789" s="28"/>
      <c r="Q789" s="28"/>
      <c r="R789" s="28"/>
      <c r="S789" s="28"/>
    </row>
    <row r="790">
      <c r="A790" s="17">
        <v>45610.0</v>
      </c>
      <c r="B790" s="18" t="s">
        <v>47</v>
      </c>
      <c r="C790" s="18" t="s">
        <v>19</v>
      </c>
      <c r="D790" s="19"/>
      <c r="E790" s="19"/>
      <c r="F790" s="20">
        <f t="shared" si="7"/>
        <v>0</v>
      </c>
      <c r="G790" s="21">
        <f>IFERROR(VLOOKUP(B790,DADOS!$A$2:$H$252,8,0),"")</f>
        <v>35</v>
      </c>
      <c r="H790" s="22">
        <v>48.0</v>
      </c>
      <c r="I790" s="23">
        <f>IFERROR(VLOOKUP(B790,DADOS!$A$2:$H$252,4,0)*H790,"")</f>
        <v>5.4688128</v>
      </c>
      <c r="J790" s="24">
        <v>2.0</v>
      </c>
      <c r="K790" s="25">
        <f>IFERROR(VLOOKUP(B790,DADOS!$A$2:$H$252,4,0)*J790,"")</f>
        <v>0.2278672</v>
      </c>
      <c r="L790" s="26">
        <f t="shared" si="14"/>
        <v>0</v>
      </c>
      <c r="M790" s="27"/>
      <c r="N790" s="30"/>
      <c r="O790" s="28"/>
      <c r="P790" s="28"/>
      <c r="Q790" s="28"/>
      <c r="R790" s="28"/>
      <c r="S790" s="28"/>
    </row>
    <row r="791">
      <c r="A791" s="17">
        <v>45610.0</v>
      </c>
      <c r="B791" s="18" t="s">
        <v>25</v>
      </c>
      <c r="C791" s="18" t="s">
        <v>158</v>
      </c>
      <c r="D791" s="19"/>
      <c r="E791" s="19"/>
      <c r="F791" s="20">
        <f t="shared" si="7"/>
        <v>0</v>
      </c>
      <c r="G791" s="21">
        <f>IFERROR(VLOOKUP(B791,DADOS!$A$2:$H$252,8,0),"")</f>
        <v>40</v>
      </c>
      <c r="H791" s="22">
        <v>37.0</v>
      </c>
      <c r="I791" s="23">
        <f>IFERROR(VLOOKUP(B791,DADOS!$A$2:$H$252,4,0)*H791,"")</f>
        <v>3.832312</v>
      </c>
      <c r="J791" s="36"/>
      <c r="K791" s="25">
        <f>IFERROR(VLOOKUP(B791,DADOS!$A$2:$H$252,4,0)*J791,"")</f>
        <v>0</v>
      </c>
      <c r="L791" s="26">
        <f t="shared" si="14"/>
        <v>0</v>
      </c>
      <c r="M791" s="27"/>
      <c r="N791" s="30"/>
      <c r="O791" s="28"/>
      <c r="P791" s="28"/>
      <c r="Q791" s="28"/>
      <c r="R791" s="28"/>
      <c r="S791" s="28"/>
    </row>
    <row r="792">
      <c r="A792" s="17">
        <v>45610.0</v>
      </c>
      <c r="B792" s="18" t="s">
        <v>24</v>
      </c>
      <c r="C792" s="18" t="s">
        <v>158</v>
      </c>
      <c r="D792" s="19"/>
      <c r="E792" s="19"/>
      <c r="F792" s="20">
        <f t="shared" si="7"/>
        <v>0</v>
      </c>
      <c r="G792" s="21">
        <f>IFERROR(VLOOKUP(B792,DADOS!$A$2:$H$252,8,0),"")</f>
        <v>37</v>
      </c>
      <c r="H792" s="35"/>
      <c r="I792" s="23">
        <f>IFERROR(VLOOKUP(B792,DADOS!$A$2:$H$252,4,0)*H792,"")</f>
        <v>0</v>
      </c>
      <c r="J792" s="24">
        <v>10.0</v>
      </c>
      <c r="K792" s="25">
        <f>IFERROR(VLOOKUP(B792,DADOS!$A$2:$H$252,4,0)*J792,"")</f>
        <v>1.139336</v>
      </c>
      <c r="L792" s="26" t="str">
        <f t="shared" si="14"/>
        <v/>
      </c>
      <c r="M792" s="27"/>
      <c r="N792" s="30"/>
      <c r="O792" s="28"/>
      <c r="P792" s="28"/>
      <c r="Q792" s="28"/>
      <c r="R792" s="28"/>
      <c r="S792" s="28"/>
    </row>
    <row r="793">
      <c r="A793" s="17">
        <v>45610.0</v>
      </c>
      <c r="B793" s="18" t="s">
        <v>98</v>
      </c>
      <c r="C793" s="18" t="s">
        <v>136</v>
      </c>
      <c r="D793" s="19"/>
      <c r="E793" s="19"/>
      <c r="F793" s="20">
        <f t="shared" si="7"/>
        <v>0</v>
      </c>
      <c r="G793" s="21">
        <f>IFERROR(VLOOKUP(B793,DADOS!$A$2:$H$252,8,0),"")</f>
        <v>100</v>
      </c>
      <c r="H793" s="35"/>
      <c r="I793" s="23">
        <f>IFERROR(VLOOKUP(B793,DADOS!$A$2:$H$252,4,0)*H793,"")</f>
        <v>0</v>
      </c>
      <c r="J793" s="36"/>
      <c r="K793" s="25">
        <f>IFERROR(VLOOKUP(B793,DADOS!$A$2:$H$252,4,0)*J793,"")</f>
        <v>0</v>
      </c>
      <c r="L793" s="26" t="str">
        <f t="shared" si="14"/>
        <v/>
      </c>
      <c r="M793" s="27"/>
      <c r="N793" s="30"/>
      <c r="O793" s="28"/>
      <c r="P793" s="28"/>
      <c r="Q793" s="28"/>
      <c r="R793" s="28"/>
      <c r="S793" s="28"/>
    </row>
    <row r="794">
      <c r="A794" s="17">
        <v>45614.0</v>
      </c>
      <c r="B794" s="18" t="s">
        <v>71</v>
      </c>
      <c r="C794" s="18" t="s">
        <v>19</v>
      </c>
      <c r="D794" s="19"/>
      <c r="E794" s="19"/>
      <c r="F794" s="20">
        <f t="shared" si="7"/>
        <v>0</v>
      </c>
      <c r="G794" s="21">
        <f>IFERROR(VLOOKUP(B794,DADOS!$A$2:$H$252,8,0),"")</f>
        <v>7</v>
      </c>
      <c r="H794" s="22">
        <v>18.0</v>
      </c>
      <c r="I794" s="23">
        <f>IFERROR(VLOOKUP(B794,DADOS!$A$2:$H$252,4,0)*H794,"")</f>
        <v>25.2433116</v>
      </c>
      <c r="J794" s="36"/>
      <c r="K794" s="25">
        <f>IFERROR(VLOOKUP(B794,DADOS!$A$2:$H$252,4,0)*J794,"")</f>
        <v>0</v>
      </c>
      <c r="L794" s="26">
        <f t="shared" si="14"/>
        <v>0</v>
      </c>
      <c r="M794" s="27"/>
      <c r="N794" s="30"/>
      <c r="O794" s="28"/>
      <c r="P794" s="28"/>
      <c r="Q794" s="28"/>
      <c r="R794" s="28"/>
      <c r="S794" s="28"/>
    </row>
    <row r="795">
      <c r="A795" s="17">
        <v>45614.0</v>
      </c>
      <c r="B795" s="18" t="s">
        <v>31</v>
      </c>
      <c r="C795" s="18" t="s">
        <v>19</v>
      </c>
      <c r="D795" s="19"/>
      <c r="E795" s="19"/>
      <c r="F795" s="20">
        <f t="shared" si="7"/>
        <v>0</v>
      </c>
      <c r="G795" s="21">
        <f>IFERROR(VLOOKUP(B795,DADOS!$A$2:$H$252,8,0),"")</f>
        <v>10</v>
      </c>
      <c r="H795" s="22">
        <v>21.0</v>
      </c>
      <c r="I795" s="23">
        <f>IFERROR(VLOOKUP(B795,DADOS!$A$2:$H$252,4,0)*H795,"")</f>
        <v>2.8473984</v>
      </c>
      <c r="J795" s="24">
        <v>7.0</v>
      </c>
      <c r="K795" s="25">
        <f>IFERROR(VLOOKUP(B795,DADOS!$A$2:$H$252,4,0)*J795,"")</f>
        <v>0.9491328</v>
      </c>
      <c r="L795" s="26">
        <f t="shared" si="14"/>
        <v>0</v>
      </c>
      <c r="M795" s="27"/>
      <c r="N795" s="30"/>
      <c r="O795" s="28"/>
      <c r="P795" s="28"/>
      <c r="Q795" s="28"/>
      <c r="R795" s="28"/>
      <c r="S795" s="28"/>
    </row>
    <row r="796">
      <c r="A796" s="17">
        <v>45614.0</v>
      </c>
      <c r="B796" s="18" t="s">
        <v>18</v>
      </c>
      <c r="C796" s="18" t="s">
        <v>158</v>
      </c>
      <c r="D796" s="19"/>
      <c r="E796" s="19"/>
      <c r="F796" s="20">
        <f t="shared" si="7"/>
        <v>0</v>
      </c>
      <c r="G796" s="21">
        <f>IFERROR(VLOOKUP(B796,DADOS!$A$2:$H$252,8,0),"")</f>
        <v>21</v>
      </c>
      <c r="H796" s="22">
        <v>22.0</v>
      </c>
      <c r="I796" s="23">
        <f>IFERROR(VLOOKUP(B796,DADOS!$A$2:$H$252,4,0)*H796,"")</f>
        <v>6.445252</v>
      </c>
      <c r="J796" s="24">
        <v>8.0</v>
      </c>
      <c r="K796" s="25">
        <f>IFERROR(VLOOKUP(B796,DADOS!$A$2:$H$252,4,0)*J796,"")</f>
        <v>2.343728</v>
      </c>
      <c r="L796" s="26">
        <f t="shared" si="14"/>
        <v>0</v>
      </c>
      <c r="M796" s="27"/>
      <c r="N796" s="30"/>
      <c r="O796" s="28"/>
      <c r="P796" s="28"/>
      <c r="Q796" s="28"/>
      <c r="R796" s="28"/>
      <c r="S796" s="28"/>
    </row>
    <row r="797">
      <c r="A797" s="17">
        <v>45614.0</v>
      </c>
      <c r="B797" s="18" t="s">
        <v>24</v>
      </c>
      <c r="C797" s="18" t="s">
        <v>158</v>
      </c>
      <c r="D797" s="19"/>
      <c r="E797" s="19"/>
      <c r="F797" s="20">
        <f t="shared" si="7"/>
        <v>0</v>
      </c>
      <c r="G797" s="21">
        <f>IFERROR(VLOOKUP(B797,DADOS!$A$2:$H$252,8,0),"")</f>
        <v>37</v>
      </c>
      <c r="H797" s="22">
        <v>7.0</v>
      </c>
      <c r="I797" s="23">
        <f>IFERROR(VLOOKUP(B797,DADOS!$A$2:$H$252,4,0)*H797,"")</f>
        <v>0.7975352</v>
      </c>
      <c r="J797" s="36"/>
      <c r="K797" s="25">
        <f>IFERROR(VLOOKUP(B797,DADOS!$A$2:$H$252,4,0)*J797,"")</f>
        <v>0</v>
      </c>
      <c r="L797" s="26">
        <f t="shared" si="14"/>
        <v>0</v>
      </c>
      <c r="M797" s="27"/>
      <c r="N797" s="30"/>
      <c r="O797" s="28"/>
      <c r="P797" s="28"/>
      <c r="Q797" s="28"/>
      <c r="R797" s="28"/>
      <c r="S797" s="28"/>
    </row>
    <row r="798">
      <c r="A798" s="17">
        <v>45615.0</v>
      </c>
      <c r="B798" s="18" t="s">
        <v>31</v>
      </c>
      <c r="C798" s="18" t="s">
        <v>19</v>
      </c>
      <c r="D798" s="19"/>
      <c r="E798" s="19"/>
      <c r="F798" s="20">
        <f t="shared" si="7"/>
        <v>0</v>
      </c>
      <c r="G798" s="21">
        <f>IFERROR(VLOOKUP(B798,DADOS!$A$2:$H$252,8,0),"")</f>
        <v>10</v>
      </c>
      <c r="H798" s="22">
        <v>20.0</v>
      </c>
      <c r="I798" s="23">
        <f>IFERROR(VLOOKUP(B798,DADOS!$A$2:$H$252,4,0)*H798,"")</f>
        <v>2.711808</v>
      </c>
      <c r="J798" s="24">
        <v>3.0</v>
      </c>
      <c r="K798" s="25">
        <f>IFERROR(VLOOKUP(B798,DADOS!$A$2:$H$252,4,0)*J798,"")</f>
        <v>0.4067712</v>
      </c>
      <c r="L798" s="26">
        <f t="shared" si="14"/>
        <v>0</v>
      </c>
      <c r="M798" s="27"/>
      <c r="N798" s="30"/>
      <c r="O798" s="28"/>
      <c r="P798" s="28"/>
      <c r="Q798" s="28"/>
      <c r="R798" s="28"/>
      <c r="S798" s="28"/>
    </row>
    <row r="799">
      <c r="A799" s="17">
        <v>45615.0</v>
      </c>
      <c r="B799" s="18" t="s">
        <v>48</v>
      </c>
      <c r="C799" s="18" t="s">
        <v>19</v>
      </c>
      <c r="D799" s="19"/>
      <c r="E799" s="19"/>
      <c r="F799" s="20">
        <f t="shared" si="7"/>
        <v>0</v>
      </c>
      <c r="G799" s="21">
        <f>IFERROR(VLOOKUP(B799,DADOS!$A$2:$H$252,8,0),"")</f>
        <v>6</v>
      </c>
      <c r="H799" s="22">
        <v>35.0</v>
      </c>
      <c r="I799" s="23">
        <f>IFERROR(VLOOKUP(B799,DADOS!$A$2:$H$252,4,0)*H799,"")</f>
        <v>3.987676</v>
      </c>
      <c r="J799" s="24">
        <v>5.0</v>
      </c>
      <c r="K799" s="25">
        <f>IFERROR(VLOOKUP(B799,DADOS!$A$2:$H$252,4,0)*J799,"")</f>
        <v>0.569668</v>
      </c>
      <c r="L799" s="26">
        <f t="shared" si="14"/>
        <v>0</v>
      </c>
      <c r="M799" s="27"/>
      <c r="N799" s="30"/>
      <c r="O799" s="28"/>
      <c r="P799" s="28"/>
      <c r="Q799" s="28"/>
      <c r="R799" s="28"/>
      <c r="S799" s="28"/>
    </row>
    <row r="800">
      <c r="A800" s="17">
        <v>45615.0</v>
      </c>
      <c r="B800" s="18" t="s">
        <v>78</v>
      </c>
      <c r="C800" s="18" t="s">
        <v>19</v>
      </c>
      <c r="D800" s="19"/>
      <c r="E800" s="19"/>
      <c r="F800" s="20">
        <f t="shared" si="7"/>
        <v>0</v>
      </c>
      <c r="G800" s="21">
        <f>IFERROR(VLOOKUP(B800,DADOS!$A$2:$H$252,8,0),"")</f>
        <v>25</v>
      </c>
      <c r="H800" s="22">
        <v>20.0</v>
      </c>
      <c r="I800" s="23">
        <f>IFERROR(VLOOKUP(B800,DADOS!$A$2:$H$252,4,0)*H800,"")</f>
        <v>6.50988</v>
      </c>
      <c r="J800" s="36"/>
      <c r="K800" s="25">
        <f>IFERROR(VLOOKUP(B800,DADOS!$A$2:$H$252,4,0)*J800,"")</f>
        <v>0</v>
      </c>
      <c r="L800" s="26">
        <f t="shared" si="14"/>
        <v>0</v>
      </c>
      <c r="M800" s="27"/>
      <c r="N800" s="30"/>
      <c r="O800" s="28"/>
      <c r="P800" s="28"/>
      <c r="Q800" s="28"/>
      <c r="R800" s="28"/>
      <c r="S800" s="28"/>
    </row>
    <row r="801">
      <c r="A801" s="17">
        <v>45615.0</v>
      </c>
      <c r="B801" s="18" t="s">
        <v>18</v>
      </c>
      <c r="C801" s="18" t="s">
        <v>158</v>
      </c>
      <c r="D801" s="19"/>
      <c r="E801" s="19"/>
      <c r="F801" s="20">
        <f t="shared" si="7"/>
        <v>0</v>
      </c>
      <c r="G801" s="21">
        <f>IFERROR(VLOOKUP(B801,DADOS!$A$2:$H$252,8,0),"")</f>
        <v>21</v>
      </c>
      <c r="H801" s="22">
        <v>59.0</v>
      </c>
      <c r="I801" s="23">
        <f>IFERROR(VLOOKUP(B801,DADOS!$A$2:$H$252,4,0)*H801,"")</f>
        <v>17.284994</v>
      </c>
      <c r="J801" s="24">
        <v>3.0</v>
      </c>
      <c r="K801" s="25">
        <f>IFERROR(VLOOKUP(B801,DADOS!$A$2:$H$252,4,0)*J801,"")</f>
        <v>0.878898</v>
      </c>
      <c r="L801" s="26">
        <f t="shared" si="14"/>
        <v>0</v>
      </c>
      <c r="M801" s="27"/>
      <c r="N801" s="30"/>
      <c r="O801" s="28"/>
      <c r="P801" s="28"/>
      <c r="Q801" s="28"/>
      <c r="R801" s="28"/>
      <c r="S801" s="28"/>
    </row>
    <row r="802">
      <c r="A802" s="17">
        <v>45615.0</v>
      </c>
      <c r="B802" s="18" t="s">
        <v>16</v>
      </c>
      <c r="C802" s="18" t="s">
        <v>136</v>
      </c>
      <c r="D802" s="19"/>
      <c r="E802" s="19"/>
      <c r="F802" s="20">
        <f t="shared" si="7"/>
        <v>0</v>
      </c>
      <c r="G802" s="21">
        <f>IFERROR(VLOOKUP(B802,DADOS!$A$2:$H$252,8,0),"")</f>
        <v>150</v>
      </c>
      <c r="H802" s="22">
        <v>558.0</v>
      </c>
      <c r="I802" s="23">
        <f>IFERROR(VLOOKUP(B802,DADOS!$A$2:$H$252,4,0)*H802,"")</f>
        <v>16.1445024</v>
      </c>
      <c r="J802" s="36"/>
      <c r="K802" s="25">
        <f>IFERROR(VLOOKUP(B802,DADOS!$A$2:$H$252,4,0)*J802,"")</f>
        <v>0</v>
      </c>
      <c r="L802" s="26">
        <f t="shared" si="14"/>
        <v>0</v>
      </c>
      <c r="M802" s="27"/>
      <c r="N802" s="30"/>
      <c r="O802" s="28"/>
      <c r="P802" s="28"/>
      <c r="Q802" s="28"/>
      <c r="R802" s="28"/>
      <c r="S802" s="28"/>
    </row>
    <row r="803">
      <c r="A803" s="17">
        <v>45617.0</v>
      </c>
      <c r="B803" s="18" t="s">
        <v>26</v>
      </c>
      <c r="C803" s="18" t="s">
        <v>19</v>
      </c>
      <c r="D803" s="19"/>
      <c r="E803" s="19"/>
      <c r="F803" s="20">
        <f t="shared" si="7"/>
        <v>0</v>
      </c>
      <c r="G803" s="21">
        <f>IFERROR(VLOOKUP(B803,DADOS!$A$2:$H$252,8,0),"")</f>
        <v>50</v>
      </c>
      <c r="H803" s="22">
        <v>30.0</v>
      </c>
      <c r="I803" s="23">
        <f>IFERROR(VLOOKUP(B803,DADOS!$A$2:$H$252,4,0)*H803,"")</f>
        <v>3.418008</v>
      </c>
      <c r="J803" s="36"/>
      <c r="K803" s="25">
        <f>IFERROR(VLOOKUP(B803,DADOS!$A$2:$H$252,4,0)*J803,"")</f>
        <v>0</v>
      </c>
      <c r="L803" s="26">
        <f t="shared" si="14"/>
        <v>0</v>
      </c>
      <c r="M803" s="27"/>
      <c r="N803" s="30"/>
      <c r="O803" s="28"/>
      <c r="P803" s="28"/>
      <c r="Q803" s="28"/>
      <c r="R803" s="28"/>
      <c r="S803" s="28"/>
    </row>
    <row r="804">
      <c r="A804" s="17">
        <v>45617.0</v>
      </c>
      <c r="B804" s="18" t="s">
        <v>48</v>
      </c>
      <c r="C804" s="18" t="s">
        <v>19</v>
      </c>
      <c r="D804" s="19"/>
      <c r="E804" s="19"/>
      <c r="F804" s="20">
        <f t="shared" si="7"/>
        <v>0</v>
      </c>
      <c r="G804" s="21">
        <f>IFERROR(VLOOKUP(B804,DADOS!$A$2:$H$252,8,0),"")</f>
        <v>6</v>
      </c>
      <c r="H804" s="22">
        <v>6.0</v>
      </c>
      <c r="I804" s="23">
        <f>IFERROR(VLOOKUP(B804,DADOS!$A$2:$H$252,4,0)*H804,"")</f>
        <v>0.6836016</v>
      </c>
      <c r="J804" s="36"/>
      <c r="K804" s="25">
        <f>IFERROR(VLOOKUP(B804,DADOS!$A$2:$H$252,4,0)*J804,"")</f>
        <v>0</v>
      </c>
      <c r="L804" s="26">
        <f t="shared" si="14"/>
        <v>0</v>
      </c>
      <c r="M804" s="27"/>
      <c r="N804" s="30"/>
      <c r="O804" s="28"/>
      <c r="P804" s="28"/>
      <c r="Q804" s="28"/>
      <c r="R804" s="28"/>
      <c r="S804" s="28"/>
    </row>
    <row r="805">
      <c r="A805" s="17">
        <v>45617.0</v>
      </c>
      <c r="B805" s="18" t="s">
        <v>78</v>
      </c>
      <c r="C805" s="18" t="s">
        <v>158</v>
      </c>
      <c r="D805" s="19"/>
      <c r="E805" s="19"/>
      <c r="F805" s="20">
        <f t="shared" si="7"/>
        <v>0</v>
      </c>
      <c r="G805" s="21">
        <f>IFERROR(VLOOKUP(B805,DADOS!$A$2:$H$252,8,0),"")</f>
        <v>25</v>
      </c>
      <c r="H805" s="22">
        <v>53.0</v>
      </c>
      <c r="I805" s="23">
        <f>IFERROR(VLOOKUP(B805,DADOS!$A$2:$H$252,4,0)*H805,"")</f>
        <v>17.251182</v>
      </c>
      <c r="J805" s="24">
        <v>5.0</v>
      </c>
      <c r="K805" s="25">
        <f>IFERROR(VLOOKUP(B805,DADOS!$A$2:$H$252,4,0)*J805,"")</f>
        <v>1.62747</v>
      </c>
      <c r="L805" s="26">
        <f t="shared" si="14"/>
        <v>0</v>
      </c>
      <c r="M805" s="27"/>
      <c r="N805" s="30"/>
      <c r="O805" s="28"/>
      <c r="P805" s="28"/>
      <c r="Q805" s="28"/>
      <c r="R805" s="28"/>
      <c r="S805" s="28"/>
    </row>
    <row r="806">
      <c r="A806" s="17">
        <v>45617.0</v>
      </c>
      <c r="B806" s="18" t="s">
        <v>16</v>
      </c>
      <c r="C806" s="18" t="s">
        <v>136</v>
      </c>
      <c r="D806" s="19"/>
      <c r="E806" s="19"/>
      <c r="F806" s="20">
        <f t="shared" si="7"/>
        <v>0</v>
      </c>
      <c r="G806" s="21">
        <f>IFERROR(VLOOKUP(B806,DADOS!$A$2:$H$252,8,0),"")</f>
        <v>150</v>
      </c>
      <c r="H806" s="22">
        <v>201.0</v>
      </c>
      <c r="I806" s="23">
        <f>IFERROR(VLOOKUP(B806,DADOS!$A$2:$H$252,4,0)*H806,"")</f>
        <v>5.8154928</v>
      </c>
      <c r="J806" s="36"/>
      <c r="K806" s="25">
        <f>IFERROR(VLOOKUP(B806,DADOS!$A$2:$H$252,4,0)*J806,"")</f>
        <v>0</v>
      </c>
      <c r="L806" s="26">
        <f t="shared" si="14"/>
        <v>0</v>
      </c>
      <c r="M806" s="27"/>
      <c r="N806" s="30"/>
      <c r="O806" s="28"/>
      <c r="P806" s="28"/>
      <c r="Q806" s="28"/>
      <c r="R806" s="28"/>
      <c r="S806" s="28"/>
    </row>
    <row r="807">
      <c r="A807" s="17">
        <v>45617.0</v>
      </c>
      <c r="B807" s="18" t="s">
        <v>56</v>
      </c>
      <c r="C807" s="18" t="s">
        <v>136</v>
      </c>
      <c r="D807" s="19"/>
      <c r="E807" s="19"/>
      <c r="F807" s="20">
        <f t="shared" si="7"/>
        <v>0</v>
      </c>
      <c r="G807" s="21">
        <f>IFERROR(VLOOKUP(B807,DADOS!$A$2:$H$252,8,0),"")</f>
        <v>162</v>
      </c>
      <c r="H807" s="22">
        <v>227.0</v>
      </c>
      <c r="I807" s="23">
        <f>IFERROR(VLOOKUP(B807,DADOS!$A$2:$H$252,4,0)*H807,"")</f>
        <v>2.18601</v>
      </c>
      <c r="J807" s="36"/>
      <c r="K807" s="25">
        <f>IFERROR(VLOOKUP(B807,DADOS!$A$2:$H$252,4,0)*J807,"")</f>
        <v>0</v>
      </c>
      <c r="L807" s="26">
        <f t="shared" si="14"/>
        <v>0</v>
      </c>
      <c r="M807" s="27"/>
      <c r="N807" s="30"/>
      <c r="O807" s="28"/>
      <c r="P807" s="28"/>
      <c r="Q807" s="28"/>
      <c r="R807" s="28"/>
      <c r="S807" s="28"/>
    </row>
    <row r="808">
      <c r="A808" s="17">
        <v>45618.0</v>
      </c>
      <c r="B808" s="18" t="s">
        <v>78</v>
      </c>
      <c r="C808" s="18" t="s">
        <v>158</v>
      </c>
      <c r="D808" s="19"/>
      <c r="E808" s="19"/>
      <c r="F808" s="20">
        <f t="shared" si="7"/>
        <v>0</v>
      </c>
      <c r="G808" s="21">
        <f>IFERROR(VLOOKUP(B808,DADOS!$A$2:$H$252,8,0),"")</f>
        <v>25</v>
      </c>
      <c r="H808" s="22">
        <v>37.0</v>
      </c>
      <c r="I808" s="23">
        <f>IFERROR(VLOOKUP(B808,DADOS!$A$2:$H$252,4,0)*H808,"")</f>
        <v>12.043278</v>
      </c>
      <c r="J808" s="36"/>
      <c r="K808" s="25">
        <f>IFERROR(VLOOKUP(B808,DADOS!$A$2:$H$252,4,0)*J808,"")</f>
        <v>0</v>
      </c>
      <c r="L808" s="26">
        <f t="shared" si="14"/>
        <v>0</v>
      </c>
      <c r="M808" s="27"/>
      <c r="N808" s="30"/>
      <c r="O808" s="28"/>
      <c r="P808" s="28"/>
      <c r="Q808" s="28"/>
      <c r="R808" s="28"/>
      <c r="S808" s="28"/>
    </row>
    <row r="809">
      <c r="A809" s="17">
        <v>45618.0</v>
      </c>
      <c r="B809" s="18" t="s">
        <v>24</v>
      </c>
      <c r="C809" s="18" t="s">
        <v>158</v>
      </c>
      <c r="D809" s="19"/>
      <c r="E809" s="19"/>
      <c r="F809" s="20">
        <f t="shared" si="7"/>
        <v>0</v>
      </c>
      <c r="G809" s="21">
        <f>IFERROR(VLOOKUP(B809,DADOS!$A$2:$H$252,8,0),"")</f>
        <v>37</v>
      </c>
      <c r="H809" s="22">
        <v>4.0</v>
      </c>
      <c r="I809" s="23">
        <f>IFERROR(VLOOKUP(B809,DADOS!$A$2:$H$252,4,0)*H809,"")</f>
        <v>0.4557344</v>
      </c>
      <c r="J809" s="24">
        <v>1.0</v>
      </c>
      <c r="K809" s="25">
        <f>IFERROR(VLOOKUP(B809,DADOS!$A$2:$H$252,4,0)*J809,"")</f>
        <v>0.1139336</v>
      </c>
      <c r="L809" s="26">
        <f t="shared" si="14"/>
        <v>0</v>
      </c>
      <c r="M809" s="27"/>
      <c r="N809" s="30"/>
      <c r="O809" s="28"/>
      <c r="P809" s="28"/>
      <c r="Q809" s="28"/>
      <c r="R809" s="28"/>
      <c r="S809" s="28"/>
    </row>
    <row r="810">
      <c r="A810" s="17">
        <v>45618.0</v>
      </c>
      <c r="B810" s="18" t="s">
        <v>53</v>
      </c>
      <c r="C810" s="18" t="s">
        <v>136</v>
      </c>
      <c r="D810" s="19"/>
      <c r="E810" s="19"/>
      <c r="F810" s="20">
        <f t="shared" si="7"/>
        <v>0</v>
      </c>
      <c r="G810" s="21">
        <f>IFERROR(VLOOKUP(B810,DADOS!$A$2:$H$252,8,0),"")</f>
        <v>120</v>
      </c>
      <c r="H810" s="22">
        <v>200.0</v>
      </c>
      <c r="I810" s="23">
        <f>IFERROR(VLOOKUP(B810,DADOS!$A$2:$H$252,4,0)*H810,"")</f>
        <v>1.926</v>
      </c>
      <c r="J810" s="36"/>
      <c r="K810" s="25">
        <f>IFERROR(VLOOKUP(B810,DADOS!$A$2:$H$252,4,0)*J810,"")</f>
        <v>0</v>
      </c>
      <c r="L810" s="26">
        <f t="shared" si="14"/>
        <v>0</v>
      </c>
      <c r="M810" s="27"/>
      <c r="N810" s="30"/>
      <c r="O810" s="28"/>
      <c r="P810" s="28"/>
      <c r="Q810" s="28"/>
      <c r="R810" s="28"/>
      <c r="S810" s="28"/>
    </row>
    <row r="811">
      <c r="A811" s="17">
        <v>45618.0</v>
      </c>
      <c r="B811" s="18" t="s">
        <v>92</v>
      </c>
      <c r="C811" s="18" t="s">
        <v>136</v>
      </c>
      <c r="D811" s="19"/>
      <c r="E811" s="19"/>
      <c r="F811" s="20">
        <f t="shared" si="7"/>
        <v>0</v>
      </c>
      <c r="G811" s="21">
        <f>IFERROR(VLOOKUP(B811,DADOS!$A$2:$H$252,8,0),"")</f>
        <v>100</v>
      </c>
      <c r="H811" s="22">
        <v>125.0</v>
      </c>
      <c r="I811" s="23">
        <f>IFERROR(VLOOKUP(B811,DADOS!$A$2:$H$252,4,0)*H811,"")</f>
        <v>3.164525</v>
      </c>
      <c r="J811" s="36"/>
      <c r="K811" s="25">
        <f>IFERROR(VLOOKUP(B811,DADOS!$A$2:$H$252,4,0)*J811,"")</f>
        <v>0</v>
      </c>
      <c r="L811" s="26">
        <f t="shared" si="14"/>
        <v>0</v>
      </c>
      <c r="M811" s="27"/>
      <c r="N811" s="30"/>
      <c r="O811" s="28"/>
      <c r="P811" s="28"/>
      <c r="Q811" s="28"/>
      <c r="R811" s="28"/>
      <c r="S811" s="28"/>
    </row>
    <row r="812">
      <c r="A812" s="17">
        <v>45621.0</v>
      </c>
      <c r="B812" s="18" t="s">
        <v>24</v>
      </c>
      <c r="C812" s="18" t="s">
        <v>158</v>
      </c>
      <c r="D812" s="19"/>
      <c r="E812" s="19"/>
      <c r="F812" s="20">
        <f t="shared" si="7"/>
        <v>0</v>
      </c>
      <c r="G812" s="21">
        <f>IFERROR(VLOOKUP(B812,DADOS!$A$2:$H$252,8,0),"")</f>
        <v>37</v>
      </c>
      <c r="H812" s="22">
        <v>45.0</v>
      </c>
      <c r="I812" s="23">
        <f>IFERROR(VLOOKUP(B812,DADOS!$A$2:$H$252,4,0)*H812,"")</f>
        <v>5.127012</v>
      </c>
      <c r="J812" s="24">
        <v>5.0</v>
      </c>
      <c r="K812" s="25">
        <f>IFERROR(VLOOKUP(B812,DADOS!$A$2:$H$252,4,0)*J812,"")</f>
        <v>0.569668</v>
      </c>
      <c r="L812" s="26">
        <f t="shared" si="14"/>
        <v>0</v>
      </c>
      <c r="M812" s="27"/>
      <c r="N812" s="30"/>
      <c r="O812" s="28"/>
      <c r="P812" s="28"/>
      <c r="Q812" s="28"/>
      <c r="R812" s="28"/>
      <c r="S812" s="28"/>
    </row>
    <row r="813">
      <c r="A813" s="17">
        <v>45621.0</v>
      </c>
      <c r="B813" s="18" t="s">
        <v>137</v>
      </c>
      <c r="C813" s="18" t="s">
        <v>158</v>
      </c>
      <c r="D813" s="19"/>
      <c r="E813" s="19"/>
      <c r="F813" s="20">
        <f t="shared" si="7"/>
        <v>0</v>
      </c>
      <c r="G813" s="21">
        <f>IFERROR(VLOOKUP(B813,DADOS!$A$2:$H$252,8,0),"")</f>
        <v>12</v>
      </c>
      <c r="H813" s="22">
        <v>11.0</v>
      </c>
      <c r="I813" s="23">
        <f>IFERROR(VLOOKUP(B813,DADOS!$A$2:$H$252,4,0)*H813,"")</f>
        <v>1.2532696</v>
      </c>
      <c r="J813" s="24">
        <v>10.0</v>
      </c>
      <c r="K813" s="25">
        <f>IFERROR(VLOOKUP(B813,DADOS!$A$2:$H$252,4,0)*J813,"")</f>
        <v>1.139336</v>
      </c>
      <c r="L813" s="26">
        <f t="shared" si="14"/>
        <v>0</v>
      </c>
      <c r="M813" s="27"/>
      <c r="N813" s="30"/>
      <c r="O813" s="28"/>
      <c r="P813" s="28"/>
      <c r="Q813" s="28"/>
      <c r="R813" s="28"/>
      <c r="S813" s="28"/>
    </row>
    <row r="814">
      <c r="A814" s="17">
        <v>45621.0</v>
      </c>
      <c r="B814" s="18" t="s">
        <v>92</v>
      </c>
      <c r="C814" s="18" t="s">
        <v>136</v>
      </c>
      <c r="D814" s="19"/>
      <c r="E814" s="19"/>
      <c r="F814" s="20">
        <f t="shared" si="7"/>
        <v>0</v>
      </c>
      <c r="G814" s="21">
        <f>IFERROR(VLOOKUP(B814,DADOS!$A$2:$H$252,8,0),"")</f>
        <v>100</v>
      </c>
      <c r="H814" s="22">
        <v>135.0</v>
      </c>
      <c r="I814" s="23">
        <f>IFERROR(VLOOKUP(B814,DADOS!$A$2:$H$252,4,0)*H814,"")</f>
        <v>3.417687</v>
      </c>
      <c r="J814" s="24">
        <v>1.0</v>
      </c>
      <c r="K814" s="25">
        <f>IFERROR(VLOOKUP(B814,DADOS!$A$2:$H$252,4,0)*J814,"")</f>
        <v>0.0253162</v>
      </c>
      <c r="L814" s="26">
        <f t="shared" si="14"/>
        <v>0</v>
      </c>
      <c r="M814" s="27"/>
      <c r="N814" s="30"/>
      <c r="O814" s="28"/>
      <c r="P814" s="28"/>
      <c r="Q814" s="28"/>
      <c r="R814" s="28"/>
      <c r="S814" s="28"/>
    </row>
    <row r="815">
      <c r="A815" s="17">
        <v>45622.0</v>
      </c>
      <c r="B815" s="18" t="s">
        <v>71</v>
      </c>
      <c r="C815" s="18" t="s">
        <v>19</v>
      </c>
      <c r="D815" s="19"/>
      <c r="E815" s="19"/>
      <c r="F815" s="20">
        <f t="shared" si="7"/>
        <v>0</v>
      </c>
      <c r="G815" s="21">
        <f>IFERROR(VLOOKUP(B815,DADOS!$A$2:$H$252,8,0),"")</f>
        <v>7</v>
      </c>
      <c r="H815" s="22">
        <v>11.0</v>
      </c>
      <c r="I815" s="23">
        <f>IFERROR(VLOOKUP(B815,DADOS!$A$2:$H$252,4,0)*H815,"")</f>
        <v>15.4264682</v>
      </c>
      <c r="J815" s="36"/>
      <c r="K815" s="25">
        <f>IFERROR(VLOOKUP(B815,DADOS!$A$2:$H$252,4,0)*J815,"")</f>
        <v>0</v>
      </c>
      <c r="L815" s="26">
        <f t="shared" si="14"/>
        <v>0</v>
      </c>
      <c r="M815" s="27"/>
      <c r="N815" s="30"/>
      <c r="O815" s="28"/>
      <c r="P815" s="28"/>
      <c r="Q815" s="28"/>
      <c r="R815" s="28"/>
      <c r="S815" s="28"/>
    </row>
    <row r="816">
      <c r="A816" s="17">
        <v>45622.0</v>
      </c>
      <c r="B816" s="18" t="s">
        <v>159</v>
      </c>
      <c r="C816" s="18" t="s">
        <v>19</v>
      </c>
      <c r="D816" s="19"/>
      <c r="E816" s="19"/>
      <c r="F816" s="20">
        <f t="shared" si="7"/>
        <v>0</v>
      </c>
      <c r="G816" s="21">
        <f>IFERROR(VLOOKUP(B816,DADOS!$A$2:$H$252,8,0),"")</f>
        <v>8</v>
      </c>
      <c r="H816" s="22">
        <v>4.0</v>
      </c>
      <c r="I816" s="23">
        <f>IFERROR(VLOOKUP(B816,DADOS!$A$2:$H$252,4,0)*H816,"")</f>
        <v>5.9301112</v>
      </c>
      <c r="J816" s="36"/>
      <c r="K816" s="25">
        <f>IFERROR(VLOOKUP(B816,DADOS!$A$2:$H$252,4,0)*J816,"")</f>
        <v>0</v>
      </c>
      <c r="L816" s="26">
        <f t="shared" si="14"/>
        <v>0</v>
      </c>
      <c r="M816" s="27"/>
      <c r="N816" s="30"/>
      <c r="O816" s="28"/>
      <c r="P816" s="28"/>
      <c r="Q816" s="28"/>
      <c r="R816" s="28"/>
      <c r="S816" s="28"/>
    </row>
    <row r="817">
      <c r="A817" s="17">
        <v>45622.0</v>
      </c>
      <c r="B817" s="18" t="s">
        <v>26</v>
      </c>
      <c r="C817" s="18" t="s">
        <v>19</v>
      </c>
      <c r="D817" s="19"/>
      <c r="E817" s="19"/>
      <c r="F817" s="20">
        <f t="shared" si="7"/>
        <v>0</v>
      </c>
      <c r="G817" s="21">
        <f>IFERROR(VLOOKUP(B817,DADOS!$A$2:$H$252,8,0),"")</f>
        <v>50</v>
      </c>
      <c r="H817" s="22">
        <v>30.0</v>
      </c>
      <c r="I817" s="23">
        <f>IFERROR(VLOOKUP(B817,DADOS!$A$2:$H$252,4,0)*H817,"")</f>
        <v>3.418008</v>
      </c>
      <c r="J817" s="36"/>
      <c r="K817" s="25">
        <f>IFERROR(VLOOKUP(B817,DADOS!$A$2:$H$252,4,0)*J817,"")</f>
        <v>0</v>
      </c>
      <c r="L817" s="26">
        <f t="shared" si="14"/>
        <v>0</v>
      </c>
      <c r="M817" s="27"/>
      <c r="N817" s="30"/>
      <c r="O817" s="28"/>
      <c r="P817" s="28"/>
      <c r="Q817" s="28"/>
      <c r="R817" s="28"/>
      <c r="S817" s="28"/>
    </row>
    <row r="818">
      <c r="A818" s="17">
        <v>45622.0</v>
      </c>
      <c r="B818" s="18" t="s">
        <v>109</v>
      </c>
      <c r="C818" s="18" t="s">
        <v>158</v>
      </c>
      <c r="D818" s="19"/>
      <c r="E818" s="19"/>
      <c r="F818" s="20">
        <f t="shared" si="7"/>
        <v>0</v>
      </c>
      <c r="G818" s="21" t="str">
        <f>IFERROR(VLOOKUP(B818,DADOS!$A$2:$H$252,8,0),"")</f>
        <v/>
      </c>
      <c r="H818" s="22">
        <v>26.0</v>
      </c>
      <c r="I818" s="23" t="str">
        <f>IFERROR(VLOOKUP(B818,DADOS!$A$2:$H$252,4,0)*H818,"")</f>
        <v/>
      </c>
      <c r="J818" s="24">
        <v>2.0</v>
      </c>
      <c r="K818" s="25" t="str">
        <f>IFERROR(VLOOKUP(B818,DADOS!$A$2:$H$252,4,0)*J818,"")</f>
        <v/>
      </c>
      <c r="L818" s="26" t="str">
        <f t="shared" si="14"/>
        <v/>
      </c>
      <c r="M818" s="27"/>
      <c r="N818" s="30"/>
      <c r="O818" s="28"/>
      <c r="P818" s="28"/>
      <c r="Q818" s="28"/>
      <c r="R818" s="28"/>
      <c r="S818" s="28"/>
    </row>
    <row r="819">
      <c r="A819" s="17">
        <v>45622.0</v>
      </c>
      <c r="B819" s="18" t="s">
        <v>137</v>
      </c>
      <c r="C819" s="18" t="s">
        <v>158</v>
      </c>
      <c r="D819" s="19"/>
      <c r="E819" s="19"/>
      <c r="F819" s="20">
        <f t="shared" si="7"/>
        <v>0</v>
      </c>
      <c r="G819" s="21">
        <f>IFERROR(VLOOKUP(B819,DADOS!$A$2:$H$252,8,0),"")</f>
        <v>12</v>
      </c>
      <c r="H819" s="22">
        <v>17.0</v>
      </c>
      <c r="I819" s="23">
        <f>IFERROR(VLOOKUP(B819,DADOS!$A$2:$H$252,4,0)*H819,"")</f>
        <v>1.9368712</v>
      </c>
      <c r="J819" s="24">
        <v>8.0</v>
      </c>
      <c r="K819" s="25">
        <f>IFERROR(VLOOKUP(B819,DADOS!$A$2:$H$252,4,0)*J819,"")</f>
        <v>0.9114688</v>
      </c>
      <c r="L819" s="26">
        <f t="shared" si="14"/>
        <v>0</v>
      </c>
      <c r="M819" s="27"/>
      <c r="N819" s="30"/>
      <c r="O819" s="28"/>
      <c r="P819" s="28"/>
      <c r="Q819" s="28"/>
      <c r="R819" s="28"/>
      <c r="S819" s="28"/>
    </row>
    <row r="820">
      <c r="A820" s="17">
        <v>45622.0</v>
      </c>
      <c r="B820" s="18" t="s">
        <v>27</v>
      </c>
      <c r="C820" s="18" t="s">
        <v>136</v>
      </c>
      <c r="D820" s="19"/>
      <c r="E820" s="19"/>
      <c r="F820" s="20">
        <f t="shared" si="7"/>
        <v>0</v>
      </c>
      <c r="G820" s="21">
        <f>IFERROR(VLOOKUP(B820,DADOS!$A$2:$H$252,8,0),"")</f>
        <v>30</v>
      </c>
      <c r="H820" s="22">
        <v>87.0</v>
      </c>
      <c r="I820" s="23">
        <f>IFERROR(VLOOKUP(B820,DADOS!$A$2:$H$252,4,0)*H820,"")</f>
        <v>1.48944</v>
      </c>
      <c r="J820" s="36"/>
      <c r="K820" s="25">
        <f>IFERROR(VLOOKUP(B820,DADOS!$A$2:$H$252,4,0)*J820,"")</f>
        <v>0</v>
      </c>
      <c r="L820" s="26">
        <f t="shared" si="14"/>
        <v>0</v>
      </c>
      <c r="M820" s="27"/>
      <c r="N820" s="30"/>
      <c r="O820" s="28"/>
      <c r="P820" s="28"/>
      <c r="Q820" s="28"/>
      <c r="R820" s="28"/>
      <c r="S820" s="28"/>
    </row>
    <row r="821">
      <c r="A821" s="17">
        <v>45623.0</v>
      </c>
      <c r="B821" s="18" t="s">
        <v>71</v>
      </c>
      <c r="C821" s="18" t="s">
        <v>19</v>
      </c>
      <c r="D821" s="19"/>
      <c r="E821" s="19"/>
      <c r="F821" s="20">
        <f t="shared" si="7"/>
        <v>0</v>
      </c>
      <c r="G821" s="21">
        <f>IFERROR(VLOOKUP(B821,DADOS!$A$2:$H$252,8,0),"")</f>
        <v>7</v>
      </c>
      <c r="H821" s="22">
        <v>10.0</v>
      </c>
      <c r="I821" s="23">
        <f>IFERROR(VLOOKUP(B821,DADOS!$A$2:$H$252,4,0)*H821,"")</f>
        <v>14.024062</v>
      </c>
      <c r="J821" s="36"/>
      <c r="K821" s="25">
        <f>IFERROR(VLOOKUP(B821,DADOS!$A$2:$H$252,4,0)*J821,"")</f>
        <v>0</v>
      </c>
      <c r="L821" s="26">
        <f t="shared" si="14"/>
        <v>0</v>
      </c>
      <c r="M821" s="27"/>
      <c r="N821" s="30"/>
      <c r="O821" s="28"/>
      <c r="P821" s="28"/>
      <c r="Q821" s="28"/>
      <c r="R821" s="28"/>
      <c r="S821" s="28"/>
    </row>
    <row r="822">
      <c r="A822" s="17">
        <v>45623.0</v>
      </c>
      <c r="B822" s="18" t="s">
        <v>22</v>
      </c>
      <c r="C822" s="18" t="s">
        <v>19</v>
      </c>
      <c r="D822" s="19"/>
      <c r="E822" s="19"/>
      <c r="F822" s="20">
        <f t="shared" si="7"/>
        <v>0</v>
      </c>
      <c r="G822" s="21">
        <f>IFERROR(VLOOKUP(B822,DADOS!$A$2:$H$252,8,0),"")</f>
        <v>15</v>
      </c>
      <c r="H822" s="22">
        <v>5.0</v>
      </c>
      <c r="I822" s="23">
        <f>IFERROR(VLOOKUP(B822,DADOS!$A$2:$H$252,4,0)*H822,"")</f>
        <v>3.061377</v>
      </c>
      <c r="J822" s="36"/>
      <c r="K822" s="25">
        <f>IFERROR(VLOOKUP(B822,DADOS!$A$2:$H$252,4,0)*J822,"")</f>
        <v>0</v>
      </c>
      <c r="L822" s="26">
        <f t="shared" si="14"/>
        <v>0</v>
      </c>
      <c r="M822" s="27"/>
      <c r="N822" s="30"/>
      <c r="O822" s="28"/>
      <c r="P822" s="28"/>
      <c r="Q822" s="28"/>
      <c r="R822" s="28"/>
      <c r="S822" s="28"/>
    </row>
    <row r="823">
      <c r="A823" s="17">
        <v>45623.0</v>
      </c>
      <c r="B823" s="18" t="s">
        <v>105</v>
      </c>
      <c r="C823" s="18" t="s">
        <v>158</v>
      </c>
      <c r="D823" s="19"/>
      <c r="E823" s="19"/>
      <c r="F823" s="20">
        <f t="shared" si="7"/>
        <v>0</v>
      </c>
      <c r="G823" s="21">
        <f>IFERROR(VLOOKUP(B823,DADOS!$A$2:$H$252,8,0),"")</f>
        <v>18</v>
      </c>
      <c r="H823" s="22">
        <v>20.0</v>
      </c>
      <c r="I823" s="23">
        <f>IFERROR(VLOOKUP(B823,DADOS!$A$2:$H$252,4,0)*H823,"")</f>
        <v>1.699588</v>
      </c>
      <c r="J823" s="24">
        <v>8.0</v>
      </c>
      <c r="K823" s="25">
        <f>IFERROR(VLOOKUP(B823,DADOS!$A$2:$H$252,4,0)*J823,"")</f>
        <v>0.6798352</v>
      </c>
      <c r="L823" s="26">
        <f t="shared" si="14"/>
        <v>0</v>
      </c>
      <c r="M823" s="27"/>
      <c r="N823" s="30"/>
      <c r="O823" s="28"/>
      <c r="P823" s="28"/>
      <c r="Q823" s="28"/>
      <c r="R823" s="28"/>
      <c r="S823" s="28"/>
    </row>
    <row r="824">
      <c r="A824" s="17">
        <v>45623.0</v>
      </c>
      <c r="B824" s="18" t="s">
        <v>27</v>
      </c>
      <c r="C824" s="18" t="s">
        <v>136</v>
      </c>
      <c r="D824" s="19"/>
      <c r="E824" s="19"/>
      <c r="F824" s="20">
        <f t="shared" si="7"/>
        <v>0</v>
      </c>
      <c r="G824" s="21">
        <f>IFERROR(VLOOKUP(B824,DADOS!$A$2:$H$252,8,0),"")</f>
        <v>30</v>
      </c>
      <c r="H824" s="22">
        <v>223.0</v>
      </c>
      <c r="I824" s="23">
        <f>IFERROR(VLOOKUP(B824,DADOS!$A$2:$H$252,4,0)*H824,"")</f>
        <v>3.81776</v>
      </c>
      <c r="J824" s="24">
        <v>2.0</v>
      </c>
      <c r="K824" s="25">
        <f>IFERROR(VLOOKUP(B824,DADOS!$A$2:$H$252,4,0)*J824,"")</f>
        <v>0.03424</v>
      </c>
      <c r="L824" s="26">
        <f t="shared" si="14"/>
        <v>0</v>
      </c>
      <c r="M824" s="27"/>
      <c r="N824" s="30"/>
      <c r="O824" s="28"/>
      <c r="P824" s="28"/>
      <c r="Q824" s="28"/>
      <c r="R824" s="28"/>
      <c r="S824" s="28"/>
    </row>
    <row r="825">
      <c r="A825" s="17">
        <v>45624.0</v>
      </c>
      <c r="B825" s="18" t="s">
        <v>71</v>
      </c>
      <c r="C825" s="18" t="s">
        <v>19</v>
      </c>
      <c r="D825" s="19"/>
      <c r="E825" s="19"/>
      <c r="F825" s="20">
        <f t="shared" si="7"/>
        <v>0</v>
      </c>
      <c r="G825" s="21">
        <f>IFERROR(VLOOKUP(B825,DADOS!$A$2:$H$252,8,0),"")</f>
        <v>7</v>
      </c>
      <c r="H825" s="22">
        <v>2.0</v>
      </c>
      <c r="I825" s="23">
        <f>IFERROR(VLOOKUP(B825,DADOS!$A$2:$H$252,4,0)*H825,"")</f>
        <v>2.8048124</v>
      </c>
      <c r="J825" s="24">
        <v>1.0</v>
      </c>
      <c r="K825" s="25">
        <f>IFERROR(VLOOKUP(B825,DADOS!$A$2:$H$252,4,0)*J825,"")</f>
        <v>1.4024062</v>
      </c>
      <c r="L825" s="26">
        <f t="shared" si="14"/>
        <v>0</v>
      </c>
      <c r="M825" s="27"/>
      <c r="N825" s="30"/>
      <c r="O825" s="28"/>
      <c r="P825" s="28"/>
      <c r="Q825" s="28"/>
      <c r="R825" s="28"/>
      <c r="S825" s="28"/>
    </row>
    <row r="826">
      <c r="A826" s="17">
        <v>45624.0</v>
      </c>
      <c r="B826" s="18" t="s">
        <v>105</v>
      </c>
      <c r="C826" s="18" t="s">
        <v>158</v>
      </c>
      <c r="D826" s="19"/>
      <c r="E826" s="19"/>
      <c r="F826" s="20">
        <f t="shared" si="7"/>
        <v>0</v>
      </c>
      <c r="G826" s="21">
        <f>IFERROR(VLOOKUP(B826,DADOS!$A$2:$H$252,8,0),"")</f>
        <v>18</v>
      </c>
      <c r="H826" s="22">
        <v>51.0</v>
      </c>
      <c r="I826" s="23">
        <f>IFERROR(VLOOKUP(B826,DADOS!$A$2:$H$252,4,0)*H826,"")</f>
        <v>4.3339494</v>
      </c>
      <c r="J826" s="24">
        <v>8.0</v>
      </c>
      <c r="K826" s="25">
        <f>IFERROR(VLOOKUP(B826,DADOS!$A$2:$H$252,4,0)*J826,"")</f>
        <v>0.6798352</v>
      </c>
      <c r="L826" s="26">
        <f t="shared" si="14"/>
        <v>0</v>
      </c>
      <c r="M826" s="27"/>
      <c r="N826" s="30"/>
      <c r="O826" s="28"/>
      <c r="P826" s="28"/>
      <c r="Q826" s="28"/>
      <c r="R826" s="28"/>
      <c r="S826" s="28"/>
    </row>
    <row r="827">
      <c r="A827" s="17">
        <v>45624.0</v>
      </c>
      <c r="B827" s="18" t="s">
        <v>73</v>
      </c>
      <c r="C827" s="18" t="s">
        <v>158</v>
      </c>
      <c r="D827" s="19"/>
      <c r="E827" s="19"/>
      <c r="F827" s="20">
        <f t="shared" si="7"/>
        <v>0</v>
      </c>
      <c r="G827" s="21">
        <f>IFERROR(VLOOKUP(B827,DADOS!$A$2:$H$252,8,0),"")</f>
        <v>37</v>
      </c>
      <c r="H827" s="22">
        <v>16.0</v>
      </c>
      <c r="I827" s="23">
        <f>IFERROR(VLOOKUP(B827,DADOS!$A$2:$H$252,4,0)*H827,"")</f>
        <v>1.236064</v>
      </c>
      <c r="J827" s="36"/>
      <c r="K827" s="25">
        <f>IFERROR(VLOOKUP(B827,DADOS!$A$2:$H$252,4,0)*J827,"")</f>
        <v>0</v>
      </c>
      <c r="L827" s="26">
        <f t="shared" si="14"/>
        <v>0</v>
      </c>
      <c r="M827" s="27"/>
      <c r="N827" s="30"/>
      <c r="O827" s="28"/>
      <c r="P827" s="28"/>
      <c r="Q827" s="28"/>
      <c r="R827" s="28"/>
      <c r="S827" s="28"/>
    </row>
    <row r="828">
      <c r="A828" s="17">
        <v>45624.0</v>
      </c>
      <c r="B828" s="18" t="s">
        <v>27</v>
      </c>
      <c r="C828" s="18" t="s">
        <v>136</v>
      </c>
      <c r="D828" s="19"/>
      <c r="E828" s="19"/>
      <c r="F828" s="20">
        <f t="shared" si="7"/>
        <v>0</v>
      </c>
      <c r="G828" s="21">
        <f>IFERROR(VLOOKUP(B828,DADOS!$A$2:$H$252,8,0),"")</f>
        <v>30</v>
      </c>
      <c r="H828" s="22">
        <v>49.0</v>
      </c>
      <c r="I828" s="23">
        <f>IFERROR(VLOOKUP(B828,DADOS!$A$2:$H$252,4,0)*H828,"")</f>
        <v>0.83888</v>
      </c>
      <c r="J828" s="24">
        <v>2.0</v>
      </c>
      <c r="K828" s="25">
        <f>IFERROR(VLOOKUP(B828,DADOS!$A$2:$H$252,4,0)*J828,"")</f>
        <v>0.03424</v>
      </c>
      <c r="L828" s="26">
        <f t="shared" si="14"/>
        <v>0</v>
      </c>
      <c r="M828" s="27"/>
      <c r="N828" s="30"/>
      <c r="O828" s="28"/>
      <c r="P828" s="28"/>
      <c r="Q828" s="28"/>
      <c r="R828" s="28"/>
      <c r="S828" s="28"/>
    </row>
    <row r="829">
      <c r="A829" s="17">
        <v>45624.0</v>
      </c>
      <c r="B829" s="18" t="s">
        <v>57</v>
      </c>
      <c r="C829" s="18" t="s">
        <v>136</v>
      </c>
      <c r="D829" s="19"/>
      <c r="E829" s="19"/>
      <c r="F829" s="20">
        <f t="shared" si="7"/>
        <v>0</v>
      </c>
      <c r="G829" s="21">
        <f>IFERROR(VLOOKUP(B829,DADOS!$A$2:$H$252,8,0),"")</f>
        <v>100</v>
      </c>
      <c r="H829" s="22">
        <v>200.0</v>
      </c>
      <c r="I829" s="23">
        <f>IFERROR(VLOOKUP(B829,DADOS!$A$2:$H$252,4,0)*H829,"")</f>
        <v>3.424</v>
      </c>
      <c r="J829" s="36"/>
      <c r="K829" s="25">
        <f>IFERROR(VLOOKUP(B829,DADOS!$A$2:$H$252,4,0)*J829,"")</f>
        <v>0</v>
      </c>
      <c r="L829" s="26">
        <f t="shared" si="14"/>
        <v>0</v>
      </c>
      <c r="M829" s="27"/>
      <c r="N829" s="30"/>
      <c r="O829" s="28"/>
      <c r="P829" s="28"/>
      <c r="Q829" s="28"/>
      <c r="R829" s="28"/>
      <c r="S829" s="28"/>
    </row>
    <row r="830">
      <c r="A830" s="17">
        <v>45628.0</v>
      </c>
      <c r="B830" s="18" t="s">
        <v>96</v>
      </c>
      <c r="C830" s="18" t="s">
        <v>158</v>
      </c>
      <c r="D830" s="19"/>
      <c r="E830" s="19"/>
      <c r="F830" s="20">
        <f t="shared" si="7"/>
        <v>0</v>
      </c>
      <c r="G830" s="21">
        <f>IFERROR(VLOOKUP(B830,DADOS!$A$2:$H$252,8,0),"")</f>
        <v>27</v>
      </c>
      <c r="H830" s="22">
        <v>55.0</v>
      </c>
      <c r="I830" s="23">
        <f>IFERROR(VLOOKUP(B830,DADOS!$A$2:$H$252,4,0)*H830,"")</f>
        <v>5.1788</v>
      </c>
      <c r="J830" s="24">
        <v>3.0</v>
      </c>
      <c r="K830" s="25">
        <f>IFERROR(VLOOKUP(B830,DADOS!$A$2:$H$252,4,0)*J830,"")</f>
        <v>0.28248</v>
      </c>
      <c r="L830" s="26">
        <f t="shared" si="14"/>
        <v>0</v>
      </c>
      <c r="M830" s="27"/>
      <c r="N830" s="30"/>
      <c r="O830" s="28"/>
      <c r="P830" s="28"/>
      <c r="Q830" s="28"/>
      <c r="R830" s="28"/>
      <c r="S830" s="28"/>
    </row>
    <row r="831">
      <c r="A831" s="17">
        <v>45628.0</v>
      </c>
      <c r="B831" s="18" t="s">
        <v>73</v>
      </c>
      <c r="C831" s="18" t="s">
        <v>158</v>
      </c>
      <c r="D831" s="19"/>
      <c r="E831" s="19"/>
      <c r="F831" s="20">
        <f t="shared" si="7"/>
        <v>0</v>
      </c>
      <c r="G831" s="21">
        <f>IFERROR(VLOOKUP(B831,DADOS!$A$2:$H$252,8,0),"")</f>
        <v>37</v>
      </c>
      <c r="H831" s="22">
        <v>33.0</v>
      </c>
      <c r="I831" s="23">
        <f>IFERROR(VLOOKUP(B831,DADOS!$A$2:$H$252,4,0)*H831,"")</f>
        <v>2.549382</v>
      </c>
      <c r="J831" s="24">
        <v>9.0</v>
      </c>
      <c r="K831" s="25">
        <f>IFERROR(VLOOKUP(B831,DADOS!$A$2:$H$252,4,0)*J831,"")</f>
        <v>0.695286</v>
      </c>
      <c r="L831" s="26">
        <f t="shared" si="14"/>
        <v>0</v>
      </c>
      <c r="M831" s="27"/>
      <c r="N831" s="30"/>
      <c r="O831" s="28"/>
      <c r="P831" s="28"/>
      <c r="Q831" s="28"/>
      <c r="R831" s="28"/>
      <c r="S831" s="28"/>
    </row>
    <row r="832">
      <c r="A832" s="17">
        <v>45628.0</v>
      </c>
      <c r="B832" s="18" t="s">
        <v>62</v>
      </c>
      <c r="C832" s="18" t="s">
        <v>136</v>
      </c>
      <c r="D832" s="19"/>
      <c r="E832" s="19"/>
      <c r="F832" s="20">
        <f t="shared" si="7"/>
        <v>0</v>
      </c>
      <c r="G832" s="21">
        <f>IFERROR(VLOOKUP(B832,DADOS!$A$2:$H$252,8,0),"")</f>
        <v>14</v>
      </c>
      <c r="H832" s="22">
        <v>44.0</v>
      </c>
      <c r="I832" s="23">
        <f>IFERROR(VLOOKUP(B832,DADOS!$A$2:$H$252,4,0)*H832,"")</f>
        <v>3.7390936</v>
      </c>
      <c r="J832" s="24">
        <v>6.0</v>
      </c>
      <c r="K832" s="25">
        <f>IFERROR(VLOOKUP(B832,DADOS!$A$2:$H$252,4,0)*J832,"")</f>
        <v>0.5098764</v>
      </c>
      <c r="L832" s="26">
        <f t="shared" si="14"/>
        <v>0</v>
      </c>
      <c r="M832" s="27"/>
      <c r="N832" s="30"/>
      <c r="O832" s="28"/>
      <c r="P832" s="28"/>
      <c r="Q832" s="28"/>
      <c r="R832" s="28"/>
      <c r="S832" s="28"/>
    </row>
    <row r="833">
      <c r="A833" s="17">
        <v>45629.0</v>
      </c>
      <c r="B833" s="18" t="s">
        <v>160</v>
      </c>
      <c r="C833" s="18" t="s">
        <v>19</v>
      </c>
      <c r="D833" s="19"/>
      <c r="E833" s="19"/>
      <c r="F833" s="20">
        <f t="shared" si="7"/>
        <v>0</v>
      </c>
      <c r="G833" s="21">
        <f>IFERROR(VLOOKUP(B833,DADOS!$A$2:$H$252,8,0),"")</f>
        <v>18</v>
      </c>
      <c r="H833" s="22">
        <v>28.0</v>
      </c>
      <c r="I833" s="23">
        <f>IFERROR(VLOOKUP(B833,DADOS!$A$2:$H$252,4,0)*H833,"")</f>
        <v>7.765632</v>
      </c>
      <c r="J833" s="24">
        <v>2.0</v>
      </c>
      <c r="K833" s="25">
        <f>IFERROR(VLOOKUP(B833,DADOS!$A$2:$H$252,4,0)*J833,"")</f>
        <v>0.554688</v>
      </c>
      <c r="L833" s="26">
        <f t="shared" si="14"/>
        <v>0</v>
      </c>
      <c r="M833" s="27"/>
      <c r="N833" s="30"/>
      <c r="O833" s="28"/>
      <c r="P833" s="28"/>
      <c r="Q833" s="28"/>
      <c r="R833" s="28"/>
      <c r="S833" s="28"/>
    </row>
    <row r="834">
      <c r="A834" s="17">
        <v>45629.0</v>
      </c>
      <c r="B834" s="18" t="s">
        <v>71</v>
      </c>
      <c r="C834" s="18" t="s">
        <v>19</v>
      </c>
      <c r="D834" s="19"/>
      <c r="E834" s="19"/>
      <c r="F834" s="20">
        <f t="shared" si="7"/>
        <v>0</v>
      </c>
      <c r="G834" s="21">
        <f>IFERROR(VLOOKUP(B834,DADOS!$A$2:$H$252,8,0),"")</f>
        <v>7</v>
      </c>
      <c r="H834" s="22">
        <v>10.0</v>
      </c>
      <c r="I834" s="23">
        <f>IFERROR(VLOOKUP(B834,DADOS!$A$2:$H$252,4,0)*H834,"")</f>
        <v>14.024062</v>
      </c>
      <c r="J834" s="36"/>
      <c r="K834" s="25">
        <f>IFERROR(VLOOKUP(B834,DADOS!$A$2:$H$252,4,0)*J834,"")</f>
        <v>0</v>
      </c>
      <c r="L834" s="26">
        <f t="shared" si="14"/>
        <v>0</v>
      </c>
      <c r="M834" s="27"/>
      <c r="N834" s="30"/>
      <c r="O834" s="28"/>
      <c r="P834" s="28"/>
      <c r="Q834" s="28"/>
      <c r="R834" s="28"/>
      <c r="S834" s="28"/>
    </row>
    <row r="835">
      <c r="A835" s="17">
        <v>45629.0</v>
      </c>
      <c r="B835" s="18" t="s">
        <v>22</v>
      </c>
      <c r="C835" s="18" t="s">
        <v>19</v>
      </c>
      <c r="D835" s="19"/>
      <c r="E835" s="19"/>
      <c r="F835" s="20">
        <f t="shared" si="7"/>
        <v>0</v>
      </c>
      <c r="G835" s="21">
        <f>IFERROR(VLOOKUP(B835,DADOS!$A$2:$H$252,8,0),"")</f>
        <v>15</v>
      </c>
      <c r="H835" s="22">
        <v>9.0</v>
      </c>
      <c r="I835" s="23">
        <f>IFERROR(VLOOKUP(B835,DADOS!$A$2:$H$252,4,0)*H835,"")</f>
        <v>5.5104786</v>
      </c>
      <c r="J835" s="36"/>
      <c r="K835" s="25">
        <f>IFERROR(VLOOKUP(B835,DADOS!$A$2:$H$252,4,0)*J835,"")</f>
        <v>0</v>
      </c>
      <c r="L835" s="26">
        <f t="shared" si="14"/>
        <v>0</v>
      </c>
      <c r="M835" s="27"/>
      <c r="N835" s="30"/>
      <c r="O835" s="28"/>
      <c r="P835" s="28"/>
      <c r="Q835" s="28"/>
      <c r="R835" s="28"/>
      <c r="S835" s="28"/>
    </row>
    <row r="836">
      <c r="A836" s="17">
        <v>45629.0</v>
      </c>
      <c r="B836" s="18" t="s">
        <v>32</v>
      </c>
      <c r="C836" s="18" t="s">
        <v>19</v>
      </c>
      <c r="D836" s="19"/>
      <c r="E836" s="19"/>
      <c r="F836" s="20">
        <f t="shared" si="7"/>
        <v>0</v>
      </c>
      <c r="G836" s="21">
        <f>IFERROR(VLOOKUP(B836,DADOS!$A$2:$H$252,8,0),"")</f>
        <v>10</v>
      </c>
      <c r="H836" s="22">
        <v>11.0</v>
      </c>
      <c r="I836" s="23">
        <f>IFERROR(VLOOKUP(B836,DADOS!$A$2:$H$252,4,0)*H836,"")</f>
        <v>6.7350294</v>
      </c>
      <c r="J836" s="36"/>
      <c r="K836" s="25">
        <f>IFERROR(VLOOKUP(B836,DADOS!$A$2:$H$252,4,0)*J836,"")</f>
        <v>0</v>
      </c>
      <c r="L836" s="26">
        <f t="shared" si="14"/>
        <v>0</v>
      </c>
      <c r="M836" s="27"/>
      <c r="N836" s="30"/>
      <c r="O836" s="28"/>
      <c r="P836" s="28"/>
      <c r="Q836" s="28"/>
      <c r="R836" s="28"/>
      <c r="S836" s="28"/>
    </row>
    <row r="837">
      <c r="A837" s="17">
        <v>45629.0</v>
      </c>
      <c r="B837" s="18" t="s">
        <v>145</v>
      </c>
      <c r="C837" s="18" t="s">
        <v>19</v>
      </c>
      <c r="D837" s="19"/>
      <c r="E837" s="19"/>
      <c r="F837" s="20">
        <f t="shared" si="7"/>
        <v>0</v>
      </c>
      <c r="G837" s="21">
        <f>IFERROR(VLOOKUP(B837,DADOS!$A$2:$H$252,8,0),"")</f>
        <v>43</v>
      </c>
      <c r="H837" s="22">
        <v>9.0</v>
      </c>
      <c r="I837" s="23">
        <f>IFERROR(VLOOKUP(B837,DADOS!$A$2:$H$252,4,0)*H837,"")</f>
        <v>1.90674</v>
      </c>
      <c r="J837" s="24">
        <v>1.0</v>
      </c>
      <c r="K837" s="25">
        <f>IFERROR(VLOOKUP(B837,DADOS!$A$2:$H$252,4,0)*J837,"")</f>
        <v>0.21186</v>
      </c>
      <c r="L837" s="26">
        <f t="shared" si="14"/>
        <v>0</v>
      </c>
      <c r="M837" s="27"/>
      <c r="N837" s="30"/>
      <c r="O837" s="28"/>
      <c r="P837" s="28"/>
      <c r="Q837" s="28"/>
      <c r="R837" s="28"/>
      <c r="S837" s="28"/>
    </row>
    <row r="838">
      <c r="A838" s="17">
        <v>45629.0</v>
      </c>
      <c r="B838" s="18" t="s">
        <v>96</v>
      </c>
      <c r="C838" s="18" t="s">
        <v>158</v>
      </c>
      <c r="D838" s="19"/>
      <c r="E838" s="19"/>
      <c r="F838" s="20">
        <f t="shared" si="7"/>
        <v>0</v>
      </c>
      <c r="G838" s="21">
        <f>IFERROR(VLOOKUP(B838,DADOS!$A$2:$H$252,8,0),"")</f>
        <v>27</v>
      </c>
      <c r="H838" s="22">
        <v>37.0</v>
      </c>
      <c r="I838" s="23">
        <f>IFERROR(VLOOKUP(B838,DADOS!$A$2:$H$252,4,0)*H838,"")</f>
        <v>3.48392</v>
      </c>
      <c r="J838" s="36"/>
      <c r="K838" s="25">
        <f>IFERROR(VLOOKUP(B838,DADOS!$A$2:$H$252,4,0)*J838,"")</f>
        <v>0</v>
      </c>
      <c r="L838" s="26">
        <f t="shared" si="14"/>
        <v>0</v>
      </c>
      <c r="M838" s="27"/>
      <c r="N838" s="30"/>
      <c r="O838" s="28"/>
      <c r="P838" s="28"/>
      <c r="Q838" s="28"/>
      <c r="R838" s="28"/>
      <c r="S838" s="28"/>
    </row>
    <row r="839">
      <c r="A839" s="17">
        <v>45629.0</v>
      </c>
      <c r="B839" s="18" t="s">
        <v>112</v>
      </c>
      <c r="C839" s="18" t="s">
        <v>158</v>
      </c>
      <c r="D839" s="19"/>
      <c r="E839" s="19"/>
      <c r="F839" s="20">
        <f t="shared" si="7"/>
        <v>0</v>
      </c>
      <c r="G839" s="21">
        <f>IFERROR(VLOOKUP(B839,DADOS!$A$2:$H$252,8,0),"")</f>
        <v>35</v>
      </c>
      <c r="H839" s="22">
        <v>26.0</v>
      </c>
      <c r="I839" s="23">
        <f>IFERROR(VLOOKUP(B839,DADOS!$A$2:$H$252,4,0)*H839,"")</f>
        <v>2.9622736</v>
      </c>
      <c r="J839" s="36"/>
      <c r="K839" s="25">
        <f>IFERROR(VLOOKUP(B839,DADOS!$A$2:$H$252,4,0)*J839,"")</f>
        <v>0</v>
      </c>
      <c r="L839" s="26">
        <f t="shared" si="14"/>
        <v>0</v>
      </c>
      <c r="M839" s="27"/>
      <c r="N839" s="30"/>
      <c r="O839" s="28"/>
      <c r="P839" s="28"/>
      <c r="Q839" s="28"/>
      <c r="R839" s="28"/>
      <c r="S839" s="28"/>
    </row>
    <row r="840">
      <c r="A840" s="17">
        <v>45629.0</v>
      </c>
      <c r="B840" s="18" t="s">
        <v>56</v>
      </c>
      <c r="C840" s="18" t="s">
        <v>136</v>
      </c>
      <c r="D840" s="19"/>
      <c r="E840" s="19"/>
      <c r="F840" s="20"/>
      <c r="G840" s="21">
        <f>IFERROR(VLOOKUP(B840,DADOS!$A$2:$H$252,8,0),"")</f>
        <v>162</v>
      </c>
      <c r="H840" s="22">
        <v>243.0</v>
      </c>
      <c r="I840" s="23">
        <f>IFERROR(VLOOKUP(B840,DADOS!$A$2:$H$252,4,0)*H840,"")</f>
        <v>2.34009</v>
      </c>
      <c r="J840" s="24">
        <v>2.0</v>
      </c>
      <c r="K840" s="25">
        <f>IFERROR(VLOOKUP(B840,DADOS!$A$2:$H$252,4,0)*J840,"")</f>
        <v>0.01926</v>
      </c>
      <c r="L840" s="26">
        <f t="shared" si="14"/>
        <v>0</v>
      </c>
      <c r="M840" s="27"/>
      <c r="N840" s="30"/>
      <c r="O840" s="28"/>
      <c r="P840" s="28"/>
      <c r="Q840" s="28"/>
      <c r="R840" s="28"/>
      <c r="S840" s="28"/>
    </row>
    <row r="841">
      <c r="A841" s="17">
        <v>45629.0</v>
      </c>
      <c r="B841" s="18" t="s">
        <v>123</v>
      </c>
      <c r="C841" s="18" t="s">
        <v>136</v>
      </c>
      <c r="D841" s="19"/>
      <c r="E841" s="19"/>
      <c r="F841" s="20"/>
      <c r="G841" s="21" t="str">
        <f>IFERROR(VLOOKUP(B841,DADOS!$A$2:$H$252,8,0),"")</f>
        <v/>
      </c>
      <c r="H841" s="22">
        <v>31.0</v>
      </c>
      <c r="I841" s="23">
        <f>IFERROR(VLOOKUP(B841,DADOS!$A$2:$H$252,4,0)*H841,"")</f>
        <v>0</v>
      </c>
      <c r="J841" s="24"/>
      <c r="K841" s="25">
        <f>IFERROR(VLOOKUP(B841,DADOS!$A$2:$H$252,4,0)*J841,"")</f>
        <v>0</v>
      </c>
      <c r="L841" s="26" t="str">
        <f t="shared" si="14"/>
        <v/>
      </c>
      <c r="M841" s="27"/>
      <c r="N841" s="30"/>
      <c r="O841" s="28"/>
      <c r="P841" s="28"/>
      <c r="Q841" s="28"/>
      <c r="R841" s="28"/>
      <c r="S841" s="28"/>
    </row>
    <row r="842">
      <c r="A842" s="17">
        <v>45630.0</v>
      </c>
      <c r="B842" s="18" t="s">
        <v>133</v>
      </c>
      <c r="C842" s="18" t="s">
        <v>19</v>
      </c>
      <c r="D842" s="19"/>
      <c r="E842" s="19"/>
      <c r="F842" s="20">
        <f t="shared" ref="F842:F845" si="15">E842-D842</f>
        <v>0</v>
      </c>
      <c r="G842" s="21">
        <f>IFERROR(VLOOKUP(B842,DADOS!$A$2:$H$252,8,0),"")</f>
        <v>20</v>
      </c>
      <c r="H842" s="22">
        <v>3.0</v>
      </c>
      <c r="I842" s="23">
        <f>IFERROR(VLOOKUP(B842,DADOS!$A$2:$H$252,4,0)*H842,"")</f>
        <v>0.231762</v>
      </c>
      <c r="J842" s="36"/>
      <c r="K842" s="25">
        <f>IFERROR(VLOOKUP(B842,DADOS!$A$2:$H$252,4,0)*J842,"")</f>
        <v>0</v>
      </c>
      <c r="L842" s="26">
        <f t="shared" si="14"/>
        <v>0</v>
      </c>
      <c r="M842" s="27"/>
      <c r="N842" s="30"/>
      <c r="O842" s="28"/>
      <c r="P842" s="28"/>
      <c r="Q842" s="28"/>
      <c r="R842" s="28"/>
      <c r="S842" s="28"/>
    </row>
    <row r="843">
      <c r="A843" s="17">
        <v>45630.0</v>
      </c>
      <c r="B843" s="18" t="s">
        <v>134</v>
      </c>
      <c r="C843" s="18" t="s">
        <v>19</v>
      </c>
      <c r="D843" s="19"/>
      <c r="E843" s="19"/>
      <c r="F843" s="20">
        <f t="shared" si="15"/>
        <v>0</v>
      </c>
      <c r="G843" s="21">
        <f>IFERROR(VLOOKUP(B843,DADOS!$A$2:$H$252,8,0),"")</f>
        <v>17</v>
      </c>
      <c r="H843" s="22">
        <v>8.0</v>
      </c>
      <c r="I843" s="23">
        <f>IFERROR(VLOOKUP(B843,DADOS!$A$2:$H$252,4,0)*H843,"")</f>
        <v>0.618032</v>
      </c>
      <c r="J843" s="24">
        <v>2.0</v>
      </c>
      <c r="K843" s="25">
        <f>IFERROR(VLOOKUP(B843,DADOS!$A$2:$H$252,4,0)*J843,"")</f>
        <v>0.154508</v>
      </c>
      <c r="L843" s="26">
        <f t="shared" si="14"/>
        <v>0</v>
      </c>
      <c r="M843" s="27"/>
      <c r="N843" s="30"/>
      <c r="O843" s="28"/>
      <c r="P843" s="28"/>
      <c r="Q843" s="28"/>
      <c r="R843" s="28"/>
      <c r="S843" s="28"/>
    </row>
    <row r="844">
      <c r="A844" s="17">
        <v>45630.0</v>
      </c>
      <c r="B844" s="18" t="s">
        <v>112</v>
      </c>
      <c r="C844" s="18" t="s">
        <v>158</v>
      </c>
      <c r="D844" s="19"/>
      <c r="E844" s="19"/>
      <c r="F844" s="20">
        <f t="shared" si="15"/>
        <v>0</v>
      </c>
      <c r="G844" s="21">
        <f>IFERROR(VLOOKUP(B844,DADOS!$A$2:$H$252,8,0),"")</f>
        <v>35</v>
      </c>
      <c r="H844" s="22">
        <v>73.0</v>
      </c>
      <c r="I844" s="23">
        <f>IFERROR(VLOOKUP(B844,DADOS!$A$2:$H$252,4,0)*H844,"")</f>
        <v>8.3171528</v>
      </c>
      <c r="J844" s="24">
        <v>2.0</v>
      </c>
      <c r="K844" s="25">
        <f>IFERROR(VLOOKUP(B844,DADOS!$A$2:$H$252,4,0)*J844,"")</f>
        <v>0.2278672</v>
      </c>
      <c r="L844" s="26">
        <f t="shared" si="14"/>
        <v>0</v>
      </c>
      <c r="M844" s="27"/>
      <c r="N844" s="30"/>
      <c r="O844" s="28"/>
      <c r="P844" s="28"/>
      <c r="Q844" s="28"/>
      <c r="R844" s="28"/>
      <c r="S844" s="28"/>
    </row>
    <row r="845">
      <c r="A845" s="17">
        <v>45630.0</v>
      </c>
      <c r="B845" s="18" t="s">
        <v>75</v>
      </c>
      <c r="C845" s="18" t="s">
        <v>158</v>
      </c>
      <c r="D845" s="19"/>
      <c r="E845" s="19"/>
      <c r="F845" s="20">
        <f t="shared" si="15"/>
        <v>0</v>
      </c>
      <c r="G845" s="21">
        <f>IFERROR(VLOOKUP(B845,DADOS!$A$2:$H$252,8,0),"")</f>
        <v>23</v>
      </c>
      <c r="H845" s="22">
        <v>7.0</v>
      </c>
      <c r="I845" s="23">
        <f>IFERROR(VLOOKUP(B845,DADOS!$A$2:$H$252,4,0)*H845,"")</f>
        <v>0.7975352</v>
      </c>
      <c r="J845" s="24">
        <v>5.0</v>
      </c>
      <c r="K845" s="25">
        <f>IFERROR(VLOOKUP(B845,DADOS!$A$2:$H$252,4,0)*J845,"")</f>
        <v>0.569668</v>
      </c>
      <c r="L845" s="26">
        <f t="shared" si="14"/>
        <v>0</v>
      </c>
      <c r="M845" s="27"/>
      <c r="N845" s="30"/>
      <c r="O845" s="28"/>
      <c r="P845" s="28"/>
      <c r="Q845" s="28"/>
      <c r="R845" s="28"/>
      <c r="S845" s="28"/>
    </row>
    <row r="846">
      <c r="A846" s="17">
        <v>45630.0</v>
      </c>
      <c r="B846" s="18" t="s">
        <v>123</v>
      </c>
      <c r="C846" s="18" t="s">
        <v>136</v>
      </c>
      <c r="D846" s="19"/>
      <c r="E846" s="19"/>
      <c r="F846" s="20"/>
      <c r="G846" s="21" t="str">
        <f>IFERROR(VLOOKUP(B846,DADOS!$A$2:$H$252,8,0),"")</f>
        <v/>
      </c>
      <c r="H846" s="22">
        <v>75.0</v>
      </c>
      <c r="I846" s="23">
        <f>IFERROR(VLOOKUP(B846,DADOS!$A$2:$H$252,4,0)*H846,"")</f>
        <v>0</v>
      </c>
      <c r="J846" s="24">
        <v>6.0</v>
      </c>
      <c r="K846" s="25">
        <f>IFERROR(VLOOKUP(B846,DADOS!$A$2:$H$252,4,0)*J846,"")</f>
        <v>0</v>
      </c>
      <c r="L846" s="26" t="str">
        <f t="shared" si="14"/>
        <v/>
      </c>
      <c r="M846" s="27"/>
      <c r="N846" s="30"/>
      <c r="O846" s="28"/>
      <c r="P846" s="28"/>
      <c r="Q846" s="28"/>
      <c r="R846" s="28"/>
      <c r="S846" s="28"/>
    </row>
    <row r="847">
      <c r="A847" s="17">
        <v>45631.0</v>
      </c>
      <c r="B847" s="18" t="s">
        <v>116</v>
      </c>
      <c r="C847" s="18" t="s">
        <v>19</v>
      </c>
      <c r="D847" s="19"/>
      <c r="E847" s="19"/>
      <c r="F847" s="20">
        <f t="shared" ref="F847:F865" si="16">E847-D847</f>
        <v>0</v>
      </c>
      <c r="G847" s="21">
        <f>IFERROR(VLOOKUP(B847,DADOS!$A$2:$H$252,8,0),"")</f>
        <v>15</v>
      </c>
      <c r="H847" s="22">
        <v>10.0</v>
      </c>
      <c r="I847" s="23">
        <f>IFERROR(VLOOKUP(B847,DADOS!$A$2:$H$252,4,0)*H847,"")</f>
        <v>2.77344</v>
      </c>
      <c r="J847" s="24">
        <v>1.0</v>
      </c>
      <c r="K847" s="25">
        <f>IFERROR(VLOOKUP(B847,DADOS!$A$2:$H$252,4,0)*J847,"")</f>
        <v>0.277344</v>
      </c>
      <c r="L847" s="26">
        <f t="shared" si="14"/>
        <v>0</v>
      </c>
      <c r="M847" s="27"/>
      <c r="N847" s="30"/>
      <c r="O847" s="28"/>
      <c r="P847" s="28"/>
      <c r="Q847" s="28"/>
      <c r="R847" s="28"/>
      <c r="S847" s="28"/>
    </row>
    <row r="848">
      <c r="A848" s="17">
        <v>45631.0</v>
      </c>
      <c r="B848" s="18" t="s">
        <v>134</v>
      </c>
      <c r="C848" s="18" t="s">
        <v>19</v>
      </c>
      <c r="D848" s="19"/>
      <c r="E848" s="19"/>
      <c r="F848" s="20">
        <f t="shared" si="16"/>
        <v>0</v>
      </c>
      <c r="G848" s="21">
        <f>IFERROR(VLOOKUP(B848,DADOS!$A$2:$H$252,8,0),"")</f>
        <v>17</v>
      </c>
      <c r="H848" s="22">
        <v>15.0</v>
      </c>
      <c r="I848" s="23">
        <f>IFERROR(VLOOKUP(B848,DADOS!$A$2:$H$252,4,0)*H848,"")</f>
        <v>1.15881</v>
      </c>
      <c r="J848" s="24">
        <v>3.0</v>
      </c>
      <c r="K848" s="25">
        <f>IFERROR(VLOOKUP(B848,DADOS!$A$2:$H$252,4,0)*J848,"")</f>
        <v>0.231762</v>
      </c>
      <c r="L848" s="26">
        <f t="shared" si="14"/>
        <v>0</v>
      </c>
      <c r="M848" s="27"/>
      <c r="N848" s="30"/>
      <c r="O848" s="28"/>
      <c r="P848" s="28"/>
      <c r="Q848" s="28"/>
      <c r="R848" s="28"/>
      <c r="S848" s="28"/>
    </row>
    <row r="849">
      <c r="A849" s="17">
        <v>45631.0</v>
      </c>
      <c r="B849" s="18" t="s">
        <v>22</v>
      </c>
      <c r="C849" s="18" t="s">
        <v>19</v>
      </c>
      <c r="D849" s="19"/>
      <c r="E849" s="19"/>
      <c r="F849" s="20">
        <f t="shared" si="16"/>
        <v>0</v>
      </c>
      <c r="G849" s="21">
        <f>IFERROR(VLOOKUP(B849,DADOS!$A$2:$H$252,8,0),"")</f>
        <v>15</v>
      </c>
      <c r="H849" s="22">
        <v>10.0</v>
      </c>
      <c r="I849" s="23">
        <f>IFERROR(VLOOKUP(B849,DADOS!$A$2:$H$252,4,0)*H849,"")</f>
        <v>6.122754</v>
      </c>
      <c r="J849" s="36"/>
      <c r="K849" s="25">
        <f>IFERROR(VLOOKUP(B849,DADOS!$A$2:$H$252,4,0)*J849,"")</f>
        <v>0</v>
      </c>
      <c r="L849" s="26">
        <f t="shared" si="14"/>
        <v>0</v>
      </c>
      <c r="M849" s="27"/>
      <c r="N849" s="30"/>
      <c r="O849" s="28"/>
      <c r="P849" s="28"/>
      <c r="Q849" s="28"/>
      <c r="R849" s="28"/>
      <c r="S849" s="28"/>
    </row>
    <row r="850">
      <c r="A850" s="17">
        <v>45631.0</v>
      </c>
      <c r="B850" s="18" t="s">
        <v>50</v>
      </c>
      <c r="C850" s="18" t="s">
        <v>19</v>
      </c>
      <c r="D850" s="19"/>
      <c r="E850" s="19"/>
      <c r="F850" s="20">
        <f t="shared" si="16"/>
        <v>0</v>
      </c>
      <c r="G850" s="21">
        <f>IFERROR(VLOOKUP(B850,DADOS!$A$2:$H$252,8,0),"")</f>
        <v>8</v>
      </c>
      <c r="H850" s="22">
        <v>9.0</v>
      </c>
      <c r="I850" s="23">
        <f>IFERROR(VLOOKUP(B850,DADOS!$A$2:$H$252,4,0)*H850,"")</f>
        <v>6.4921608</v>
      </c>
      <c r="J850" s="24">
        <v>1.0</v>
      </c>
      <c r="K850" s="25">
        <f>IFERROR(VLOOKUP(B850,DADOS!$A$2:$H$252,4,0)*J850,"")</f>
        <v>0.7213512</v>
      </c>
      <c r="L850" s="26">
        <f t="shared" si="14"/>
        <v>0</v>
      </c>
      <c r="M850" s="27"/>
      <c r="N850" s="30"/>
      <c r="O850" s="28"/>
      <c r="P850" s="28"/>
      <c r="Q850" s="28"/>
      <c r="R850" s="28"/>
      <c r="S850" s="28"/>
    </row>
    <row r="851">
      <c r="A851" s="17">
        <v>45631.0</v>
      </c>
      <c r="B851" s="18" t="s">
        <v>26</v>
      </c>
      <c r="C851" s="18" t="s">
        <v>19</v>
      </c>
      <c r="D851" s="19"/>
      <c r="E851" s="19"/>
      <c r="F851" s="20">
        <f t="shared" si="16"/>
        <v>0</v>
      </c>
      <c r="G851" s="21">
        <f>IFERROR(VLOOKUP(B851,DADOS!$A$2:$H$252,8,0),"")</f>
        <v>50</v>
      </c>
      <c r="H851" s="22">
        <v>19.0</v>
      </c>
      <c r="I851" s="23">
        <f>IFERROR(VLOOKUP(B851,DADOS!$A$2:$H$252,4,0)*H851,"")</f>
        <v>2.1647384</v>
      </c>
      <c r="J851" s="36"/>
      <c r="K851" s="25">
        <f>IFERROR(VLOOKUP(B851,DADOS!$A$2:$H$252,4,0)*J851,"")</f>
        <v>0</v>
      </c>
      <c r="L851" s="26">
        <f t="shared" si="14"/>
        <v>0</v>
      </c>
      <c r="M851" s="27"/>
      <c r="N851" s="30"/>
      <c r="O851" s="28"/>
      <c r="P851" s="28"/>
      <c r="Q851" s="28"/>
      <c r="R851" s="28"/>
      <c r="S851" s="28"/>
    </row>
    <row r="852">
      <c r="A852" s="17">
        <v>45631.0</v>
      </c>
      <c r="B852" s="18" t="s">
        <v>109</v>
      </c>
      <c r="C852" s="18" t="s">
        <v>19</v>
      </c>
      <c r="D852" s="19"/>
      <c r="E852" s="19"/>
      <c r="F852" s="20">
        <f t="shared" si="16"/>
        <v>0</v>
      </c>
      <c r="G852" s="21" t="str">
        <f>IFERROR(VLOOKUP(B852,DADOS!$A$2:$H$252,8,0),"")</f>
        <v/>
      </c>
      <c r="H852" s="22">
        <v>36.0</v>
      </c>
      <c r="I852" s="23" t="str">
        <f>IFERROR(VLOOKUP(B852,DADOS!$A$2:$H$252,4,0)*H852,"")</f>
        <v/>
      </c>
      <c r="J852" s="36"/>
      <c r="K852" s="25" t="str">
        <f>IFERROR(VLOOKUP(B852,DADOS!$A$2:$H$252,4,0)*J852,"")</f>
        <v/>
      </c>
      <c r="L852" s="26" t="str">
        <f t="shared" si="14"/>
        <v/>
      </c>
      <c r="M852" s="27"/>
      <c r="N852" s="30"/>
      <c r="O852" s="28"/>
      <c r="P852" s="28"/>
      <c r="Q852" s="28"/>
      <c r="R852" s="28"/>
      <c r="S852" s="28"/>
    </row>
    <row r="853">
      <c r="A853" s="17">
        <v>45631.0</v>
      </c>
      <c r="B853" s="18" t="s">
        <v>75</v>
      </c>
      <c r="C853" s="18" t="s">
        <v>158</v>
      </c>
      <c r="D853" s="19"/>
      <c r="E853" s="19"/>
      <c r="F853" s="20">
        <f t="shared" si="16"/>
        <v>0</v>
      </c>
      <c r="G853" s="21">
        <f>IFERROR(VLOOKUP(B853,DADOS!$A$2:$H$252,8,0),"")</f>
        <v>23</v>
      </c>
      <c r="H853" s="22">
        <v>64.0</v>
      </c>
      <c r="I853" s="23">
        <f>IFERROR(VLOOKUP(B853,DADOS!$A$2:$H$252,4,0)*H853,"")</f>
        <v>7.2917504</v>
      </c>
      <c r="J853" s="24">
        <v>3.0</v>
      </c>
      <c r="K853" s="25">
        <f>IFERROR(VLOOKUP(B853,DADOS!$A$2:$H$252,4,0)*J853,"")</f>
        <v>0.3418008</v>
      </c>
      <c r="L853" s="26">
        <f t="shared" si="14"/>
        <v>0</v>
      </c>
      <c r="M853" s="27"/>
      <c r="N853" s="30"/>
      <c r="O853" s="28"/>
      <c r="P853" s="28"/>
      <c r="Q853" s="28"/>
      <c r="R853" s="28"/>
      <c r="S853" s="28"/>
    </row>
    <row r="854">
      <c r="A854" s="17">
        <v>45631.0</v>
      </c>
      <c r="B854" s="18" t="s">
        <v>61</v>
      </c>
      <c r="C854" s="18" t="s">
        <v>136</v>
      </c>
      <c r="D854" s="19"/>
      <c r="E854" s="19"/>
      <c r="F854" s="20">
        <f t="shared" si="16"/>
        <v>0</v>
      </c>
      <c r="G854" s="21">
        <f>IFERROR(VLOOKUP(B854,DADOS!$A$2:$H$252,8,0),"")</f>
        <v>112</v>
      </c>
      <c r="H854" s="22">
        <v>206.0</v>
      </c>
      <c r="I854" s="23">
        <f>IFERROR(VLOOKUP(B854,DADOS!$A$2:$H$252,4,0)*H854,"")</f>
        <v>3.08588</v>
      </c>
      <c r="J854" s="24">
        <v>6.0</v>
      </c>
      <c r="K854" s="25">
        <f>IFERROR(VLOOKUP(B854,DADOS!$A$2:$H$252,4,0)*J854,"")</f>
        <v>0.08988</v>
      </c>
      <c r="L854" s="26">
        <f t="shared" si="14"/>
        <v>0</v>
      </c>
      <c r="M854" s="27"/>
      <c r="N854" s="30"/>
      <c r="O854" s="28"/>
      <c r="P854" s="28"/>
      <c r="Q854" s="28"/>
      <c r="R854" s="28"/>
      <c r="S854" s="28"/>
    </row>
    <row r="855">
      <c r="A855" s="17">
        <v>45632.0</v>
      </c>
      <c r="B855" s="18" t="s">
        <v>125</v>
      </c>
      <c r="C855" s="18" t="s">
        <v>19</v>
      </c>
      <c r="D855" s="19"/>
      <c r="E855" s="19"/>
      <c r="F855" s="20">
        <f t="shared" si="16"/>
        <v>0</v>
      </c>
      <c r="G855" s="21">
        <f>IFERROR(VLOOKUP(B855,DADOS!$A$2:$H$252,8,0),"")</f>
        <v>12</v>
      </c>
      <c r="H855" s="22">
        <v>7.0</v>
      </c>
      <c r="I855" s="23">
        <f>IFERROR(VLOOKUP(B855,DADOS!$A$2:$H$252,4,0)*H855,"")</f>
        <v>1.2918752</v>
      </c>
      <c r="J855" s="24">
        <v>3.0</v>
      </c>
      <c r="K855" s="25">
        <f>IFERROR(VLOOKUP(B855,DADOS!$A$2:$H$252,4,0)*J855,"")</f>
        <v>0.5536608</v>
      </c>
      <c r="L855" s="26">
        <f t="shared" si="14"/>
        <v>0</v>
      </c>
      <c r="M855" s="27"/>
      <c r="N855" s="30"/>
      <c r="O855" s="28"/>
      <c r="P855" s="28"/>
      <c r="Q855" s="28"/>
      <c r="R855" s="28"/>
      <c r="S855" s="28"/>
    </row>
    <row r="856">
      <c r="A856" s="17">
        <v>45632.0</v>
      </c>
      <c r="B856" s="18" t="s">
        <v>109</v>
      </c>
      <c r="C856" s="18" t="s">
        <v>19</v>
      </c>
      <c r="D856" s="19"/>
      <c r="E856" s="19"/>
      <c r="F856" s="20">
        <f t="shared" si="16"/>
        <v>0</v>
      </c>
      <c r="G856" s="21" t="str">
        <f>IFERROR(VLOOKUP(B856,DADOS!$A$2:$H$252,8,0),"")</f>
        <v/>
      </c>
      <c r="H856" s="22">
        <v>23.0</v>
      </c>
      <c r="I856" s="23" t="str">
        <f>IFERROR(VLOOKUP(B856,DADOS!$A$2:$H$252,4,0)*H856,"")</f>
        <v/>
      </c>
      <c r="J856" s="24">
        <v>1.0</v>
      </c>
      <c r="K856" s="25" t="str">
        <f>IFERROR(VLOOKUP(B856,DADOS!$A$2:$H$252,4,0)*J856,"")</f>
        <v/>
      </c>
      <c r="L856" s="26" t="str">
        <f t="shared" si="14"/>
        <v/>
      </c>
      <c r="M856" s="27"/>
      <c r="N856" s="30"/>
      <c r="O856" s="28"/>
      <c r="P856" s="28"/>
      <c r="Q856" s="28"/>
      <c r="R856" s="28"/>
      <c r="S856" s="28"/>
    </row>
    <row r="857">
      <c r="A857" s="17">
        <v>45632.0</v>
      </c>
      <c r="B857" s="18" t="s">
        <v>71</v>
      </c>
      <c r="C857" s="18" t="s">
        <v>19</v>
      </c>
      <c r="D857" s="19"/>
      <c r="E857" s="19"/>
      <c r="F857" s="20">
        <f t="shared" si="16"/>
        <v>0</v>
      </c>
      <c r="G857" s="21">
        <f>IFERROR(VLOOKUP(B857,DADOS!$A$2:$H$252,8,0),"")</f>
        <v>7</v>
      </c>
      <c r="H857" s="22">
        <v>20.0</v>
      </c>
      <c r="I857" s="23">
        <f>IFERROR(VLOOKUP(B857,DADOS!$A$2:$H$252,4,0)*H857,"")</f>
        <v>28.048124</v>
      </c>
      <c r="J857" s="36"/>
      <c r="K857" s="25">
        <f>IFERROR(VLOOKUP(B857,DADOS!$A$2:$H$252,4,0)*J857,"")</f>
        <v>0</v>
      </c>
      <c r="L857" s="26">
        <f t="shared" si="14"/>
        <v>0</v>
      </c>
      <c r="M857" s="27"/>
      <c r="N857" s="30"/>
      <c r="O857" s="28"/>
      <c r="P857" s="28"/>
      <c r="Q857" s="28"/>
      <c r="R857" s="28"/>
      <c r="S857" s="28"/>
    </row>
    <row r="858">
      <c r="A858" s="17">
        <v>45632.0</v>
      </c>
      <c r="B858" s="18" t="s">
        <v>25</v>
      </c>
      <c r="C858" s="18" t="s">
        <v>158</v>
      </c>
      <c r="D858" s="19"/>
      <c r="E858" s="19"/>
      <c r="F858" s="20">
        <f t="shared" si="16"/>
        <v>0</v>
      </c>
      <c r="G858" s="21">
        <f>IFERROR(VLOOKUP(B858,DADOS!$A$2:$H$252,8,0),"")</f>
        <v>40</v>
      </c>
      <c r="H858" s="22">
        <v>27.0</v>
      </c>
      <c r="I858" s="23">
        <f>IFERROR(VLOOKUP(B858,DADOS!$A$2:$H$252,4,0)*H858,"")</f>
        <v>2.796552</v>
      </c>
      <c r="J858" s="24">
        <v>2.0</v>
      </c>
      <c r="K858" s="25">
        <f>IFERROR(VLOOKUP(B858,DADOS!$A$2:$H$252,4,0)*J858,"")</f>
        <v>0.207152</v>
      </c>
      <c r="L858" s="26">
        <f t="shared" si="14"/>
        <v>0</v>
      </c>
      <c r="M858" s="27"/>
      <c r="N858" s="30"/>
      <c r="O858" s="28"/>
      <c r="P858" s="28"/>
      <c r="Q858" s="28"/>
      <c r="R858" s="28"/>
      <c r="S858" s="28"/>
    </row>
    <row r="859">
      <c r="A859" s="17">
        <v>45635.0</v>
      </c>
      <c r="B859" s="18" t="s">
        <v>25</v>
      </c>
      <c r="C859" s="18" t="s">
        <v>158</v>
      </c>
      <c r="D859" s="19"/>
      <c r="E859" s="19"/>
      <c r="F859" s="20">
        <f t="shared" si="16"/>
        <v>0</v>
      </c>
      <c r="G859" s="21">
        <f>IFERROR(VLOOKUP(B859,DADOS!$A$2:$H$252,8,0),"")</f>
        <v>40</v>
      </c>
      <c r="H859" s="22">
        <v>88.0</v>
      </c>
      <c r="I859" s="23">
        <f>IFERROR(VLOOKUP(B859,DADOS!$A$2:$H$252,4,0)*H859,"")</f>
        <v>9.114688</v>
      </c>
      <c r="J859" s="24">
        <v>3.0</v>
      </c>
      <c r="K859" s="25">
        <f>IFERROR(VLOOKUP(B859,DADOS!$A$2:$H$252,4,0)*J859,"")</f>
        <v>0.310728</v>
      </c>
      <c r="L859" s="26">
        <f t="shared" si="14"/>
        <v>0</v>
      </c>
      <c r="M859" s="27"/>
      <c r="N859" s="30"/>
      <c r="O859" s="28"/>
      <c r="P859" s="28"/>
      <c r="Q859" s="28"/>
      <c r="R859" s="28"/>
      <c r="S859" s="28"/>
    </row>
    <row r="860">
      <c r="A860" s="17">
        <v>45635.0</v>
      </c>
      <c r="B860" s="18" t="s">
        <v>161</v>
      </c>
      <c r="C860" s="18" t="s">
        <v>136</v>
      </c>
      <c r="D860" s="19"/>
      <c r="E860" s="19"/>
      <c r="F860" s="20">
        <f t="shared" si="16"/>
        <v>0</v>
      </c>
      <c r="G860" s="21">
        <f>IFERROR(VLOOKUP(B860,DADOS!$A$2:$H$252,8,0),"")</f>
        <v>22</v>
      </c>
      <c r="H860" s="22">
        <v>10.0</v>
      </c>
      <c r="I860" s="23">
        <f>IFERROR(VLOOKUP(B860,DADOS!$A$2:$H$252,4,0)*H860,"")</f>
        <v>0.77254</v>
      </c>
      <c r="J860" s="36"/>
      <c r="K860" s="25">
        <f>IFERROR(VLOOKUP(B860,DADOS!$A$2:$H$252,4,0)*J860,"")</f>
        <v>0</v>
      </c>
      <c r="L860" s="26">
        <f t="shared" si="14"/>
        <v>0</v>
      </c>
      <c r="M860" s="27"/>
      <c r="N860" s="30"/>
      <c r="O860" s="28"/>
      <c r="P860" s="28"/>
      <c r="Q860" s="28"/>
      <c r="R860" s="28"/>
      <c r="S860" s="28"/>
    </row>
    <row r="861">
      <c r="A861" s="17">
        <v>45635.0</v>
      </c>
      <c r="B861" s="18" t="s">
        <v>72</v>
      </c>
      <c r="C861" s="18" t="s">
        <v>136</v>
      </c>
      <c r="D861" s="19"/>
      <c r="E861" s="19"/>
      <c r="F861" s="20">
        <f t="shared" si="16"/>
        <v>0</v>
      </c>
      <c r="G861" s="21">
        <f>IFERROR(VLOOKUP(B861,DADOS!$A$2:$H$252,8,0),"")</f>
        <v>43</v>
      </c>
      <c r="H861" s="22">
        <v>200.0</v>
      </c>
      <c r="I861" s="23">
        <f>IFERROR(VLOOKUP(B861,DADOS!$A$2:$H$252,4,0)*H861,"")</f>
        <v>3.424</v>
      </c>
      <c r="J861" s="36"/>
      <c r="K861" s="25">
        <f>IFERROR(VLOOKUP(B861,DADOS!$A$2:$H$252,4,0)*J861,"")</f>
        <v>0</v>
      </c>
      <c r="L861" s="26">
        <f t="shared" si="14"/>
        <v>0</v>
      </c>
      <c r="M861" s="27"/>
      <c r="N861" s="30"/>
      <c r="O861" s="28"/>
      <c r="P861" s="28"/>
      <c r="Q861" s="28"/>
      <c r="R861" s="28"/>
      <c r="S861" s="28"/>
    </row>
    <row r="862">
      <c r="A862" s="17">
        <v>45636.0</v>
      </c>
      <c r="B862" s="18" t="s">
        <v>125</v>
      </c>
      <c r="C862" s="18" t="s">
        <v>19</v>
      </c>
      <c r="D862" s="19"/>
      <c r="E862" s="19"/>
      <c r="F862" s="20">
        <f t="shared" si="16"/>
        <v>0</v>
      </c>
      <c r="G862" s="21">
        <f>IFERROR(VLOOKUP(B862,DADOS!$A$2:$H$252,8,0),"")</f>
        <v>12</v>
      </c>
      <c r="H862" s="22">
        <v>22.0</v>
      </c>
      <c r="I862" s="23">
        <f>IFERROR(VLOOKUP(B862,DADOS!$A$2:$H$252,4,0)*H862,"")</f>
        <v>4.0601792</v>
      </c>
      <c r="J862" s="24">
        <v>2.0</v>
      </c>
      <c r="K862" s="25">
        <f>IFERROR(VLOOKUP(B862,DADOS!$A$2:$H$252,4,0)*J862,"")</f>
        <v>0.3691072</v>
      </c>
      <c r="L862" s="26">
        <f t="shared" si="14"/>
        <v>0</v>
      </c>
      <c r="M862" s="27"/>
      <c r="N862" s="30"/>
      <c r="O862" s="28"/>
      <c r="P862" s="28"/>
      <c r="Q862" s="28"/>
      <c r="R862" s="28"/>
      <c r="S862" s="28"/>
    </row>
    <row r="863">
      <c r="A863" s="17">
        <v>45636.0</v>
      </c>
      <c r="B863" s="18" t="s">
        <v>64</v>
      </c>
      <c r="C863" s="18" t="s">
        <v>19</v>
      </c>
      <c r="D863" s="19"/>
      <c r="E863" s="19"/>
      <c r="F863" s="20">
        <f t="shared" si="16"/>
        <v>0</v>
      </c>
      <c r="G863" s="21">
        <f>IFERROR(VLOOKUP(B863,DADOS!$A$2:$H$252,8,0),"")</f>
        <v>21</v>
      </c>
      <c r="H863" s="22">
        <v>18.0</v>
      </c>
      <c r="I863" s="23">
        <f>IFERROR(VLOOKUP(B863,DADOS!$A$2:$H$252,4,0)*H863,"")</f>
        <v>4.194828</v>
      </c>
      <c r="J863" s="24">
        <v>1.0</v>
      </c>
      <c r="K863" s="25">
        <f>IFERROR(VLOOKUP(B863,DADOS!$A$2:$H$252,4,0)*J863,"")</f>
        <v>0.233046</v>
      </c>
      <c r="L863" s="26">
        <f t="shared" si="14"/>
        <v>0</v>
      </c>
      <c r="M863" s="27"/>
      <c r="N863" s="30"/>
      <c r="O863" s="28"/>
      <c r="P863" s="28"/>
      <c r="Q863" s="28"/>
      <c r="R863" s="28"/>
      <c r="S863" s="28"/>
    </row>
    <row r="864">
      <c r="A864" s="17">
        <v>45636.0</v>
      </c>
      <c r="B864" s="18" t="s">
        <v>63</v>
      </c>
      <c r="C864" s="18" t="s">
        <v>19</v>
      </c>
      <c r="D864" s="19"/>
      <c r="E864" s="19"/>
      <c r="F864" s="20">
        <f t="shared" si="16"/>
        <v>0</v>
      </c>
      <c r="G864" s="21" t="str">
        <f>IFERROR(VLOOKUP(B864,DADOS!$A$2:$H$252,8,0),"")</f>
        <v/>
      </c>
      <c r="H864" s="22">
        <v>9.0</v>
      </c>
      <c r="I864" s="23">
        <f>IFERROR(VLOOKUP(B864,DADOS!$A$2:$H$252,4,0)*H864,"")</f>
        <v>0</v>
      </c>
      <c r="J864" s="24">
        <v>1.0</v>
      </c>
      <c r="K864" s="25">
        <f>IFERROR(VLOOKUP(B864,DADOS!$A$2:$H$252,4,0)*J864,"")</f>
        <v>0</v>
      </c>
      <c r="L864" s="26" t="str">
        <f t="shared" si="14"/>
        <v/>
      </c>
      <c r="M864" s="27"/>
      <c r="N864" s="30"/>
      <c r="O864" s="28"/>
      <c r="P864" s="28"/>
      <c r="Q864" s="28"/>
      <c r="R864" s="28"/>
      <c r="S864" s="28"/>
    </row>
    <row r="865">
      <c r="A865" s="17">
        <v>45636.0</v>
      </c>
      <c r="B865" s="18" t="s">
        <v>161</v>
      </c>
      <c r="C865" s="18" t="s">
        <v>136</v>
      </c>
      <c r="D865" s="19"/>
      <c r="E865" s="19"/>
      <c r="F865" s="20">
        <f t="shared" si="16"/>
        <v>0</v>
      </c>
      <c r="G865" s="21">
        <f>IFERROR(VLOOKUP(B865,DADOS!$A$2:$H$252,8,0),"")</f>
        <v>22</v>
      </c>
      <c r="H865" s="22">
        <v>35.0</v>
      </c>
      <c r="I865" s="23">
        <f>IFERROR(VLOOKUP(B865,DADOS!$A$2:$H$252,4,0)*H865,"")</f>
        <v>2.70389</v>
      </c>
      <c r="J865" s="36"/>
      <c r="K865" s="25">
        <f>IFERROR(VLOOKUP(B865,DADOS!$A$2:$H$252,4,0)*J865,"")</f>
        <v>0</v>
      </c>
      <c r="L865" s="26">
        <f t="shared" si="14"/>
        <v>0</v>
      </c>
      <c r="M865" s="27"/>
      <c r="N865" s="30"/>
      <c r="O865" s="28"/>
      <c r="P865" s="28"/>
      <c r="Q865" s="28"/>
      <c r="R865" s="28"/>
      <c r="S865" s="28"/>
    </row>
    <row r="866">
      <c r="A866" s="17">
        <v>45636.0</v>
      </c>
      <c r="B866" s="18" t="s">
        <v>157</v>
      </c>
      <c r="C866" s="18" t="s">
        <v>136</v>
      </c>
      <c r="D866" s="19"/>
      <c r="E866" s="19"/>
      <c r="F866" s="20"/>
      <c r="G866" s="21"/>
      <c r="H866" s="22">
        <v>30.0</v>
      </c>
      <c r="I866" s="23"/>
      <c r="J866" s="36"/>
      <c r="K866" s="25"/>
      <c r="L866" s="26"/>
      <c r="M866" s="27"/>
      <c r="N866" s="30"/>
      <c r="O866" s="28"/>
      <c r="P866" s="28"/>
      <c r="Q866" s="28"/>
      <c r="R866" s="28"/>
      <c r="S866" s="28"/>
    </row>
    <row r="867">
      <c r="A867" s="17">
        <v>45636.0</v>
      </c>
      <c r="B867" s="18" t="s">
        <v>58</v>
      </c>
      <c r="C867" s="18" t="s">
        <v>136</v>
      </c>
      <c r="D867" s="19"/>
      <c r="E867" s="19"/>
      <c r="F867" s="20"/>
      <c r="G867" s="21"/>
      <c r="H867" s="22">
        <v>22.0</v>
      </c>
      <c r="I867" s="23"/>
      <c r="J867" s="24">
        <v>4.0</v>
      </c>
      <c r="K867" s="25"/>
      <c r="L867" s="26"/>
      <c r="M867" s="27"/>
      <c r="N867" s="30"/>
      <c r="O867" s="28"/>
      <c r="P867" s="28"/>
      <c r="Q867" s="28"/>
      <c r="R867" s="28"/>
      <c r="S867" s="28"/>
    </row>
    <row r="868">
      <c r="A868" s="17">
        <v>45637.0</v>
      </c>
      <c r="B868" s="18" t="s">
        <v>125</v>
      </c>
      <c r="C868" s="18" t="s">
        <v>19</v>
      </c>
      <c r="D868" s="19"/>
      <c r="E868" s="19"/>
      <c r="F868" s="20">
        <f t="shared" ref="F868:F883" si="17">E868-D868</f>
        <v>0</v>
      </c>
      <c r="G868" s="21">
        <f>IFERROR(VLOOKUP(B868,DADOS!$A$2:$H$252,8,0),"")</f>
        <v>12</v>
      </c>
      <c r="H868" s="22">
        <v>13.0</v>
      </c>
      <c r="I868" s="23">
        <f>IFERROR(VLOOKUP(B868,DADOS!$A$2:$H$252,4,0)*H868,"")</f>
        <v>2.3991968</v>
      </c>
      <c r="J868" s="36"/>
      <c r="K868" s="25">
        <f>IFERROR(VLOOKUP(B868,DADOS!$A$2:$H$252,4,0)*J868,"")</f>
        <v>0</v>
      </c>
      <c r="L868" s="26">
        <f t="shared" ref="L868:L883" si="18">IFERROR(IF(C868="TAMBOR", $K$457/J868, $K$457/I868), "")
</f>
        <v>0</v>
      </c>
      <c r="M868" s="27"/>
      <c r="N868" s="30"/>
      <c r="O868" s="28"/>
      <c r="P868" s="28"/>
      <c r="Q868" s="28"/>
      <c r="R868" s="28"/>
      <c r="S868" s="28"/>
    </row>
    <row r="869">
      <c r="A869" s="17">
        <v>45637.0</v>
      </c>
      <c r="B869" s="18" t="s">
        <v>29</v>
      </c>
      <c r="C869" s="18" t="s">
        <v>19</v>
      </c>
      <c r="D869" s="19"/>
      <c r="E869" s="19"/>
      <c r="F869" s="20">
        <f t="shared" si="17"/>
        <v>0</v>
      </c>
      <c r="G869" s="21">
        <f>IFERROR(VLOOKUP(B869,DADOS!$A$2:$H$252,8,0),"")</f>
        <v>12</v>
      </c>
      <c r="H869" s="22">
        <v>20.0</v>
      </c>
      <c r="I869" s="23">
        <f>IFERROR(VLOOKUP(B869,DADOS!$A$2:$H$252,4,0)*H869,"")</f>
        <v>17.472672</v>
      </c>
      <c r="J869" s="36"/>
      <c r="K869" s="25">
        <f>IFERROR(VLOOKUP(B869,DADOS!$A$2:$H$252,4,0)*J869,"")</f>
        <v>0</v>
      </c>
      <c r="L869" s="26">
        <f t="shared" si="18"/>
        <v>0</v>
      </c>
      <c r="M869" s="27"/>
      <c r="N869" s="30"/>
      <c r="O869" s="28"/>
      <c r="P869" s="28"/>
      <c r="Q869" s="28"/>
      <c r="R869" s="28"/>
      <c r="S869" s="28"/>
    </row>
    <row r="870">
      <c r="A870" s="17">
        <v>45637.0</v>
      </c>
      <c r="B870" s="18" t="s">
        <v>44</v>
      </c>
      <c r="C870" s="18" t="s">
        <v>19</v>
      </c>
      <c r="D870" s="19"/>
      <c r="E870" s="19"/>
      <c r="F870" s="20">
        <f t="shared" si="17"/>
        <v>0</v>
      </c>
      <c r="G870" s="21">
        <f>IFERROR(VLOOKUP(B870,DADOS!$A$2:$H$252,8,0),"")</f>
        <v>15</v>
      </c>
      <c r="H870" s="22">
        <v>11.0</v>
      </c>
      <c r="I870" s="23">
        <f>IFERROR(VLOOKUP(B870,DADOS!$A$2:$H$252,4,0)*H870,"")</f>
        <v>2.0300896</v>
      </c>
      <c r="J870" s="24">
        <v>6.0</v>
      </c>
      <c r="K870" s="25">
        <f>IFERROR(VLOOKUP(B870,DADOS!$A$2:$H$252,4,0)*J870,"")</f>
        <v>1.1073216</v>
      </c>
      <c r="L870" s="26">
        <f t="shared" si="18"/>
        <v>0</v>
      </c>
      <c r="M870" s="27"/>
      <c r="N870" s="30"/>
      <c r="O870" s="28"/>
      <c r="P870" s="28"/>
      <c r="Q870" s="28"/>
      <c r="R870" s="28"/>
      <c r="S870" s="28"/>
    </row>
    <row r="871">
      <c r="A871" s="17">
        <v>45637.0</v>
      </c>
      <c r="B871" s="18" t="s">
        <v>122</v>
      </c>
      <c r="C871" s="18" t="s">
        <v>19</v>
      </c>
      <c r="D871" s="19"/>
      <c r="E871" s="19"/>
      <c r="F871" s="20">
        <f t="shared" si="17"/>
        <v>0</v>
      </c>
      <c r="G871" s="21">
        <f>IFERROR(VLOOKUP(B871,DADOS!$A$2:$H$252,8,0),"")</f>
        <v>17</v>
      </c>
      <c r="H871" s="22">
        <v>2.0</v>
      </c>
      <c r="I871" s="23">
        <f>IFERROR(VLOOKUP(B871,DADOS!$A$2:$H$252,4,0)*H871,"")</f>
        <v>0.3432132</v>
      </c>
      <c r="J871" s="36"/>
      <c r="K871" s="25">
        <f>IFERROR(VLOOKUP(B871,DADOS!$A$2:$H$252,4,0)*J871,"")</f>
        <v>0</v>
      </c>
      <c r="L871" s="26">
        <f t="shared" si="18"/>
        <v>0</v>
      </c>
      <c r="M871" s="27"/>
      <c r="N871" s="30"/>
      <c r="O871" s="28"/>
      <c r="P871" s="28"/>
      <c r="Q871" s="28"/>
      <c r="R871" s="28"/>
      <c r="S871" s="28"/>
    </row>
    <row r="872">
      <c r="A872" s="17">
        <v>45637.0</v>
      </c>
      <c r="B872" s="18" t="s">
        <v>58</v>
      </c>
      <c r="C872" s="18" t="s">
        <v>146</v>
      </c>
      <c r="D872" s="19"/>
      <c r="E872" s="19"/>
      <c r="F872" s="20">
        <f t="shared" si="17"/>
        <v>0</v>
      </c>
      <c r="G872" s="21">
        <f>IFERROR(VLOOKUP(B872,DADOS!$A$2:$H$252,8,0),"")</f>
        <v>31</v>
      </c>
      <c r="H872" s="22">
        <v>77.0</v>
      </c>
      <c r="I872" s="23">
        <f>IFERROR(VLOOKUP(B872,DADOS!$A$2:$H$252,4,0)*H872,"")</f>
        <v>8.7728872</v>
      </c>
      <c r="J872" s="24">
        <v>5.0</v>
      </c>
      <c r="K872" s="25">
        <f>IFERROR(VLOOKUP(B872,DADOS!$A$2:$H$252,4,0)*J872,"")</f>
        <v>0.569668</v>
      </c>
      <c r="L872" s="26">
        <f t="shared" si="18"/>
        <v>0</v>
      </c>
      <c r="M872" s="27"/>
      <c r="N872" s="30"/>
      <c r="O872" s="28"/>
      <c r="P872" s="28"/>
      <c r="Q872" s="28"/>
      <c r="R872" s="28"/>
      <c r="S872" s="28"/>
    </row>
    <row r="873">
      <c r="A873" s="17">
        <v>45638.0</v>
      </c>
      <c r="B873" s="18" t="s">
        <v>35</v>
      </c>
      <c r="C873" s="18" t="s">
        <v>19</v>
      </c>
      <c r="D873" s="19"/>
      <c r="E873" s="19"/>
      <c r="F873" s="20">
        <f t="shared" si="17"/>
        <v>0</v>
      </c>
      <c r="G873" s="21">
        <f>IFERROR(VLOOKUP(B873,DADOS!$A$2:$H$252,8,0),"")</f>
        <v>30</v>
      </c>
      <c r="H873" s="22">
        <v>16.0</v>
      </c>
      <c r="I873" s="23">
        <f>IFERROR(VLOOKUP(B873,DADOS!$A$2:$H$252,4,0)*H873,"")</f>
        <v>2.7457056</v>
      </c>
      <c r="J873" s="36"/>
      <c r="K873" s="25">
        <f>IFERROR(VLOOKUP(B873,DADOS!$A$2:$H$252,4,0)*J873,"")</f>
        <v>0</v>
      </c>
      <c r="L873" s="26">
        <f t="shared" si="18"/>
        <v>0</v>
      </c>
      <c r="M873" s="27"/>
      <c r="N873" s="30"/>
      <c r="O873" s="28"/>
      <c r="P873" s="28"/>
      <c r="Q873" s="28"/>
      <c r="R873" s="28"/>
      <c r="S873" s="28"/>
    </row>
    <row r="874">
      <c r="A874" s="17">
        <v>45638.0</v>
      </c>
      <c r="B874" s="18" t="s">
        <v>62</v>
      </c>
      <c r="C874" s="18" t="s">
        <v>19</v>
      </c>
      <c r="D874" s="19"/>
      <c r="E874" s="19"/>
      <c r="F874" s="20">
        <f t="shared" si="17"/>
        <v>0</v>
      </c>
      <c r="G874" s="21">
        <f>IFERROR(VLOOKUP(B874,DADOS!$A$2:$H$252,8,0),"")</f>
        <v>14</v>
      </c>
      <c r="H874" s="22">
        <v>3.0</v>
      </c>
      <c r="I874" s="23">
        <f>IFERROR(VLOOKUP(B874,DADOS!$A$2:$H$252,4,0)*H874,"")</f>
        <v>0.2549382</v>
      </c>
      <c r="J874" s="36"/>
      <c r="K874" s="25">
        <f>IFERROR(VLOOKUP(B874,DADOS!$A$2:$H$252,4,0)*J874,"")</f>
        <v>0</v>
      </c>
      <c r="L874" s="26">
        <f t="shared" si="18"/>
        <v>0</v>
      </c>
      <c r="M874" s="27"/>
      <c r="N874" s="30"/>
      <c r="O874" s="28"/>
      <c r="P874" s="28"/>
      <c r="Q874" s="28"/>
      <c r="R874" s="28"/>
      <c r="S874" s="28"/>
    </row>
    <row r="875">
      <c r="A875" s="17">
        <v>45638.0</v>
      </c>
      <c r="B875" s="18" t="s">
        <v>22</v>
      </c>
      <c r="C875" s="18" t="s">
        <v>19</v>
      </c>
      <c r="D875" s="19"/>
      <c r="E875" s="19"/>
      <c r="F875" s="20">
        <f t="shared" si="17"/>
        <v>0</v>
      </c>
      <c r="G875" s="21">
        <f>IFERROR(VLOOKUP(B875,DADOS!$A$2:$H$252,8,0),"")</f>
        <v>15</v>
      </c>
      <c r="H875" s="22">
        <v>30.0</v>
      </c>
      <c r="I875" s="23">
        <f>IFERROR(VLOOKUP(B875,DADOS!$A$2:$H$252,4,0)*H875,"")</f>
        <v>18.368262</v>
      </c>
      <c r="J875" s="36"/>
      <c r="K875" s="25">
        <f>IFERROR(VLOOKUP(B875,DADOS!$A$2:$H$252,4,0)*J875,"")</f>
        <v>0</v>
      </c>
      <c r="L875" s="26">
        <f t="shared" si="18"/>
        <v>0</v>
      </c>
      <c r="M875" s="27"/>
      <c r="N875" s="30"/>
      <c r="O875" s="28"/>
      <c r="P875" s="28"/>
      <c r="Q875" s="28"/>
      <c r="R875" s="28"/>
      <c r="S875" s="28"/>
    </row>
    <row r="876">
      <c r="A876" s="17">
        <v>45638.0</v>
      </c>
      <c r="B876" s="18" t="s">
        <v>26</v>
      </c>
      <c r="C876" s="18" t="s">
        <v>19</v>
      </c>
      <c r="D876" s="19"/>
      <c r="E876" s="19"/>
      <c r="F876" s="20">
        <f t="shared" si="17"/>
        <v>0</v>
      </c>
      <c r="G876" s="21">
        <f>IFERROR(VLOOKUP(B876,DADOS!$A$2:$H$252,8,0),"")</f>
        <v>50</v>
      </c>
      <c r="H876" s="22">
        <v>136.0</v>
      </c>
      <c r="I876" s="23">
        <f>IFERROR(VLOOKUP(B876,DADOS!$A$2:$H$252,4,0)*H876,"")</f>
        <v>15.4949696</v>
      </c>
      <c r="J876" s="24">
        <v>1.0</v>
      </c>
      <c r="K876" s="25">
        <f>IFERROR(VLOOKUP(B876,DADOS!$A$2:$H$252,4,0)*J876,"")</f>
        <v>0.1139336</v>
      </c>
      <c r="L876" s="26">
        <f t="shared" si="18"/>
        <v>0</v>
      </c>
      <c r="M876" s="27"/>
      <c r="N876" s="30"/>
      <c r="O876" s="28"/>
      <c r="P876" s="28"/>
      <c r="Q876" s="28"/>
      <c r="R876" s="28"/>
      <c r="S876" s="28"/>
    </row>
    <row r="877">
      <c r="A877" s="17">
        <v>45638.0</v>
      </c>
      <c r="B877" s="18" t="s">
        <v>35</v>
      </c>
      <c r="C877" s="18" t="s">
        <v>158</v>
      </c>
      <c r="D877" s="19"/>
      <c r="E877" s="19"/>
      <c r="F877" s="20">
        <f t="shared" si="17"/>
        <v>0</v>
      </c>
      <c r="G877" s="21">
        <f>IFERROR(VLOOKUP(B877,DADOS!$A$2:$H$252,8,0),"")</f>
        <v>30</v>
      </c>
      <c r="H877" s="22">
        <v>84.0</v>
      </c>
      <c r="I877" s="23">
        <f>IFERROR(VLOOKUP(B877,DADOS!$A$2:$H$252,4,0)*H877,"")</f>
        <v>14.4149544</v>
      </c>
      <c r="J877" s="36"/>
      <c r="K877" s="25">
        <f>IFERROR(VLOOKUP(B877,DADOS!$A$2:$H$252,4,0)*J877,"")</f>
        <v>0</v>
      </c>
      <c r="L877" s="26">
        <f t="shared" si="18"/>
        <v>0</v>
      </c>
      <c r="M877" s="27"/>
      <c r="N877" s="30"/>
      <c r="O877" s="28"/>
      <c r="P877" s="28"/>
      <c r="Q877" s="28"/>
      <c r="R877" s="28"/>
      <c r="S877" s="28"/>
    </row>
    <row r="878">
      <c r="A878" s="17">
        <v>45638.0</v>
      </c>
      <c r="B878" s="18" t="s">
        <v>30</v>
      </c>
      <c r="C878" s="18" t="s">
        <v>158</v>
      </c>
      <c r="D878" s="19"/>
      <c r="E878" s="19"/>
      <c r="F878" s="20">
        <f t="shared" si="17"/>
        <v>0</v>
      </c>
      <c r="G878" s="21">
        <f>IFERROR(VLOOKUP(B878,DADOS!$A$2:$H$252,8,0),"")</f>
        <v>14</v>
      </c>
      <c r="H878" s="22">
        <v>19.0</v>
      </c>
      <c r="I878" s="23">
        <f>IFERROR(VLOOKUP(B878,DADOS!$A$2:$H$252,4,0)*H878,"")</f>
        <v>4.02534</v>
      </c>
      <c r="J878" s="36"/>
      <c r="K878" s="25">
        <f>IFERROR(VLOOKUP(B878,DADOS!$A$2:$H$252,4,0)*J878,"")</f>
        <v>0</v>
      </c>
      <c r="L878" s="26">
        <f t="shared" si="18"/>
        <v>0</v>
      </c>
      <c r="M878" s="27"/>
      <c r="N878" s="30"/>
      <c r="O878" s="28"/>
      <c r="P878" s="28"/>
      <c r="Q878" s="28"/>
      <c r="R878" s="28"/>
      <c r="S878" s="28"/>
    </row>
    <row r="879">
      <c r="A879" s="17">
        <v>45638.0</v>
      </c>
      <c r="B879" s="18" t="s">
        <v>16</v>
      </c>
      <c r="C879" s="18" t="s">
        <v>136</v>
      </c>
      <c r="D879" s="19"/>
      <c r="E879" s="19"/>
      <c r="F879" s="20">
        <f t="shared" si="17"/>
        <v>0</v>
      </c>
      <c r="G879" s="21">
        <f>IFERROR(VLOOKUP(B879,DADOS!$A$2:$H$252,8,0),"")</f>
        <v>150</v>
      </c>
      <c r="H879" s="22">
        <v>567.0</v>
      </c>
      <c r="I879" s="23">
        <f>IFERROR(VLOOKUP(B879,DADOS!$A$2:$H$252,4,0)*H879,"")</f>
        <v>16.4048976</v>
      </c>
      <c r="J879" s="24">
        <v>1.0</v>
      </c>
      <c r="K879" s="25">
        <f>IFERROR(VLOOKUP(B879,DADOS!$A$2:$H$252,4,0)*J879,"")</f>
        <v>0.0289328</v>
      </c>
      <c r="L879" s="26">
        <f t="shared" si="18"/>
        <v>0</v>
      </c>
      <c r="M879" s="27"/>
      <c r="N879" s="30"/>
      <c r="O879" s="28"/>
      <c r="P879" s="28"/>
      <c r="Q879" s="28"/>
      <c r="R879" s="28"/>
      <c r="S879" s="28"/>
    </row>
    <row r="880">
      <c r="A880" s="17">
        <v>45638.0</v>
      </c>
      <c r="B880" s="18" t="s">
        <v>58</v>
      </c>
      <c r="C880" s="18" t="s">
        <v>146</v>
      </c>
      <c r="D880" s="19"/>
      <c r="E880" s="19"/>
      <c r="F880" s="20">
        <f t="shared" si="17"/>
        <v>0</v>
      </c>
      <c r="G880" s="21">
        <f>IFERROR(VLOOKUP(B880,DADOS!$A$2:$H$252,8,0),"")</f>
        <v>31</v>
      </c>
      <c r="H880" s="22">
        <v>78.0</v>
      </c>
      <c r="I880" s="23">
        <f>IFERROR(VLOOKUP(B880,DADOS!$A$2:$H$252,4,0)*H880,"")</f>
        <v>8.8868208</v>
      </c>
      <c r="J880" s="24">
        <v>16.0</v>
      </c>
      <c r="K880" s="25">
        <f>IFERROR(VLOOKUP(B880,DADOS!$A$2:$H$252,4,0)*J880,"")</f>
        <v>1.8229376</v>
      </c>
      <c r="L880" s="26">
        <f t="shared" si="18"/>
        <v>0</v>
      </c>
      <c r="M880" s="27"/>
      <c r="N880" s="30"/>
      <c r="O880" s="28"/>
      <c r="P880" s="28"/>
      <c r="Q880" s="28"/>
      <c r="R880" s="28"/>
      <c r="S880" s="28"/>
    </row>
    <row r="881" ht="15.75" customHeight="1">
      <c r="A881" s="17">
        <v>45639.0</v>
      </c>
      <c r="B881" s="18" t="s">
        <v>18</v>
      </c>
      <c r="C881" s="18" t="s">
        <v>19</v>
      </c>
      <c r="D881" s="19"/>
      <c r="E881" s="19"/>
      <c r="F881" s="20">
        <f t="shared" si="17"/>
        <v>0</v>
      </c>
      <c r="G881" s="21">
        <f>IFERROR(VLOOKUP(B881,DADOS!$A$2:$H$252,8,0),"")</f>
        <v>21</v>
      </c>
      <c r="H881" s="22">
        <v>90.0</v>
      </c>
      <c r="I881" s="23">
        <f>IFERROR(VLOOKUP(B881,DADOS!$A$2:$H$252,4,0)*H881,"")</f>
        <v>26.36694</v>
      </c>
      <c r="J881" s="36"/>
      <c r="K881" s="25">
        <f>IFERROR(VLOOKUP(B881,DADOS!$A$2:$H$252,4,0)*J881,"")</f>
        <v>0</v>
      </c>
      <c r="L881" s="26">
        <f t="shared" si="18"/>
        <v>0</v>
      </c>
      <c r="M881" s="27"/>
      <c r="N881" s="30"/>
      <c r="O881" s="28"/>
      <c r="P881" s="28"/>
      <c r="Q881" s="28"/>
      <c r="R881" s="28"/>
      <c r="S881" s="28"/>
    </row>
    <row r="882" ht="15.75" customHeight="1">
      <c r="A882" s="17">
        <v>45639.0</v>
      </c>
      <c r="B882" s="18" t="s">
        <v>43</v>
      </c>
      <c r="C882" s="18" t="s">
        <v>19</v>
      </c>
      <c r="D882" s="19"/>
      <c r="E882" s="19"/>
      <c r="F882" s="20">
        <f t="shared" si="17"/>
        <v>0</v>
      </c>
      <c r="G882" s="21" t="str">
        <f>IFERROR(VLOOKUP(B882,DADOS!$A$2:$H$252,8,0),"")</f>
        <v/>
      </c>
      <c r="H882" s="22">
        <v>20.0</v>
      </c>
      <c r="I882" s="23" t="str">
        <f>IFERROR(VLOOKUP(B882,DADOS!$A$2:$H$252,4,0)*H882,"")</f>
        <v/>
      </c>
      <c r="J882" s="36"/>
      <c r="K882" s="25" t="str">
        <f>IFERROR(VLOOKUP(B882,DADOS!$A$2:$H$252,4,0)*J882,"")</f>
        <v/>
      </c>
      <c r="L882" s="26" t="str">
        <f t="shared" si="18"/>
        <v/>
      </c>
      <c r="M882" s="27"/>
      <c r="N882" s="30"/>
      <c r="O882" s="28"/>
      <c r="P882" s="28"/>
      <c r="Q882" s="28"/>
      <c r="R882" s="28"/>
      <c r="S882" s="28"/>
    </row>
    <row r="883" ht="15.75" customHeight="1">
      <c r="A883" s="17">
        <v>45639.0</v>
      </c>
      <c r="B883" s="18" t="s">
        <v>115</v>
      </c>
      <c r="C883" s="18" t="s">
        <v>19</v>
      </c>
      <c r="D883" s="19"/>
      <c r="E883" s="19"/>
      <c r="F883" s="20">
        <f t="shared" si="17"/>
        <v>0</v>
      </c>
      <c r="G883" s="21">
        <f>IFERROR(VLOOKUP(B883,DADOS!$A$2:$H$252,8,0),"")</f>
        <v>12</v>
      </c>
      <c r="H883" s="22">
        <v>10.0</v>
      </c>
      <c r="I883" s="23">
        <f>IFERROR(VLOOKUP(B883,DADOS!$A$2:$H$252,4,0)*H883,"")</f>
        <v>2.92966</v>
      </c>
      <c r="J883" s="36"/>
      <c r="K883" s="25">
        <f>IFERROR(VLOOKUP(B883,DADOS!$A$2:$H$252,4,0)*J883,"")</f>
        <v>0</v>
      </c>
      <c r="L883" s="26">
        <f t="shared" si="18"/>
        <v>0</v>
      </c>
      <c r="M883" s="27"/>
      <c r="N883" s="30"/>
      <c r="O883" s="28"/>
      <c r="P883" s="28"/>
      <c r="Q883" s="28"/>
      <c r="R883" s="28"/>
      <c r="S883" s="28"/>
    </row>
    <row r="884" ht="15.75" customHeight="1">
      <c r="A884" s="17">
        <v>45639.0</v>
      </c>
      <c r="B884" s="18" t="s">
        <v>16</v>
      </c>
      <c r="C884" s="18" t="s">
        <v>136</v>
      </c>
      <c r="D884" s="19"/>
      <c r="E884" s="19"/>
      <c r="F884" s="20"/>
      <c r="G884" s="21"/>
      <c r="H884" s="22">
        <v>675.0</v>
      </c>
      <c r="I884" s="23"/>
      <c r="J884" s="24">
        <v>3.0</v>
      </c>
      <c r="K884" s="25"/>
      <c r="L884" s="26"/>
      <c r="M884" s="27"/>
      <c r="N884" s="30"/>
      <c r="O884" s="28"/>
      <c r="P884" s="28"/>
      <c r="Q884" s="28"/>
      <c r="R884" s="28"/>
      <c r="S884" s="28"/>
    </row>
    <row r="885" ht="15.75" customHeight="1">
      <c r="A885" s="17">
        <v>45642.0</v>
      </c>
      <c r="B885" s="18" t="s">
        <v>22</v>
      </c>
      <c r="C885" s="18" t="s">
        <v>19</v>
      </c>
      <c r="D885" s="19"/>
      <c r="E885" s="19"/>
      <c r="F885" s="20">
        <f t="shared" ref="F885:F888" si="19">E885-D885</f>
        <v>0</v>
      </c>
      <c r="G885" s="21">
        <f>IFERROR(VLOOKUP(B885,DADOS!$A$2:$H$252,8,0),"")</f>
        <v>15</v>
      </c>
      <c r="H885" s="22">
        <v>39.0</v>
      </c>
      <c r="I885" s="23">
        <f>IFERROR(VLOOKUP(B885,DADOS!$A$2:$H$252,4,0)*H885,"")</f>
        <v>23.8787406</v>
      </c>
      <c r="J885" s="36"/>
      <c r="K885" s="25">
        <f>IFERROR(VLOOKUP(B885,DADOS!$A$2:$H$252,4,0)*J885,"")</f>
        <v>0</v>
      </c>
      <c r="L885" s="26">
        <f t="shared" ref="L885:L888" si="20">IFERROR(IF(C885="TAMBOR", $K$457/J885, $K$457/I885), "")
</f>
        <v>0</v>
      </c>
      <c r="M885" s="27"/>
      <c r="N885" s="30"/>
      <c r="O885" s="28"/>
      <c r="P885" s="28"/>
      <c r="Q885" s="28"/>
      <c r="R885" s="28"/>
      <c r="S885" s="28"/>
    </row>
    <row r="886" ht="15.75" customHeight="1">
      <c r="A886" s="17">
        <v>45642.0</v>
      </c>
      <c r="B886" s="18" t="s">
        <v>30</v>
      </c>
      <c r="C886" s="18" t="s">
        <v>158</v>
      </c>
      <c r="D886" s="19"/>
      <c r="E886" s="19"/>
      <c r="F886" s="20">
        <f t="shared" si="19"/>
        <v>0</v>
      </c>
      <c r="G886" s="21">
        <f>IFERROR(VLOOKUP(B886,DADOS!$A$2:$H$252,8,0),"")</f>
        <v>14</v>
      </c>
      <c r="H886" s="22">
        <v>26.0</v>
      </c>
      <c r="I886" s="23">
        <f>IFERROR(VLOOKUP(B886,DADOS!$A$2:$H$252,4,0)*H886,"")</f>
        <v>5.50836</v>
      </c>
      <c r="J886" s="36"/>
      <c r="K886" s="25">
        <f>IFERROR(VLOOKUP(B886,DADOS!$A$2:$H$252,4,0)*J886,"")</f>
        <v>0</v>
      </c>
      <c r="L886" s="26">
        <f t="shared" si="20"/>
        <v>0</v>
      </c>
      <c r="M886" s="27"/>
      <c r="N886" s="30"/>
      <c r="O886" s="28"/>
      <c r="P886" s="28"/>
      <c r="Q886" s="28"/>
      <c r="R886" s="28"/>
      <c r="S886" s="28"/>
    </row>
    <row r="887" ht="15.75" customHeight="1">
      <c r="A887" s="17">
        <v>45642.0</v>
      </c>
      <c r="B887" s="18" t="s">
        <v>18</v>
      </c>
      <c r="C887" s="18" t="s">
        <v>158</v>
      </c>
      <c r="D887" s="19"/>
      <c r="E887" s="19"/>
      <c r="F887" s="20">
        <f t="shared" si="19"/>
        <v>0</v>
      </c>
      <c r="G887" s="21">
        <f>IFERROR(VLOOKUP(B887,DADOS!$A$2:$H$252,8,0),"")</f>
        <v>21</v>
      </c>
      <c r="H887" s="22">
        <v>39.0</v>
      </c>
      <c r="I887" s="23">
        <f>IFERROR(VLOOKUP(B887,DADOS!$A$2:$H$252,4,0)*H887,"")</f>
        <v>11.425674</v>
      </c>
      <c r="J887" s="36"/>
      <c r="K887" s="25">
        <f>IFERROR(VLOOKUP(B887,DADOS!$A$2:$H$252,4,0)*J887,"")</f>
        <v>0</v>
      </c>
      <c r="L887" s="26">
        <f t="shared" si="20"/>
        <v>0</v>
      </c>
      <c r="M887" s="27"/>
      <c r="N887" s="30"/>
      <c r="O887" s="28"/>
      <c r="P887" s="28"/>
      <c r="Q887" s="28"/>
      <c r="R887" s="28"/>
      <c r="S887" s="28"/>
    </row>
    <row r="888" ht="15.75" customHeight="1">
      <c r="A888" s="17">
        <v>45642.0</v>
      </c>
      <c r="B888" s="18" t="s">
        <v>49</v>
      </c>
      <c r="C888" s="18" t="s">
        <v>158</v>
      </c>
      <c r="D888" s="19"/>
      <c r="E888" s="19"/>
      <c r="F888" s="20">
        <f t="shared" si="19"/>
        <v>0</v>
      </c>
      <c r="G888" s="21">
        <f>IFERROR(VLOOKUP(B888,DADOS!$A$2:$H$252,8,0),"")</f>
        <v>42</v>
      </c>
      <c r="H888" s="22">
        <v>39.0</v>
      </c>
      <c r="I888" s="23">
        <f>IFERROR(VLOOKUP(B888,DADOS!$A$2:$H$252,4,0)*H888,"")</f>
        <v>2.6531934</v>
      </c>
      <c r="J888" s="36"/>
      <c r="K888" s="25">
        <f>IFERROR(VLOOKUP(B888,DADOS!$A$2:$H$252,4,0)*J888,"")</f>
        <v>0</v>
      </c>
      <c r="L888" s="26">
        <f t="shared" si="20"/>
        <v>0</v>
      </c>
      <c r="M888" s="27"/>
      <c r="N888" s="30"/>
      <c r="O888" s="28"/>
      <c r="P888" s="28"/>
      <c r="Q888" s="28"/>
      <c r="R888" s="28"/>
      <c r="S888" s="28"/>
    </row>
    <row r="889" ht="15.75" customHeight="1">
      <c r="A889" s="17">
        <v>45642.0</v>
      </c>
      <c r="B889" s="18" t="s">
        <v>16</v>
      </c>
      <c r="C889" s="18" t="s">
        <v>136</v>
      </c>
      <c r="D889" s="19"/>
      <c r="E889" s="19"/>
      <c r="F889" s="20"/>
      <c r="G889" s="21"/>
      <c r="H889" s="22">
        <v>476.0</v>
      </c>
      <c r="I889" s="23"/>
      <c r="J889" s="36"/>
      <c r="K889" s="25"/>
      <c r="L889" s="26"/>
      <c r="M889" s="27"/>
      <c r="N889" s="30"/>
      <c r="O889" s="28"/>
      <c r="P889" s="28"/>
      <c r="Q889" s="28"/>
      <c r="R889" s="28"/>
      <c r="S889" s="28"/>
    </row>
    <row r="890" ht="15.75" customHeight="1">
      <c r="A890" s="17">
        <v>45642.0</v>
      </c>
      <c r="B890" s="18" t="s">
        <v>68</v>
      </c>
      <c r="C890" s="18" t="s">
        <v>136</v>
      </c>
      <c r="D890" s="19"/>
      <c r="E890" s="19"/>
      <c r="F890" s="20"/>
      <c r="G890" s="21"/>
      <c r="H890" s="22">
        <v>212.0</v>
      </c>
      <c r="I890" s="23"/>
      <c r="J890" s="24">
        <v>2.0</v>
      </c>
      <c r="K890" s="25"/>
      <c r="L890" s="26"/>
      <c r="M890" s="27"/>
      <c r="N890" s="30"/>
      <c r="O890" s="28"/>
      <c r="P890" s="28"/>
      <c r="Q890" s="28"/>
      <c r="R890" s="28"/>
      <c r="S890" s="28"/>
    </row>
    <row r="891" ht="15.75" customHeight="1">
      <c r="A891" s="17">
        <v>45642.0</v>
      </c>
      <c r="B891" s="18" t="s">
        <v>55</v>
      </c>
      <c r="C891" s="18" t="s">
        <v>80</v>
      </c>
      <c r="D891" s="19"/>
      <c r="E891" s="19"/>
      <c r="F891" s="20">
        <f t="shared" ref="F891:F1140" si="21">E891-D891</f>
        <v>0</v>
      </c>
      <c r="G891" s="21">
        <f>IFERROR(VLOOKUP(B891,DADOS!$A$2:$H$252,8,0),"")</f>
        <v>60</v>
      </c>
      <c r="H891" s="22"/>
      <c r="I891" s="23">
        <f>IFERROR(VLOOKUP(B891,DADOS!$A$2:$H$252,4,0)*H891,"")</f>
        <v>0</v>
      </c>
      <c r="J891" s="36">
        <v>2.0</v>
      </c>
      <c r="K891" s="25">
        <f>IFERROR(VLOOKUP(B891,DADOS!$A$2:$H$252,4,0)*J891,"")</f>
        <v>0.03424</v>
      </c>
      <c r="L891" s="26">
        <f t="shared" ref="L891:L1005" si="22">IFERROR(IF(C891="TAMBOR", $K$457/J891, $K$457/I891), "")
</f>
        <v>0</v>
      </c>
      <c r="M891" s="27" t="s">
        <v>110</v>
      </c>
      <c r="N891" s="33" t="s">
        <v>84</v>
      </c>
      <c r="O891" s="28"/>
      <c r="P891" s="28"/>
      <c r="Q891" s="28"/>
      <c r="R891" s="28"/>
      <c r="S891" s="28"/>
    </row>
    <row r="892" ht="15.75" customHeight="1">
      <c r="A892" s="17">
        <v>45642.0</v>
      </c>
      <c r="B892" s="18" t="s">
        <v>74</v>
      </c>
      <c r="C892" s="18" t="s">
        <v>80</v>
      </c>
      <c r="D892" s="19"/>
      <c r="E892" s="19"/>
      <c r="F892" s="20">
        <f t="shared" si="21"/>
        <v>0</v>
      </c>
      <c r="G892" s="21">
        <f>IFERROR(VLOOKUP(B892,DADOS!$A$2:$H$252,8,0),"")</f>
        <v>60</v>
      </c>
      <c r="H892" s="22"/>
      <c r="I892" s="23">
        <f>IFERROR(VLOOKUP(B892,DADOS!$A$2:$H$252,4,0)*H892,"")</f>
        <v>0</v>
      </c>
      <c r="J892" s="36">
        <v>1.0</v>
      </c>
      <c r="K892" s="25">
        <f>IFERROR(VLOOKUP(B892,DADOS!$A$2:$H$252,4,0)*J892,"")</f>
        <v>1.38672</v>
      </c>
      <c r="L892" s="26">
        <f t="shared" si="22"/>
        <v>0</v>
      </c>
      <c r="M892" s="27" t="s">
        <v>110</v>
      </c>
      <c r="N892" s="33" t="s">
        <v>84</v>
      </c>
      <c r="O892" s="28"/>
      <c r="P892" s="28"/>
      <c r="Q892" s="28"/>
      <c r="R892" s="28"/>
      <c r="S892" s="28"/>
    </row>
    <row r="893" ht="15.75" customHeight="1">
      <c r="A893" s="17">
        <v>45642.0</v>
      </c>
      <c r="B893" s="18" t="s">
        <v>100</v>
      </c>
      <c r="C893" s="18" t="s">
        <v>80</v>
      </c>
      <c r="D893" s="19"/>
      <c r="E893" s="19"/>
      <c r="F893" s="20">
        <f t="shared" si="21"/>
        <v>0</v>
      </c>
      <c r="G893" s="21">
        <f>IFERROR(VLOOKUP(B893,DADOS!$A$2:$H$252,8,0),"")</f>
        <v>15</v>
      </c>
      <c r="H893" s="22"/>
      <c r="I893" s="23">
        <f>IFERROR(VLOOKUP(B893,DADOS!$A$2:$H$252,4,0)*H893,"")</f>
        <v>0</v>
      </c>
      <c r="J893" s="36">
        <v>1.0</v>
      </c>
      <c r="K893" s="25">
        <f>IFERROR(VLOOKUP(B893,DADOS!$A$2:$H$252,4,0)*J893,"")</f>
        <v>0.1479168</v>
      </c>
      <c r="L893" s="26">
        <f t="shared" si="22"/>
        <v>0</v>
      </c>
      <c r="M893" s="27" t="s">
        <v>110</v>
      </c>
      <c r="N893" s="33" t="s">
        <v>84</v>
      </c>
      <c r="O893" s="28"/>
      <c r="P893" s="28"/>
      <c r="Q893" s="28"/>
      <c r="R893" s="28"/>
      <c r="S893" s="28"/>
    </row>
    <row r="894" ht="15.75" customHeight="1">
      <c r="A894" s="17">
        <v>45642.0</v>
      </c>
      <c r="B894" s="18" t="s">
        <v>70</v>
      </c>
      <c r="C894" s="18" t="s">
        <v>80</v>
      </c>
      <c r="D894" s="19"/>
      <c r="E894" s="19"/>
      <c r="F894" s="20">
        <f t="shared" si="21"/>
        <v>0</v>
      </c>
      <c r="G894" s="21">
        <f>IFERROR(VLOOKUP(B894,DADOS!$A$2:$H$252,8,0),"")</f>
        <v>13</v>
      </c>
      <c r="H894" s="22"/>
      <c r="I894" s="23">
        <f>IFERROR(VLOOKUP(B894,DADOS!$A$2:$H$252,4,0)*H894,"")</f>
        <v>0</v>
      </c>
      <c r="J894" s="36">
        <v>1.0</v>
      </c>
      <c r="K894" s="25">
        <f>IFERROR(VLOOKUP(B894,DADOS!$A$2:$H$252,4,0)*J894,"")</f>
        <v>0.3424</v>
      </c>
      <c r="L894" s="26">
        <f t="shared" si="22"/>
        <v>0</v>
      </c>
      <c r="M894" s="27" t="s">
        <v>110</v>
      </c>
      <c r="N894" s="33" t="s">
        <v>84</v>
      </c>
      <c r="O894" s="28"/>
      <c r="P894" s="28"/>
      <c r="Q894" s="28"/>
      <c r="R894" s="28"/>
      <c r="S894" s="28"/>
    </row>
    <row r="895" ht="15.75" customHeight="1">
      <c r="A895" s="17">
        <v>45642.0</v>
      </c>
      <c r="B895" s="18" t="s">
        <v>66</v>
      </c>
      <c r="C895" s="18" t="s">
        <v>80</v>
      </c>
      <c r="D895" s="19"/>
      <c r="E895" s="19"/>
      <c r="F895" s="20">
        <f t="shared" si="21"/>
        <v>0</v>
      </c>
      <c r="G895" s="21" t="str">
        <f>IFERROR(VLOOKUP(B895,DADOS!$A$2:$H$252,8,0),"")</f>
        <v/>
      </c>
      <c r="H895" s="22"/>
      <c r="I895" s="23">
        <f>IFERROR(VLOOKUP(B895,DADOS!$A$2:$H$252,4,0)*H895,"")</f>
        <v>0</v>
      </c>
      <c r="J895" s="36">
        <v>1.0</v>
      </c>
      <c r="K895" s="25">
        <f>IFERROR(VLOOKUP(B895,DADOS!$A$2:$H$252,4,0)*J895,"")</f>
        <v>0.13375</v>
      </c>
      <c r="L895" s="26">
        <f t="shared" si="22"/>
        <v>0</v>
      </c>
      <c r="M895" s="27" t="s">
        <v>110</v>
      </c>
      <c r="N895" s="33" t="s">
        <v>84</v>
      </c>
      <c r="O895" s="28"/>
      <c r="P895" s="28"/>
      <c r="Q895" s="28"/>
      <c r="R895" s="28"/>
      <c r="S895" s="28"/>
    </row>
    <row r="896" ht="15.75" customHeight="1">
      <c r="A896" s="17">
        <v>45642.0</v>
      </c>
      <c r="B896" s="18" t="s">
        <v>48</v>
      </c>
      <c r="C896" s="18" t="s">
        <v>80</v>
      </c>
      <c r="D896" s="19"/>
      <c r="E896" s="19"/>
      <c r="F896" s="20">
        <f t="shared" si="21"/>
        <v>0</v>
      </c>
      <c r="G896" s="21">
        <f>IFERROR(VLOOKUP(B896,DADOS!$A$2:$H$252,8,0),"")</f>
        <v>6</v>
      </c>
      <c r="H896" s="22"/>
      <c r="I896" s="23">
        <f>IFERROR(VLOOKUP(B896,DADOS!$A$2:$H$252,4,0)*H896,"")</f>
        <v>0</v>
      </c>
      <c r="J896" s="36">
        <v>5.0</v>
      </c>
      <c r="K896" s="25">
        <f>IFERROR(VLOOKUP(B896,DADOS!$A$2:$H$252,4,0)*J896,"")</f>
        <v>0.569668</v>
      </c>
      <c r="L896" s="26">
        <f t="shared" si="22"/>
        <v>0</v>
      </c>
      <c r="M896" s="27" t="s">
        <v>39</v>
      </c>
      <c r="N896" s="33" t="s">
        <v>102</v>
      </c>
      <c r="O896" s="28"/>
      <c r="P896" s="28"/>
      <c r="Q896" s="28"/>
      <c r="R896" s="28"/>
      <c r="S896" s="28"/>
    </row>
    <row r="897" ht="15.75" customHeight="1">
      <c r="A897" s="17">
        <v>45642.0</v>
      </c>
      <c r="B897" s="18" t="s">
        <v>31</v>
      </c>
      <c r="C897" s="18" t="s">
        <v>80</v>
      </c>
      <c r="D897" s="19"/>
      <c r="E897" s="19"/>
      <c r="F897" s="20">
        <f t="shared" si="21"/>
        <v>0</v>
      </c>
      <c r="G897" s="21">
        <f>IFERROR(VLOOKUP(B897,DADOS!$A$2:$H$252,8,0),"")</f>
        <v>10</v>
      </c>
      <c r="H897" s="22"/>
      <c r="I897" s="23">
        <f>IFERROR(VLOOKUP(B897,DADOS!$A$2:$H$252,4,0)*H897,"")</f>
        <v>0</v>
      </c>
      <c r="J897" s="36">
        <v>1.0</v>
      </c>
      <c r="K897" s="25">
        <f>IFERROR(VLOOKUP(B897,DADOS!$A$2:$H$252,4,0)*J897,"")</f>
        <v>0.1355904</v>
      </c>
      <c r="L897" s="26">
        <f t="shared" si="22"/>
        <v>0</v>
      </c>
      <c r="M897" s="27" t="s">
        <v>83</v>
      </c>
      <c r="N897" s="33" t="s">
        <v>85</v>
      </c>
      <c r="O897" s="28"/>
      <c r="P897" s="28"/>
      <c r="Q897" s="28"/>
      <c r="R897" s="28"/>
      <c r="S897" s="28"/>
    </row>
    <row r="898" ht="15.75" customHeight="1">
      <c r="A898" s="17">
        <v>45642.0</v>
      </c>
      <c r="B898" s="18" t="s">
        <v>27</v>
      </c>
      <c r="C898" s="18" t="s">
        <v>80</v>
      </c>
      <c r="D898" s="19"/>
      <c r="E898" s="19"/>
      <c r="F898" s="20">
        <f t="shared" si="21"/>
        <v>0</v>
      </c>
      <c r="G898" s="21">
        <f>IFERROR(VLOOKUP(B898,DADOS!$A$2:$H$252,8,0),"")</f>
        <v>30</v>
      </c>
      <c r="H898" s="22"/>
      <c r="I898" s="23">
        <f>IFERROR(VLOOKUP(B898,DADOS!$A$2:$H$252,4,0)*H898,"")</f>
        <v>0</v>
      </c>
      <c r="J898" s="36">
        <v>1.0</v>
      </c>
      <c r="K898" s="25">
        <f>IFERROR(VLOOKUP(B898,DADOS!$A$2:$H$252,4,0)*J898,"")</f>
        <v>0.01712</v>
      </c>
      <c r="L898" s="26">
        <f t="shared" si="22"/>
        <v>0</v>
      </c>
      <c r="M898" s="27" t="s">
        <v>83</v>
      </c>
      <c r="N898" s="33" t="s">
        <v>85</v>
      </c>
      <c r="O898" s="28"/>
      <c r="P898" s="28"/>
      <c r="Q898" s="28"/>
      <c r="R898" s="28"/>
      <c r="S898" s="28"/>
    </row>
    <row r="899" ht="15.75" customHeight="1">
      <c r="A899" s="17">
        <v>45642.0</v>
      </c>
      <c r="B899" s="18" t="s">
        <v>59</v>
      </c>
      <c r="C899" s="18" t="s">
        <v>80</v>
      </c>
      <c r="D899" s="19"/>
      <c r="E899" s="19"/>
      <c r="F899" s="20">
        <f t="shared" si="21"/>
        <v>0</v>
      </c>
      <c r="G899" s="21">
        <f>IFERROR(VLOOKUP(B899,DADOS!$A$2:$H$252,8,0),"")</f>
        <v>50</v>
      </c>
      <c r="H899" s="22"/>
      <c r="I899" s="23">
        <f>IFERROR(VLOOKUP(B899,DADOS!$A$2:$H$252,4,0)*H899,"")</f>
        <v>0</v>
      </c>
      <c r="J899" s="36">
        <v>1.0</v>
      </c>
      <c r="K899" s="25">
        <f>IFERROR(VLOOKUP(B899,DADOS!$A$2:$H$252,4,0)*J899,"")</f>
        <v>0.01712</v>
      </c>
      <c r="L899" s="26">
        <f t="shared" si="22"/>
        <v>0</v>
      </c>
      <c r="M899" s="27" t="s">
        <v>83</v>
      </c>
      <c r="N899" s="33" t="s">
        <v>85</v>
      </c>
      <c r="O899" s="28"/>
      <c r="P899" s="28"/>
      <c r="Q899" s="28"/>
      <c r="R899" s="28"/>
      <c r="S899" s="28"/>
    </row>
    <row r="900" ht="15.75" customHeight="1">
      <c r="A900" s="17">
        <v>45642.0</v>
      </c>
      <c r="B900" s="18" t="s">
        <v>37</v>
      </c>
      <c r="C900" s="18" t="s">
        <v>80</v>
      </c>
      <c r="D900" s="19"/>
      <c r="E900" s="19"/>
      <c r="F900" s="20">
        <f t="shared" si="21"/>
        <v>0</v>
      </c>
      <c r="G900" s="21" t="str">
        <f>IFERROR(VLOOKUP(B900,DADOS!$A$2:$H$252,8,0),"")</f>
        <v/>
      </c>
      <c r="H900" s="22"/>
      <c r="I900" s="23" t="str">
        <f>IFERROR(VLOOKUP(B900,DADOS!$A$2:$H$252,4,0)*H900,"")</f>
        <v/>
      </c>
      <c r="J900" s="36">
        <v>2.0</v>
      </c>
      <c r="K900" s="25" t="str">
        <f>IFERROR(VLOOKUP(B900,DADOS!$A$2:$H$252,4,0)*J900,"")</f>
        <v/>
      </c>
      <c r="L900" s="26">
        <f t="shared" si="22"/>
        <v>0</v>
      </c>
      <c r="M900" s="27" t="s">
        <v>83</v>
      </c>
      <c r="N900" s="33" t="s">
        <v>85</v>
      </c>
      <c r="O900" s="28"/>
      <c r="P900" s="28"/>
      <c r="Q900" s="28"/>
      <c r="R900" s="28"/>
      <c r="S900" s="28"/>
    </row>
    <row r="901" ht="15.75" customHeight="1">
      <c r="A901" s="17">
        <v>45642.0</v>
      </c>
      <c r="B901" s="18" t="s">
        <v>26</v>
      </c>
      <c r="C901" s="18" t="s">
        <v>80</v>
      </c>
      <c r="D901" s="19"/>
      <c r="E901" s="19"/>
      <c r="F901" s="20">
        <f t="shared" si="21"/>
        <v>0</v>
      </c>
      <c r="G901" s="21">
        <f>IFERROR(VLOOKUP(B901,DADOS!$A$2:$H$252,8,0),"")</f>
        <v>50</v>
      </c>
      <c r="H901" s="22"/>
      <c r="I901" s="23">
        <f>IFERROR(VLOOKUP(B901,DADOS!$A$2:$H$252,4,0)*H901,"")</f>
        <v>0</v>
      </c>
      <c r="J901" s="36">
        <v>3.0</v>
      </c>
      <c r="K901" s="25">
        <f>IFERROR(VLOOKUP(B901,DADOS!$A$2:$H$252,4,0)*J901,"")</f>
        <v>0.3418008</v>
      </c>
      <c r="L901" s="26">
        <f t="shared" si="22"/>
        <v>0</v>
      </c>
      <c r="M901" s="27" t="s">
        <v>83</v>
      </c>
      <c r="N901" s="33" t="s">
        <v>85</v>
      </c>
      <c r="O901" s="28"/>
      <c r="P901" s="28"/>
      <c r="Q901" s="28"/>
      <c r="R901" s="28"/>
      <c r="S901" s="28"/>
    </row>
    <row r="902" ht="15.75" customHeight="1">
      <c r="A902" s="17">
        <v>45642.0</v>
      </c>
      <c r="B902" s="18" t="s">
        <v>66</v>
      </c>
      <c r="C902" s="18" t="s">
        <v>80</v>
      </c>
      <c r="D902" s="19"/>
      <c r="E902" s="19"/>
      <c r="F902" s="20">
        <f t="shared" si="21"/>
        <v>0</v>
      </c>
      <c r="G902" s="21" t="str">
        <f>IFERROR(VLOOKUP(B902,DADOS!$A$2:$H$252,8,0),"")</f>
        <v/>
      </c>
      <c r="H902" s="22"/>
      <c r="I902" s="23">
        <f>IFERROR(VLOOKUP(B902,DADOS!$A$2:$H$252,4,0)*H902,"")</f>
        <v>0</v>
      </c>
      <c r="J902" s="36">
        <v>1.0</v>
      </c>
      <c r="K902" s="25">
        <f>IFERROR(VLOOKUP(B902,DADOS!$A$2:$H$252,4,0)*J902,"")</f>
        <v>0.13375</v>
      </c>
      <c r="L902" s="26">
        <f t="shared" si="22"/>
        <v>0</v>
      </c>
      <c r="M902" s="27" t="s">
        <v>83</v>
      </c>
      <c r="N902" s="33" t="s">
        <v>85</v>
      </c>
      <c r="O902" s="28"/>
      <c r="P902" s="28"/>
      <c r="Q902" s="28"/>
      <c r="R902" s="28"/>
      <c r="S902" s="28"/>
    </row>
    <row r="903" ht="15.75" customHeight="1">
      <c r="A903" s="17">
        <v>45642.0</v>
      </c>
      <c r="B903" s="18" t="s">
        <v>119</v>
      </c>
      <c r="C903" s="18" t="s">
        <v>80</v>
      </c>
      <c r="D903" s="19"/>
      <c r="E903" s="19"/>
      <c r="F903" s="20">
        <f t="shared" si="21"/>
        <v>0</v>
      </c>
      <c r="G903" s="21">
        <f>IFERROR(VLOOKUP(B903,DADOS!$A$2:$H$252,8,0),"")</f>
        <v>25</v>
      </c>
      <c r="H903" s="22"/>
      <c r="I903" s="23">
        <f>IFERROR(VLOOKUP(B903,DADOS!$A$2:$H$252,4,0)*H903,"")</f>
        <v>0</v>
      </c>
      <c r="J903" s="36">
        <v>2.0</v>
      </c>
      <c r="K903" s="25">
        <f>IFERROR(VLOOKUP(B903,DADOS!$A$2:$H$252,4,0)*J903,"")</f>
        <v>0.2603952</v>
      </c>
      <c r="L903" s="26">
        <f t="shared" si="22"/>
        <v>0</v>
      </c>
      <c r="M903" s="27" t="s">
        <v>39</v>
      </c>
      <c r="N903" s="33" t="s">
        <v>86</v>
      </c>
      <c r="O903" s="28"/>
      <c r="P903" s="28"/>
      <c r="Q903" s="28"/>
      <c r="R903" s="28"/>
      <c r="S903" s="28"/>
    </row>
    <row r="904" ht="15.75" customHeight="1">
      <c r="A904" s="17">
        <v>45642.0</v>
      </c>
      <c r="B904" s="18" t="s">
        <v>75</v>
      </c>
      <c r="C904" s="18" t="s">
        <v>80</v>
      </c>
      <c r="D904" s="19"/>
      <c r="E904" s="19"/>
      <c r="F904" s="20">
        <f t="shared" si="21"/>
        <v>0</v>
      </c>
      <c r="G904" s="21">
        <f>IFERROR(VLOOKUP(B904,DADOS!$A$2:$H$252,8,0),"")</f>
        <v>23</v>
      </c>
      <c r="H904" s="22"/>
      <c r="I904" s="23">
        <f>IFERROR(VLOOKUP(B904,DADOS!$A$2:$H$252,4,0)*H904,"")</f>
        <v>0</v>
      </c>
      <c r="J904" s="36">
        <v>9.0</v>
      </c>
      <c r="K904" s="25">
        <f>IFERROR(VLOOKUP(B904,DADOS!$A$2:$H$252,4,0)*J904,"")</f>
        <v>1.0254024</v>
      </c>
      <c r="L904" s="26">
        <f t="shared" si="22"/>
        <v>0</v>
      </c>
      <c r="M904" s="27" t="s">
        <v>83</v>
      </c>
      <c r="N904" s="33" t="s">
        <v>88</v>
      </c>
      <c r="O904" s="28"/>
      <c r="P904" s="28"/>
      <c r="Q904" s="28"/>
      <c r="R904" s="28"/>
      <c r="S904" s="28"/>
    </row>
    <row r="905" ht="15.75" customHeight="1">
      <c r="A905" s="17">
        <v>45642.0</v>
      </c>
      <c r="B905" s="18" t="s">
        <v>18</v>
      </c>
      <c r="C905" s="18" t="s">
        <v>80</v>
      </c>
      <c r="D905" s="19"/>
      <c r="E905" s="19"/>
      <c r="F905" s="20">
        <f t="shared" si="21"/>
        <v>0</v>
      </c>
      <c r="G905" s="21">
        <f>IFERROR(VLOOKUP(B905,DADOS!$A$2:$H$252,8,0),"")</f>
        <v>21</v>
      </c>
      <c r="H905" s="22"/>
      <c r="I905" s="23">
        <f>IFERROR(VLOOKUP(B905,DADOS!$A$2:$H$252,4,0)*H905,"")</f>
        <v>0</v>
      </c>
      <c r="J905" s="36">
        <v>2.0</v>
      </c>
      <c r="K905" s="25">
        <f>IFERROR(VLOOKUP(B905,DADOS!$A$2:$H$252,4,0)*J905,"")</f>
        <v>0.585932</v>
      </c>
      <c r="L905" s="26">
        <f t="shared" si="22"/>
        <v>0</v>
      </c>
      <c r="M905" s="27" t="s">
        <v>83</v>
      </c>
      <c r="N905" s="33" t="s">
        <v>162</v>
      </c>
      <c r="O905" s="28"/>
      <c r="P905" s="28"/>
      <c r="Q905" s="28"/>
      <c r="R905" s="28"/>
      <c r="S905" s="28"/>
    </row>
    <row r="906" ht="15.75" customHeight="1">
      <c r="A906" s="17">
        <v>45642.0</v>
      </c>
      <c r="B906" s="18" t="s">
        <v>125</v>
      </c>
      <c r="C906" s="18" t="s">
        <v>80</v>
      </c>
      <c r="D906" s="19"/>
      <c r="E906" s="19"/>
      <c r="F906" s="20">
        <f t="shared" si="21"/>
        <v>0</v>
      </c>
      <c r="G906" s="21">
        <f>IFERROR(VLOOKUP(B906,DADOS!$A$2:$H$252,8,0),"")</f>
        <v>12</v>
      </c>
      <c r="H906" s="22"/>
      <c r="I906" s="23">
        <f>IFERROR(VLOOKUP(B906,DADOS!$A$2:$H$252,4,0)*H906,"")</f>
        <v>0</v>
      </c>
      <c r="J906" s="36">
        <v>1.0</v>
      </c>
      <c r="K906" s="25">
        <f>IFERROR(VLOOKUP(B906,DADOS!$A$2:$H$252,4,0)*J906,"")</f>
        <v>0.1845536</v>
      </c>
      <c r="L906" s="26">
        <f t="shared" si="22"/>
        <v>0</v>
      </c>
      <c r="M906" s="27" t="s">
        <v>83</v>
      </c>
      <c r="N906" s="33" t="s">
        <v>88</v>
      </c>
      <c r="O906" s="28"/>
      <c r="P906" s="28"/>
      <c r="Q906" s="28"/>
      <c r="R906" s="28"/>
      <c r="S906" s="28"/>
    </row>
    <row r="907" ht="15.75" customHeight="1">
      <c r="A907" s="17">
        <v>45642.0</v>
      </c>
      <c r="B907" s="18" t="s">
        <v>51</v>
      </c>
      <c r="C907" s="18" t="s">
        <v>80</v>
      </c>
      <c r="D907" s="19"/>
      <c r="E907" s="19"/>
      <c r="F907" s="20">
        <f t="shared" si="21"/>
        <v>0</v>
      </c>
      <c r="G907" s="21">
        <f>IFERROR(VLOOKUP(B907,DADOS!$A$2:$H$252,8,0),"")</f>
        <v>28</v>
      </c>
      <c r="H907" s="22"/>
      <c r="I907" s="23">
        <f>IFERROR(VLOOKUP(B907,DADOS!$A$2:$H$252,4,0)*H907,"")</f>
        <v>0</v>
      </c>
      <c r="J907" s="36">
        <v>1.0</v>
      </c>
      <c r="K907" s="25">
        <f>IFERROR(VLOOKUP(B907,DADOS!$A$2:$H$252,4,0)*J907,"")</f>
        <v>0.1139336</v>
      </c>
      <c r="L907" s="26">
        <f t="shared" si="22"/>
        <v>0</v>
      </c>
      <c r="M907" s="27" t="s">
        <v>83</v>
      </c>
      <c r="N907" s="33" t="s">
        <v>88</v>
      </c>
      <c r="O907" s="28"/>
      <c r="P907" s="28"/>
      <c r="Q907" s="28"/>
      <c r="R907" s="28"/>
      <c r="S907" s="28"/>
    </row>
    <row r="908" ht="15.75" customHeight="1">
      <c r="A908" s="17">
        <v>45642.0</v>
      </c>
      <c r="B908" s="18" t="s">
        <v>99</v>
      </c>
      <c r="C908" s="18" t="s">
        <v>80</v>
      </c>
      <c r="D908" s="19"/>
      <c r="E908" s="19"/>
      <c r="F908" s="20">
        <f t="shared" si="21"/>
        <v>0</v>
      </c>
      <c r="G908" s="21">
        <f>IFERROR(VLOOKUP(B908,DADOS!$A$2:$H$252,8,0),"")</f>
        <v>26</v>
      </c>
      <c r="H908" s="22"/>
      <c r="I908" s="23">
        <f>IFERROR(VLOOKUP(B908,DADOS!$A$2:$H$252,4,0)*H908,"")</f>
        <v>0</v>
      </c>
      <c r="J908" s="36">
        <v>2.0</v>
      </c>
      <c r="K908" s="25">
        <f>IFERROR(VLOOKUP(B908,DADOS!$A$2:$H$252,4,0)*J908,"")</f>
        <v>0.18832</v>
      </c>
      <c r="L908" s="26">
        <f t="shared" si="22"/>
        <v>0</v>
      </c>
      <c r="M908" s="27" t="s">
        <v>83</v>
      </c>
      <c r="N908" s="33" t="s">
        <v>88</v>
      </c>
      <c r="O908" s="28"/>
      <c r="P908" s="28"/>
      <c r="Q908" s="28"/>
      <c r="R908" s="28"/>
      <c r="S908" s="28"/>
    </row>
    <row r="909" ht="15.75" customHeight="1">
      <c r="A909" s="17">
        <v>45642.0</v>
      </c>
      <c r="B909" s="18" t="s">
        <v>62</v>
      </c>
      <c r="C909" s="18" t="s">
        <v>80</v>
      </c>
      <c r="D909" s="19"/>
      <c r="E909" s="19"/>
      <c r="F909" s="20">
        <f t="shared" si="21"/>
        <v>0</v>
      </c>
      <c r="G909" s="21">
        <f>IFERROR(VLOOKUP(B909,DADOS!$A$2:$H$252,8,0),"")</f>
        <v>14</v>
      </c>
      <c r="H909" s="22"/>
      <c r="I909" s="23">
        <f>IFERROR(VLOOKUP(B909,DADOS!$A$2:$H$252,4,0)*H909,"")</f>
        <v>0</v>
      </c>
      <c r="J909" s="36">
        <v>1.0</v>
      </c>
      <c r="K909" s="25">
        <f>IFERROR(VLOOKUP(B909,DADOS!$A$2:$H$252,4,0)*J909,"")</f>
        <v>0.0849794</v>
      </c>
      <c r="L909" s="26">
        <f t="shared" si="22"/>
        <v>0</v>
      </c>
      <c r="M909" s="27" t="s">
        <v>83</v>
      </c>
      <c r="N909" s="33" t="s">
        <v>88</v>
      </c>
      <c r="O909" s="28"/>
      <c r="P909" s="28"/>
      <c r="Q909" s="28"/>
      <c r="R909" s="28"/>
      <c r="S909" s="28"/>
    </row>
    <row r="910" ht="15.75" customHeight="1">
      <c r="A910" s="17">
        <v>45642.0</v>
      </c>
      <c r="B910" s="18" t="s">
        <v>34</v>
      </c>
      <c r="C910" s="18" t="s">
        <v>80</v>
      </c>
      <c r="D910" s="19"/>
      <c r="E910" s="19"/>
      <c r="F910" s="20">
        <f t="shared" si="21"/>
        <v>0</v>
      </c>
      <c r="G910" s="21">
        <f>IFERROR(VLOOKUP(B910,DADOS!$A$2:$H$252,8,0),"")</f>
        <v>12</v>
      </c>
      <c r="H910" s="22"/>
      <c r="I910" s="23">
        <f>IFERROR(VLOOKUP(B910,DADOS!$A$2:$H$252,4,0)*H910,"")</f>
        <v>0</v>
      </c>
      <c r="J910" s="36">
        <v>3.0</v>
      </c>
      <c r="K910" s="25">
        <f>IFERROR(VLOOKUP(B910,DADOS!$A$2:$H$252,4,0)*J910,"")</f>
        <v>1.187058</v>
      </c>
      <c r="L910" s="26">
        <f t="shared" si="22"/>
        <v>0</v>
      </c>
      <c r="M910" s="27" t="s">
        <v>83</v>
      </c>
      <c r="N910" s="33" t="s">
        <v>88</v>
      </c>
      <c r="O910" s="28"/>
      <c r="P910" s="28"/>
      <c r="Q910" s="28"/>
      <c r="R910" s="28"/>
      <c r="S910" s="28"/>
    </row>
    <row r="911">
      <c r="A911" s="17">
        <v>45642.0</v>
      </c>
      <c r="B911" s="18" t="s">
        <v>26</v>
      </c>
      <c r="C911" s="18" t="s">
        <v>80</v>
      </c>
      <c r="D911" s="19"/>
      <c r="E911" s="19"/>
      <c r="F911" s="20">
        <f t="shared" si="21"/>
        <v>0</v>
      </c>
      <c r="G911" s="21">
        <f>IFERROR(VLOOKUP(B911,DADOS!$A$2:$H$252,8,0),"")</f>
        <v>50</v>
      </c>
      <c r="H911" s="22"/>
      <c r="I911" s="23">
        <f>IFERROR(VLOOKUP(B911,DADOS!$A$2:$H$252,4,0)*H911,"")</f>
        <v>0</v>
      </c>
      <c r="J911" s="36">
        <v>1.0</v>
      </c>
      <c r="K911" s="25">
        <f>IFERROR(VLOOKUP(B911,DADOS!$A$2:$H$252,4,0)*J911,"")</f>
        <v>0.1139336</v>
      </c>
      <c r="L911" s="26">
        <f t="shared" si="22"/>
        <v>0</v>
      </c>
      <c r="M911" s="27" t="s">
        <v>83</v>
      </c>
      <c r="N911" s="33" t="s">
        <v>88</v>
      </c>
      <c r="O911" s="28"/>
      <c r="P911" s="28"/>
      <c r="Q911" s="28"/>
      <c r="R911" s="28"/>
      <c r="S911" s="28"/>
    </row>
    <row r="912">
      <c r="A912" s="17">
        <v>45642.0</v>
      </c>
      <c r="B912" s="18" t="s">
        <v>71</v>
      </c>
      <c r="C912" s="18" t="s">
        <v>80</v>
      </c>
      <c r="D912" s="19"/>
      <c r="E912" s="19"/>
      <c r="F912" s="20">
        <f t="shared" si="21"/>
        <v>0</v>
      </c>
      <c r="G912" s="21">
        <f>IFERROR(VLOOKUP(B912,DADOS!$A$2:$H$252,8,0),"")</f>
        <v>7</v>
      </c>
      <c r="H912" s="22"/>
      <c r="I912" s="23">
        <f>IFERROR(VLOOKUP(B912,DADOS!$A$2:$H$252,4,0)*H912,"")</f>
        <v>0</v>
      </c>
      <c r="J912" s="36">
        <v>1.0</v>
      </c>
      <c r="K912" s="25">
        <f>IFERROR(VLOOKUP(B912,DADOS!$A$2:$H$252,4,0)*J912,"")</f>
        <v>1.4024062</v>
      </c>
      <c r="L912" s="26">
        <f t="shared" si="22"/>
        <v>0</v>
      </c>
      <c r="M912" s="27" t="s">
        <v>83</v>
      </c>
      <c r="N912" s="33" t="s">
        <v>88</v>
      </c>
      <c r="O912" s="28"/>
      <c r="P912" s="28"/>
      <c r="Q912" s="28"/>
      <c r="R912" s="28"/>
      <c r="S912" s="28"/>
    </row>
    <row r="913">
      <c r="A913" s="17">
        <v>45642.0</v>
      </c>
      <c r="B913" s="18" t="s">
        <v>18</v>
      </c>
      <c r="C913" s="18" t="s">
        <v>80</v>
      </c>
      <c r="D913" s="19"/>
      <c r="E913" s="19"/>
      <c r="F913" s="20">
        <f t="shared" si="21"/>
        <v>0</v>
      </c>
      <c r="G913" s="21">
        <f>IFERROR(VLOOKUP(B913,DADOS!$A$2:$H$252,8,0),"")</f>
        <v>21</v>
      </c>
      <c r="H913" s="22"/>
      <c r="I913" s="23">
        <f>IFERROR(VLOOKUP(B913,DADOS!$A$2:$H$252,4,0)*H913,"")</f>
        <v>0</v>
      </c>
      <c r="J913" s="36">
        <v>2.0</v>
      </c>
      <c r="K913" s="25">
        <f>IFERROR(VLOOKUP(B913,DADOS!$A$2:$H$252,4,0)*J913,"")</f>
        <v>0.585932</v>
      </c>
      <c r="L913" s="26">
        <f t="shared" si="22"/>
        <v>0</v>
      </c>
      <c r="M913" s="27" t="s">
        <v>39</v>
      </c>
      <c r="N913" s="33" t="s">
        <v>163</v>
      </c>
      <c r="O913" s="28"/>
      <c r="P913" s="28"/>
      <c r="Q913" s="28"/>
      <c r="R913" s="28"/>
      <c r="S913" s="28"/>
    </row>
    <row r="914">
      <c r="A914" s="17">
        <v>45642.0</v>
      </c>
      <c r="B914" s="18" t="s">
        <v>109</v>
      </c>
      <c r="C914" s="18" t="s">
        <v>80</v>
      </c>
      <c r="D914" s="19"/>
      <c r="E914" s="19"/>
      <c r="F914" s="20">
        <f t="shared" si="21"/>
        <v>0</v>
      </c>
      <c r="G914" s="21" t="str">
        <f>IFERROR(VLOOKUP(B914,DADOS!$A$2:$H$252,8,0),"")</f>
        <v/>
      </c>
      <c r="H914" s="22"/>
      <c r="I914" s="23" t="str">
        <f>IFERROR(VLOOKUP(B914,DADOS!$A$2:$H$252,4,0)*H914,"")</f>
        <v/>
      </c>
      <c r="J914" s="36">
        <v>3.0</v>
      </c>
      <c r="K914" s="25" t="str">
        <f>IFERROR(VLOOKUP(B914,DADOS!$A$2:$H$252,4,0)*J914,"")</f>
        <v/>
      </c>
      <c r="L914" s="26">
        <f t="shared" si="22"/>
        <v>0</v>
      </c>
      <c r="M914" s="27" t="s">
        <v>39</v>
      </c>
      <c r="N914" s="33" t="s">
        <v>163</v>
      </c>
      <c r="O914" s="28"/>
      <c r="P914" s="28"/>
      <c r="Q914" s="28"/>
      <c r="R914" s="28"/>
      <c r="S914" s="28"/>
    </row>
    <row r="915">
      <c r="A915" s="17">
        <v>45642.0</v>
      </c>
      <c r="B915" s="18" t="s">
        <v>26</v>
      </c>
      <c r="C915" s="18" t="s">
        <v>80</v>
      </c>
      <c r="D915" s="19"/>
      <c r="E915" s="19"/>
      <c r="F915" s="20">
        <f t="shared" si="21"/>
        <v>0</v>
      </c>
      <c r="G915" s="21">
        <f>IFERROR(VLOOKUP(B915,DADOS!$A$2:$H$252,8,0),"")</f>
        <v>50</v>
      </c>
      <c r="H915" s="22"/>
      <c r="I915" s="23">
        <f>IFERROR(VLOOKUP(B915,DADOS!$A$2:$H$252,4,0)*H915,"")</f>
        <v>0</v>
      </c>
      <c r="J915" s="36">
        <v>1.0</v>
      </c>
      <c r="K915" s="25">
        <f>IFERROR(VLOOKUP(B915,DADOS!$A$2:$H$252,4,0)*J915,"")</f>
        <v>0.1139336</v>
      </c>
      <c r="L915" s="26">
        <f t="shared" si="22"/>
        <v>0</v>
      </c>
      <c r="M915" s="27" t="s">
        <v>39</v>
      </c>
      <c r="N915" s="33" t="s">
        <v>163</v>
      </c>
      <c r="O915" s="28"/>
      <c r="P915" s="28"/>
      <c r="Q915" s="28"/>
      <c r="R915" s="28"/>
      <c r="S915" s="28"/>
    </row>
    <row r="916">
      <c r="A916" s="17">
        <v>45642.0</v>
      </c>
      <c r="B916" s="18" t="s">
        <v>127</v>
      </c>
      <c r="C916" s="18" t="s">
        <v>80</v>
      </c>
      <c r="D916" s="19"/>
      <c r="E916" s="19"/>
      <c r="F916" s="20">
        <f t="shared" si="21"/>
        <v>0</v>
      </c>
      <c r="G916" s="21" t="str">
        <f>IFERROR(VLOOKUP(B916,DADOS!$A$2:$H$252,8,0),"")</f>
        <v/>
      </c>
      <c r="H916" s="22"/>
      <c r="I916" s="23">
        <f>IFERROR(VLOOKUP(B916,DADOS!$A$2:$H$252,4,0)*H916,"")</f>
        <v>0</v>
      </c>
      <c r="J916" s="36">
        <v>1.0</v>
      </c>
      <c r="K916" s="25">
        <f>IFERROR(VLOOKUP(B916,DADOS!$A$2:$H$252,4,0)*J916,"")</f>
        <v>0</v>
      </c>
      <c r="L916" s="26">
        <f t="shared" si="22"/>
        <v>0</v>
      </c>
      <c r="M916" s="30" t="s">
        <v>103</v>
      </c>
      <c r="N916" s="33" t="s">
        <v>143</v>
      </c>
      <c r="O916" s="28"/>
      <c r="P916" s="28"/>
      <c r="Q916" s="28"/>
      <c r="R916" s="28"/>
      <c r="S916" s="28"/>
    </row>
    <row r="917">
      <c r="A917" s="17">
        <v>45642.0</v>
      </c>
      <c r="B917" s="18" t="s">
        <v>164</v>
      </c>
      <c r="C917" s="18" t="s">
        <v>80</v>
      </c>
      <c r="D917" s="19"/>
      <c r="E917" s="19"/>
      <c r="F917" s="20">
        <f t="shared" si="21"/>
        <v>0</v>
      </c>
      <c r="G917" s="21" t="str">
        <f>IFERROR(VLOOKUP(B917,DADOS!$A$2:$H$252,8,0),"")</f>
        <v/>
      </c>
      <c r="H917" s="22"/>
      <c r="I917" s="23">
        <f>IFERROR(VLOOKUP(B917,DADOS!$A$2:$H$252,4,0)*H917,"")</f>
        <v>0</v>
      </c>
      <c r="J917" s="36">
        <v>1.0</v>
      </c>
      <c r="K917" s="25">
        <f>IFERROR(VLOOKUP(B917,DADOS!$A$2:$H$252,4,0)*J917,"")</f>
        <v>0</v>
      </c>
      <c r="L917" s="26">
        <f t="shared" si="22"/>
        <v>0</v>
      </c>
      <c r="M917" s="30" t="s">
        <v>103</v>
      </c>
      <c r="N917" s="33" t="s">
        <v>143</v>
      </c>
      <c r="O917" s="28"/>
      <c r="P917" s="28"/>
      <c r="Q917" s="28"/>
      <c r="R917" s="28"/>
      <c r="S917" s="28"/>
    </row>
    <row r="918">
      <c r="A918" s="17">
        <v>45642.0</v>
      </c>
      <c r="B918" s="18" t="s">
        <v>164</v>
      </c>
      <c r="C918" s="18" t="s">
        <v>80</v>
      </c>
      <c r="D918" s="19"/>
      <c r="E918" s="19"/>
      <c r="F918" s="20">
        <f t="shared" si="21"/>
        <v>0</v>
      </c>
      <c r="G918" s="21" t="str">
        <f>IFERROR(VLOOKUP(B918,DADOS!$A$2:$H$252,8,0),"")</f>
        <v/>
      </c>
      <c r="H918" s="22"/>
      <c r="I918" s="23">
        <f>IFERROR(VLOOKUP(B918,DADOS!$A$2:$H$252,4,0)*H918,"")</f>
        <v>0</v>
      </c>
      <c r="J918" s="36">
        <v>3.0</v>
      </c>
      <c r="K918" s="25">
        <f>IFERROR(VLOOKUP(B918,DADOS!$A$2:$H$252,4,0)*J918,"")</f>
        <v>0</v>
      </c>
      <c r="L918" s="26">
        <f t="shared" si="22"/>
        <v>0</v>
      </c>
      <c r="M918" s="30" t="s">
        <v>103</v>
      </c>
      <c r="N918" s="33" t="s">
        <v>143</v>
      </c>
      <c r="O918" s="28"/>
      <c r="P918" s="28"/>
      <c r="Q918" s="28"/>
      <c r="R918" s="28"/>
      <c r="S918" s="28"/>
    </row>
    <row r="919">
      <c r="A919" s="17">
        <v>45642.0</v>
      </c>
      <c r="B919" s="18" t="s">
        <v>31</v>
      </c>
      <c r="C919" s="18" t="s">
        <v>80</v>
      </c>
      <c r="D919" s="19"/>
      <c r="E919" s="19"/>
      <c r="F919" s="20">
        <f t="shared" si="21"/>
        <v>0</v>
      </c>
      <c r="G919" s="21">
        <f>IFERROR(VLOOKUP(B919,DADOS!$A$2:$H$252,8,0),"")</f>
        <v>10</v>
      </c>
      <c r="H919" s="22"/>
      <c r="I919" s="23">
        <f>IFERROR(VLOOKUP(B919,DADOS!$A$2:$H$252,4,0)*H919,"")</f>
        <v>0</v>
      </c>
      <c r="J919" s="36">
        <v>1.0</v>
      </c>
      <c r="K919" s="25">
        <f>IFERROR(VLOOKUP(B919,DADOS!$A$2:$H$252,4,0)*J919,"")</f>
        <v>0.1355904</v>
      </c>
      <c r="L919" s="26">
        <f t="shared" si="22"/>
        <v>0</v>
      </c>
      <c r="M919" s="27" t="s">
        <v>39</v>
      </c>
      <c r="N919" s="33" t="s">
        <v>144</v>
      </c>
      <c r="O919" s="28"/>
      <c r="P919" s="28"/>
      <c r="Q919" s="28"/>
      <c r="R919" s="28"/>
      <c r="S919" s="28"/>
    </row>
    <row r="920">
      <c r="A920" s="17">
        <v>45642.0</v>
      </c>
      <c r="B920" s="18" t="s">
        <v>43</v>
      </c>
      <c r="C920" s="18" t="s">
        <v>80</v>
      </c>
      <c r="D920" s="19"/>
      <c r="E920" s="19"/>
      <c r="F920" s="20">
        <f t="shared" si="21"/>
        <v>0</v>
      </c>
      <c r="G920" s="21" t="str">
        <f>IFERROR(VLOOKUP(B920,DADOS!$A$2:$H$252,8,0),"")</f>
        <v/>
      </c>
      <c r="H920" s="22"/>
      <c r="I920" s="23" t="str">
        <f>IFERROR(VLOOKUP(B920,DADOS!$A$2:$H$252,4,0)*H920,"")</f>
        <v/>
      </c>
      <c r="J920" s="36">
        <v>1.0</v>
      </c>
      <c r="K920" s="25" t="str">
        <f>IFERROR(VLOOKUP(B920,DADOS!$A$2:$H$252,4,0)*J920,"")</f>
        <v/>
      </c>
      <c r="L920" s="26">
        <f t="shared" si="22"/>
        <v>0</v>
      </c>
      <c r="M920" s="27" t="s">
        <v>39</v>
      </c>
      <c r="N920" s="33" t="s">
        <v>89</v>
      </c>
      <c r="O920" s="28"/>
      <c r="P920" s="28"/>
      <c r="Q920" s="28"/>
      <c r="R920" s="28"/>
      <c r="S920" s="28"/>
    </row>
    <row r="921">
      <c r="A921" s="17">
        <v>45642.0</v>
      </c>
      <c r="B921" s="18" t="s">
        <v>49</v>
      </c>
      <c r="C921" s="18" t="s">
        <v>80</v>
      </c>
      <c r="D921" s="19"/>
      <c r="E921" s="19"/>
      <c r="F921" s="20">
        <f t="shared" si="21"/>
        <v>0</v>
      </c>
      <c r="G921" s="21">
        <f>IFERROR(VLOOKUP(B921,DADOS!$A$2:$H$252,8,0),"")</f>
        <v>42</v>
      </c>
      <c r="H921" s="22"/>
      <c r="I921" s="23">
        <f>IFERROR(VLOOKUP(B921,DADOS!$A$2:$H$252,4,0)*H921,"")</f>
        <v>0</v>
      </c>
      <c r="J921" s="36">
        <v>1.0</v>
      </c>
      <c r="K921" s="25">
        <f>IFERROR(VLOOKUP(B921,DADOS!$A$2:$H$252,4,0)*J921,"")</f>
        <v>0.0680306</v>
      </c>
      <c r="L921" s="26">
        <f t="shared" si="22"/>
        <v>0</v>
      </c>
      <c r="M921" s="27" t="s">
        <v>39</v>
      </c>
      <c r="N921" s="33" t="s">
        <v>89</v>
      </c>
      <c r="O921" s="28"/>
      <c r="P921" s="28"/>
      <c r="Q921" s="28"/>
      <c r="R921" s="28"/>
      <c r="S921" s="28"/>
    </row>
    <row r="922">
      <c r="A922" s="17">
        <v>45642.0</v>
      </c>
      <c r="B922" s="18" t="s">
        <v>47</v>
      </c>
      <c r="C922" s="18" t="s">
        <v>80</v>
      </c>
      <c r="D922" s="19"/>
      <c r="E922" s="19"/>
      <c r="F922" s="20">
        <f t="shared" si="21"/>
        <v>0</v>
      </c>
      <c r="G922" s="21">
        <f>IFERROR(VLOOKUP(B922,DADOS!$A$2:$H$252,8,0),"")</f>
        <v>35</v>
      </c>
      <c r="H922" s="22"/>
      <c r="I922" s="23">
        <f>IFERROR(VLOOKUP(B922,DADOS!$A$2:$H$252,4,0)*H922,"")</f>
        <v>0</v>
      </c>
      <c r="J922" s="36">
        <v>1.0</v>
      </c>
      <c r="K922" s="25">
        <f>IFERROR(VLOOKUP(B922,DADOS!$A$2:$H$252,4,0)*J922,"")</f>
        <v>0.1139336</v>
      </c>
      <c r="L922" s="26">
        <f t="shared" si="22"/>
        <v>0</v>
      </c>
      <c r="M922" s="27" t="s">
        <v>39</v>
      </c>
      <c r="N922" s="33" t="s">
        <v>89</v>
      </c>
      <c r="O922" s="28"/>
      <c r="P922" s="28"/>
      <c r="Q922" s="28"/>
      <c r="R922" s="28"/>
      <c r="S922" s="28"/>
    </row>
    <row r="923">
      <c r="A923" s="17">
        <v>45643.0</v>
      </c>
      <c r="B923" s="18" t="s">
        <v>113</v>
      </c>
      <c r="C923" s="18" t="s">
        <v>19</v>
      </c>
      <c r="D923" s="19"/>
      <c r="E923" s="19"/>
      <c r="F923" s="20">
        <f t="shared" si="21"/>
        <v>0</v>
      </c>
      <c r="G923" s="21">
        <f>IFERROR(VLOOKUP(B923,DADOS!$A$2:$H$252,8,0),"")</f>
        <v>8</v>
      </c>
      <c r="H923" s="22">
        <v>4.0</v>
      </c>
      <c r="I923" s="23">
        <f>IFERROR(VLOOKUP(B923,DADOS!$A$2:$H$252,4,0)*H923,"")</f>
        <v>2.5460864</v>
      </c>
      <c r="J923" s="24">
        <v>1.0</v>
      </c>
      <c r="K923" s="25">
        <f>IFERROR(VLOOKUP(B923,DADOS!$A$2:$H$252,4,0)*J923,"")</f>
        <v>0.6365216</v>
      </c>
      <c r="L923" s="26">
        <f t="shared" si="22"/>
        <v>0</v>
      </c>
      <c r="M923" s="27"/>
      <c r="N923" s="30"/>
      <c r="O923" s="28"/>
      <c r="P923" s="28"/>
      <c r="Q923" s="28"/>
      <c r="R923" s="28"/>
      <c r="S923" s="28"/>
    </row>
    <row r="924">
      <c r="A924" s="17">
        <v>45643.0</v>
      </c>
      <c r="B924" s="18" t="s">
        <v>44</v>
      </c>
      <c r="C924" s="18" t="s">
        <v>19</v>
      </c>
      <c r="D924" s="19"/>
      <c r="E924" s="19"/>
      <c r="F924" s="20">
        <f t="shared" si="21"/>
        <v>0</v>
      </c>
      <c r="G924" s="21">
        <f>IFERROR(VLOOKUP(B924,DADOS!$A$2:$H$252,8,0),"")</f>
        <v>15</v>
      </c>
      <c r="H924" s="22">
        <v>27.0</v>
      </c>
      <c r="I924" s="23">
        <f>IFERROR(VLOOKUP(B924,DADOS!$A$2:$H$252,4,0)*H924,"")</f>
        <v>4.9829472</v>
      </c>
      <c r="J924" s="36"/>
      <c r="K924" s="25">
        <f>IFERROR(VLOOKUP(B924,DADOS!$A$2:$H$252,4,0)*J924,"")</f>
        <v>0</v>
      </c>
      <c r="L924" s="26">
        <f t="shared" si="22"/>
        <v>0</v>
      </c>
      <c r="M924" s="27"/>
      <c r="N924" s="30"/>
      <c r="O924" s="28"/>
      <c r="P924" s="28"/>
      <c r="Q924" s="28"/>
      <c r="R924" s="28"/>
      <c r="S924" s="28"/>
    </row>
    <row r="925">
      <c r="A925" s="17">
        <v>45643.0</v>
      </c>
      <c r="B925" s="18" t="s">
        <v>26</v>
      </c>
      <c r="C925" s="18" t="s">
        <v>19</v>
      </c>
      <c r="D925" s="19"/>
      <c r="E925" s="19"/>
      <c r="F925" s="20">
        <f t="shared" si="21"/>
        <v>0</v>
      </c>
      <c r="G925" s="21">
        <f>IFERROR(VLOOKUP(B925,DADOS!$A$2:$H$252,8,0),"")</f>
        <v>50</v>
      </c>
      <c r="H925" s="22">
        <v>20.0</v>
      </c>
      <c r="I925" s="23">
        <f>IFERROR(VLOOKUP(B925,DADOS!$A$2:$H$252,4,0)*H925,"")</f>
        <v>2.278672</v>
      </c>
      <c r="J925" s="36"/>
      <c r="K925" s="25">
        <f>IFERROR(VLOOKUP(B925,DADOS!$A$2:$H$252,4,0)*J925,"")</f>
        <v>0</v>
      </c>
      <c r="L925" s="26">
        <f t="shared" si="22"/>
        <v>0</v>
      </c>
      <c r="M925" s="27"/>
      <c r="N925" s="30"/>
      <c r="O925" s="28"/>
      <c r="P925" s="28"/>
      <c r="Q925" s="28"/>
      <c r="R925" s="28"/>
      <c r="S925" s="28"/>
    </row>
    <row r="926">
      <c r="A926" s="17">
        <v>45643.0</v>
      </c>
      <c r="B926" s="18" t="s">
        <v>47</v>
      </c>
      <c r="C926" s="18" t="s">
        <v>158</v>
      </c>
      <c r="D926" s="19"/>
      <c r="E926" s="19"/>
      <c r="F926" s="20">
        <f t="shared" si="21"/>
        <v>0</v>
      </c>
      <c r="G926" s="21">
        <f>IFERROR(VLOOKUP(B926,DADOS!$A$2:$H$252,8,0),"")</f>
        <v>35</v>
      </c>
      <c r="H926" s="22">
        <v>38.0</v>
      </c>
      <c r="I926" s="23">
        <f>IFERROR(VLOOKUP(B926,DADOS!$A$2:$H$252,4,0)*H926,"")</f>
        <v>4.3294768</v>
      </c>
      <c r="J926" s="24">
        <v>26.0</v>
      </c>
      <c r="K926" s="25">
        <f>IFERROR(VLOOKUP(B926,DADOS!$A$2:$H$252,4,0)*J926,"")</f>
        <v>2.9622736</v>
      </c>
      <c r="L926" s="26">
        <f t="shared" si="22"/>
        <v>0</v>
      </c>
      <c r="M926" s="30" t="s">
        <v>39</v>
      </c>
      <c r="N926" s="33" t="s">
        <v>40</v>
      </c>
      <c r="O926" s="28"/>
      <c r="P926" s="28"/>
      <c r="Q926" s="28"/>
      <c r="R926" s="28"/>
      <c r="S926" s="28"/>
    </row>
    <row r="927">
      <c r="A927" s="17">
        <v>45643.0</v>
      </c>
      <c r="B927" s="18" t="s">
        <v>25</v>
      </c>
      <c r="C927" s="18" t="s">
        <v>158</v>
      </c>
      <c r="D927" s="19"/>
      <c r="E927" s="19"/>
      <c r="F927" s="20">
        <f t="shared" si="21"/>
        <v>0</v>
      </c>
      <c r="G927" s="21">
        <f>IFERROR(VLOOKUP(B927,DADOS!$A$2:$H$252,8,0),"")</f>
        <v>40</v>
      </c>
      <c r="H927" s="22">
        <v>28.0</v>
      </c>
      <c r="I927" s="23">
        <f>IFERROR(VLOOKUP(B927,DADOS!$A$2:$H$252,4,0)*H927,"")</f>
        <v>2.900128</v>
      </c>
      <c r="J927" s="36"/>
      <c r="K927" s="25">
        <f>IFERROR(VLOOKUP(B927,DADOS!$A$2:$H$252,4,0)*J927,"")</f>
        <v>0</v>
      </c>
      <c r="L927" s="26">
        <f t="shared" si="22"/>
        <v>0</v>
      </c>
      <c r="M927" s="27"/>
      <c r="N927" s="30"/>
      <c r="O927" s="28"/>
      <c r="P927" s="28"/>
      <c r="Q927" s="28"/>
      <c r="R927" s="28"/>
      <c r="S927" s="28"/>
    </row>
    <row r="928">
      <c r="A928" s="17">
        <v>45643.0</v>
      </c>
      <c r="B928" s="18" t="s">
        <v>49</v>
      </c>
      <c r="C928" s="18" t="s">
        <v>158</v>
      </c>
      <c r="D928" s="19"/>
      <c r="E928" s="19"/>
      <c r="F928" s="20">
        <f t="shared" si="21"/>
        <v>0</v>
      </c>
      <c r="G928" s="21">
        <f>IFERROR(VLOOKUP(B928,DADOS!$A$2:$H$252,8,0),"")</f>
        <v>42</v>
      </c>
      <c r="H928" s="22">
        <v>55.0</v>
      </c>
      <c r="I928" s="23">
        <f>IFERROR(VLOOKUP(B928,DADOS!$A$2:$H$252,4,0)*H928,"")</f>
        <v>3.741683</v>
      </c>
      <c r="J928" s="24">
        <v>10.0</v>
      </c>
      <c r="K928" s="25">
        <f>IFERROR(VLOOKUP(B928,DADOS!$A$2:$H$252,4,0)*J928,"")</f>
        <v>0.680306</v>
      </c>
      <c r="L928" s="26">
        <f t="shared" si="22"/>
        <v>0</v>
      </c>
      <c r="M928" s="27"/>
      <c r="N928" s="30"/>
      <c r="O928" s="28"/>
      <c r="P928" s="28"/>
      <c r="Q928" s="28"/>
      <c r="R928" s="28"/>
      <c r="S928" s="28"/>
    </row>
    <row r="929">
      <c r="A929" s="17">
        <v>45643.0</v>
      </c>
      <c r="B929" s="18" t="s">
        <v>59</v>
      </c>
      <c r="C929" s="18" t="s">
        <v>136</v>
      </c>
      <c r="D929" s="19"/>
      <c r="E929" s="19"/>
      <c r="F929" s="20">
        <f t="shared" si="21"/>
        <v>0</v>
      </c>
      <c r="G929" s="21">
        <f>IFERROR(VLOOKUP(B929,DADOS!$A$2:$H$252,8,0),"")</f>
        <v>50</v>
      </c>
      <c r="H929" s="22">
        <v>192.0</v>
      </c>
      <c r="I929" s="23">
        <f>IFERROR(VLOOKUP(B929,DADOS!$A$2:$H$252,4,0)*H929,"")</f>
        <v>3.28704</v>
      </c>
      <c r="J929" s="24">
        <v>5.0</v>
      </c>
      <c r="K929" s="25">
        <f>IFERROR(VLOOKUP(B929,DADOS!$A$2:$H$252,4,0)*J929,"")</f>
        <v>0.0856</v>
      </c>
      <c r="L929" s="26">
        <f t="shared" si="22"/>
        <v>0</v>
      </c>
      <c r="M929" s="27"/>
      <c r="N929" s="30"/>
      <c r="O929" s="28"/>
      <c r="P929" s="28"/>
      <c r="Q929" s="28"/>
      <c r="R929" s="28"/>
      <c r="S929" s="28"/>
    </row>
    <row r="930">
      <c r="A930" s="17">
        <v>45644.0</v>
      </c>
      <c r="B930" s="18" t="s">
        <v>32</v>
      </c>
      <c r="C930" s="18" t="s">
        <v>19</v>
      </c>
      <c r="D930" s="19"/>
      <c r="E930" s="19"/>
      <c r="F930" s="20">
        <f t="shared" si="21"/>
        <v>0</v>
      </c>
      <c r="G930" s="21">
        <f>IFERROR(VLOOKUP(B930,DADOS!$A$2:$H$252,8,0),"")</f>
        <v>10</v>
      </c>
      <c r="H930" s="22">
        <v>15.0</v>
      </c>
      <c r="I930" s="23">
        <f>IFERROR(VLOOKUP(B930,DADOS!$A$2:$H$252,4,0)*H930,"")</f>
        <v>9.184131</v>
      </c>
      <c r="J930" s="36"/>
      <c r="K930" s="25">
        <f>IFERROR(VLOOKUP(B930,DADOS!$A$2:$H$252,4,0)*J930,"")</f>
        <v>0</v>
      </c>
      <c r="L930" s="26">
        <f t="shared" si="22"/>
        <v>0</v>
      </c>
      <c r="M930" s="27"/>
      <c r="N930" s="30"/>
      <c r="O930" s="28"/>
      <c r="P930" s="28"/>
      <c r="Q930" s="28"/>
      <c r="R930" s="28"/>
      <c r="S930" s="28"/>
    </row>
    <row r="931">
      <c r="A931" s="17">
        <v>45644.0</v>
      </c>
      <c r="B931" s="18" t="s">
        <v>159</v>
      </c>
      <c r="C931" s="18" t="s">
        <v>19</v>
      </c>
      <c r="D931" s="19"/>
      <c r="E931" s="19"/>
      <c r="F931" s="20">
        <f t="shared" si="21"/>
        <v>0</v>
      </c>
      <c r="G931" s="21">
        <f>IFERROR(VLOOKUP(B931,DADOS!$A$2:$H$252,8,0),"")</f>
        <v>8</v>
      </c>
      <c r="H931" s="22">
        <v>10.0</v>
      </c>
      <c r="I931" s="23">
        <f>IFERROR(VLOOKUP(B931,DADOS!$A$2:$H$252,4,0)*H931,"")</f>
        <v>14.825278</v>
      </c>
      <c r="J931" s="36"/>
      <c r="K931" s="25">
        <f>IFERROR(VLOOKUP(B931,DADOS!$A$2:$H$252,4,0)*J931,"")</f>
        <v>0</v>
      </c>
      <c r="L931" s="26">
        <f t="shared" si="22"/>
        <v>0</v>
      </c>
      <c r="M931" s="27"/>
      <c r="N931" s="30"/>
      <c r="O931" s="28"/>
      <c r="P931" s="28"/>
      <c r="Q931" s="28"/>
      <c r="R931" s="28"/>
      <c r="S931" s="28"/>
    </row>
    <row r="932">
      <c r="A932" s="17">
        <v>45644.0</v>
      </c>
      <c r="B932" s="18" t="s">
        <v>71</v>
      </c>
      <c r="C932" s="18" t="s">
        <v>19</v>
      </c>
      <c r="D932" s="19"/>
      <c r="E932" s="19"/>
      <c r="F932" s="20">
        <f t="shared" si="21"/>
        <v>0</v>
      </c>
      <c r="G932" s="21">
        <f>IFERROR(VLOOKUP(B932,DADOS!$A$2:$H$252,8,0),"")</f>
        <v>7</v>
      </c>
      <c r="H932" s="22">
        <v>3.0</v>
      </c>
      <c r="I932" s="23">
        <f>IFERROR(VLOOKUP(B932,DADOS!$A$2:$H$252,4,0)*H932,"")</f>
        <v>4.2072186</v>
      </c>
      <c r="J932" s="36"/>
      <c r="K932" s="25">
        <f>IFERROR(VLOOKUP(B932,DADOS!$A$2:$H$252,4,0)*J932,"")</f>
        <v>0</v>
      </c>
      <c r="L932" s="26">
        <f t="shared" si="22"/>
        <v>0</v>
      </c>
      <c r="M932" s="27"/>
      <c r="N932" s="30"/>
      <c r="O932" s="28"/>
      <c r="P932" s="28"/>
      <c r="Q932" s="28"/>
      <c r="R932" s="28"/>
      <c r="S932" s="28"/>
    </row>
    <row r="933">
      <c r="A933" s="17">
        <v>45644.0</v>
      </c>
      <c r="B933" s="18" t="s">
        <v>26</v>
      </c>
      <c r="C933" s="18" t="s">
        <v>19</v>
      </c>
      <c r="D933" s="19"/>
      <c r="E933" s="19"/>
      <c r="F933" s="20">
        <f t="shared" si="21"/>
        <v>0</v>
      </c>
      <c r="G933" s="21">
        <f>IFERROR(VLOOKUP(B933,DADOS!$A$2:$H$252,8,0),"")</f>
        <v>50</v>
      </c>
      <c r="H933" s="22">
        <v>81.0</v>
      </c>
      <c r="I933" s="23">
        <f>IFERROR(VLOOKUP(B933,DADOS!$A$2:$H$252,4,0)*H933,"")</f>
        <v>9.2286216</v>
      </c>
      <c r="J933" s="24">
        <v>1.0</v>
      </c>
      <c r="K933" s="25">
        <f>IFERROR(VLOOKUP(B933,DADOS!$A$2:$H$252,4,0)*J933,"")</f>
        <v>0.1139336</v>
      </c>
      <c r="L933" s="26">
        <f t="shared" si="22"/>
        <v>0</v>
      </c>
      <c r="M933" s="27"/>
      <c r="N933" s="30"/>
      <c r="O933" s="28"/>
      <c r="P933" s="28"/>
      <c r="Q933" s="28"/>
      <c r="R933" s="28"/>
      <c r="S933" s="28"/>
    </row>
    <row r="934">
      <c r="A934" s="17">
        <v>45644.0</v>
      </c>
      <c r="B934" s="18" t="s">
        <v>62</v>
      </c>
      <c r="C934" s="18" t="s">
        <v>158</v>
      </c>
      <c r="D934" s="19"/>
      <c r="E934" s="19"/>
      <c r="F934" s="20">
        <f t="shared" si="21"/>
        <v>0</v>
      </c>
      <c r="G934" s="21">
        <f>IFERROR(VLOOKUP(B934,DADOS!$A$2:$H$252,8,0),"")</f>
        <v>14</v>
      </c>
      <c r="H934" s="22">
        <v>9.0</v>
      </c>
      <c r="I934" s="23">
        <f>IFERROR(VLOOKUP(B934,DADOS!$A$2:$H$252,4,0)*H934,"")</f>
        <v>0.7648146</v>
      </c>
      <c r="J934" s="24">
        <v>5.0</v>
      </c>
      <c r="K934" s="25">
        <f>IFERROR(VLOOKUP(B934,DADOS!$A$2:$H$252,4,0)*J934,"")</f>
        <v>0.424897</v>
      </c>
      <c r="L934" s="26">
        <f t="shared" si="22"/>
        <v>0</v>
      </c>
      <c r="M934" s="27"/>
      <c r="N934" s="30"/>
      <c r="O934" s="28"/>
      <c r="P934" s="28"/>
      <c r="Q934" s="28"/>
      <c r="R934" s="28"/>
      <c r="S934" s="28"/>
    </row>
    <row r="935">
      <c r="A935" s="17">
        <v>45644.0</v>
      </c>
      <c r="B935" s="18" t="s">
        <v>59</v>
      </c>
      <c r="C935" s="18" t="s">
        <v>136</v>
      </c>
      <c r="D935" s="19"/>
      <c r="E935" s="19"/>
      <c r="F935" s="20">
        <f t="shared" si="21"/>
        <v>0</v>
      </c>
      <c r="G935" s="21">
        <f>IFERROR(VLOOKUP(B935,DADOS!$A$2:$H$252,8,0),"")</f>
        <v>50</v>
      </c>
      <c r="H935" s="22">
        <v>8.0</v>
      </c>
      <c r="I935" s="23">
        <f>IFERROR(VLOOKUP(B935,DADOS!$A$2:$H$252,4,0)*H935,"")</f>
        <v>0.13696</v>
      </c>
      <c r="J935" s="36"/>
      <c r="K935" s="25">
        <f>IFERROR(VLOOKUP(B935,DADOS!$A$2:$H$252,4,0)*J935,"")</f>
        <v>0</v>
      </c>
      <c r="L935" s="26">
        <f t="shared" si="22"/>
        <v>0</v>
      </c>
      <c r="M935" s="27"/>
      <c r="N935" s="30"/>
      <c r="O935" s="28"/>
      <c r="P935" s="28"/>
      <c r="Q935" s="28"/>
      <c r="R935" s="28"/>
      <c r="S935" s="28"/>
    </row>
    <row r="936">
      <c r="A936" s="17">
        <v>45644.0</v>
      </c>
      <c r="B936" s="18" t="s">
        <v>79</v>
      </c>
      <c r="C936" s="18" t="s">
        <v>136</v>
      </c>
      <c r="D936" s="19"/>
      <c r="E936" s="19"/>
      <c r="F936" s="20">
        <f t="shared" si="21"/>
        <v>0</v>
      </c>
      <c r="G936" s="21">
        <f>IFERROR(VLOOKUP(B936,DADOS!$A$2:$H$252,8,0),"")</f>
        <v>87</v>
      </c>
      <c r="H936" s="22">
        <v>103.0</v>
      </c>
      <c r="I936" s="23">
        <f>IFERROR(VLOOKUP(B936,DADOS!$A$2:$H$252,4,0)*H936,"")</f>
        <v>1.76336</v>
      </c>
      <c r="J936" s="36"/>
      <c r="K936" s="25">
        <f>IFERROR(VLOOKUP(B936,DADOS!$A$2:$H$252,4,0)*J936,"")</f>
        <v>0</v>
      </c>
      <c r="L936" s="26">
        <f t="shared" si="22"/>
        <v>0</v>
      </c>
      <c r="M936" s="27"/>
      <c r="N936" s="30"/>
      <c r="O936" s="28"/>
      <c r="P936" s="28"/>
      <c r="Q936" s="28"/>
      <c r="R936" s="28"/>
      <c r="S936" s="28"/>
    </row>
    <row r="937">
      <c r="A937" s="17">
        <v>45644.0</v>
      </c>
      <c r="B937" s="18" t="s">
        <v>25</v>
      </c>
      <c r="C937" s="18" t="s">
        <v>146</v>
      </c>
      <c r="D937" s="19"/>
      <c r="E937" s="19"/>
      <c r="F937" s="20">
        <f t="shared" si="21"/>
        <v>0</v>
      </c>
      <c r="G937" s="21">
        <f>IFERROR(VLOOKUP(B937,DADOS!$A$2:$H$252,8,0),"")</f>
        <v>40</v>
      </c>
      <c r="H937" s="22">
        <v>167.0</v>
      </c>
      <c r="I937" s="23">
        <f>IFERROR(VLOOKUP(B937,DADOS!$A$2:$H$252,4,0)*H937,"")</f>
        <v>17.297192</v>
      </c>
      <c r="J937" s="24">
        <v>4.0</v>
      </c>
      <c r="K937" s="25">
        <f>IFERROR(VLOOKUP(B937,DADOS!$A$2:$H$252,4,0)*J937,"")</f>
        <v>0.414304</v>
      </c>
      <c r="L937" s="26">
        <f t="shared" si="22"/>
        <v>0</v>
      </c>
      <c r="M937" s="27"/>
      <c r="N937" s="30"/>
      <c r="O937" s="28"/>
      <c r="P937" s="28"/>
      <c r="Q937" s="28"/>
      <c r="R937" s="28"/>
      <c r="S937" s="28"/>
    </row>
    <row r="938">
      <c r="A938" s="17">
        <v>45645.0</v>
      </c>
      <c r="B938" s="18" t="s">
        <v>71</v>
      </c>
      <c r="C938" s="18" t="s">
        <v>19</v>
      </c>
      <c r="D938" s="19"/>
      <c r="E938" s="19"/>
      <c r="F938" s="20">
        <f t="shared" si="21"/>
        <v>0</v>
      </c>
      <c r="G938" s="21">
        <f>IFERROR(VLOOKUP(B938,DADOS!$A$2:$H$252,8,0),"")</f>
        <v>7</v>
      </c>
      <c r="H938" s="22">
        <v>13.0</v>
      </c>
      <c r="I938" s="23">
        <f>IFERROR(VLOOKUP(B938,DADOS!$A$2:$H$252,4,0)*H938,"")</f>
        <v>18.2312806</v>
      </c>
      <c r="J938" s="36"/>
      <c r="K938" s="25">
        <f>IFERROR(VLOOKUP(B938,DADOS!$A$2:$H$252,4,0)*J938,"")</f>
        <v>0</v>
      </c>
      <c r="L938" s="26">
        <f t="shared" si="22"/>
        <v>0</v>
      </c>
      <c r="M938" s="27"/>
      <c r="N938" s="30"/>
      <c r="O938" s="28"/>
      <c r="P938" s="28"/>
      <c r="Q938" s="28"/>
      <c r="R938" s="28"/>
      <c r="S938" s="28"/>
    </row>
    <row r="939">
      <c r="A939" s="17">
        <v>45645.0</v>
      </c>
      <c r="B939" s="18" t="s">
        <v>43</v>
      </c>
      <c r="C939" s="18" t="s">
        <v>158</v>
      </c>
      <c r="D939" s="19"/>
      <c r="E939" s="19"/>
      <c r="F939" s="20">
        <f t="shared" si="21"/>
        <v>0</v>
      </c>
      <c r="G939" s="21" t="str">
        <f>IFERROR(VLOOKUP(B939,DADOS!$A$2:$H$252,8,0),"")</f>
        <v/>
      </c>
      <c r="H939" s="22">
        <v>24.0</v>
      </c>
      <c r="I939" s="23" t="str">
        <f>IFERROR(VLOOKUP(B939,DADOS!$A$2:$H$252,4,0)*H939,"")</f>
        <v/>
      </c>
      <c r="J939" s="24">
        <v>2.0</v>
      </c>
      <c r="K939" s="25" t="str">
        <f>IFERROR(VLOOKUP(B939,DADOS!$A$2:$H$252,4,0)*J939,"")</f>
        <v/>
      </c>
      <c r="L939" s="26" t="str">
        <f t="shared" si="22"/>
        <v/>
      </c>
      <c r="M939" s="27"/>
      <c r="N939" s="30"/>
      <c r="O939" s="28"/>
      <c r="P939" s="28"/>
      <c r="Q939" s="28"/>
      <c r="R939" s="28"/>
      <c r="S939" s="28"/>
    </row>
    <row r="940">
      <c r="A940" s="17">
        <v>45645.0</v>
      </c>
      <c r="B940" s="18" t="s">
        <v>79</v>
      </c>
      <c r="C940" s="18" t="s">
        <v>136</v>
      </c>
      <c r="D940" s="19"/>
      <c r="E940" s="19"/>
      <c r="F940" s="20">
        <f t="shared" si="21"/>
        <v>0</v>
      </c>
      <c r="G940" s="21">
        <f>IFERROR(VLOOKUP(B940,DADOS!$A$2:$H$252,8,0),"")</f>
        <v>87</v>
      </c>
      <c r="H940" s="22">
        <v>194.0</v>
      </c>
      <c r="I940" s="23">
        <f>IFERROR(VLOOKUP(B940,DADOS!$A$2:$H$252,4,0)*H940,"")</f>
        <v>3.32128</v>
      </c>
      <c r="J940" s="24">
        <v>7.0</v>
      </c>
      <c r="K940" s="25">
        <f>IFERROR(VLOOKUP(B940,DADOS!$A$2:$H$252,4,0)*J940,"")</f>
        <v>0.11984</v>
      </c>
      <c r="L940" s="26">
        <f t="shared" si="22"/>
        <v>0</v>
      </c>
      <c r="M940" s="27"/>
      <c r="N940" s="30"/>
      <c r="O940" s="28"/>
      <c r="P940" s="28"/>
      <c r="Q940" s="28"/>
      <c r="R940" s="28"/>
      <c r="S940" s="28"/>
    </row>
    <row r="941">
      <c r="A941" s="17">
        <v>45645.0</v>
      </c>
      <c r="B941" s="18" t="s">
        <v>77</v>
      </c>
      <c r="C941" s="18" t="s">
        <v>136</v>
      </c>
      <c r="D941" s="19"/>
      <c r="E941" s="19"/>
      <c r="F941" s="20">
        <f t="shared" si="21"/>
        <v>0</v>
      </c>
      <c r="G941" s="21">
        <f>IFERROR(VLOOKUP(B941,DADOS!$A$2:$H$252,8,0),"")</f>
        <v>120</v>
      </c>
      <c r="H941" s="22">
        <v>56.0</v>
      </c>
      <c r="I941" s="23">
        <f>IFERROR(VLOOKUP(B941,DADOS!$A$2:$H$252,4,0)*H941,"")</f>
        <v>0.53928</v>
      </c>
      <c r="J941" s="36"/>
      <c r="K941" s="25">
        <f>IFERROR(VLOOKUP(B941,DADOS!$A$2:$H$252,4,0)*J941,"")</f>
        <v>0</v>
      </c>
      <c r="L941" s="26">
        <f t="shared" si="22"/>
        <v>0</v>
      </c>
      <c r="M941" s="27"/>
      <c r="N941" s="30"/>
      <c r="O941" s="28"/>
      <c r="P941" s="28"/>
      <c r="Q941" s="28"/>
      <c r="R941" s="28"/>
      <c r="S941" s="28"/>
    </row>
    <row r="942">
      <c r="A942" s="17">
        <v>45652.0</v>
      </c>
      <c r="B942" s="18" t="s">
        <v>41</v>
      </c>
      <c r="C942" s="18" t="s">
        <v>165</v>
      </c>
      <c r="D942" s="19"/>
      <c r="E942" s="19"/>
      <c r="F942" s="20">
        <f t="shared" si="21"/>
        <v>0</v>
      </c>
      <c r="G942" s="21">
        <f>IFERROR(VLOOKUP(B942,DADOS!$A$2:$H$252,8,0),"")</f>
        <v>14</v>
      </c>
      <c r="H942" s="22">
        <v>42.0</v>
      </c>
      <c r="I942" s="23">
        <f>IFERROR(VLOOKUP(B942,DADOS!$A$2:$H$252,4,0)*H942,"")</f>
        <v>11.648448</v>
      </c>
      <c r="J942" s="24">
        <v>5.0</v>
      </c>
      <c r="K942" s="25">
        <f>IFERROR(VLOOKUP(B942,DADOS!$A$2:$H$252,4,0)*J942,"")</f>
        <v>1.38672</v>
      </c>
      <c r="L942" s="26">
        <f t="shared" si="22"/>
        <v>0</v>
      </c>
      <c r="M942" s="27"/>
      <c r="N942" s="30"/>
      <c r="O942" s="28"/>
      <c r="P942" s="28"/>
      <c r="Q942" s="28"/>
      <c r="R942" s="28"/>
      <c r="S942" s="28"/>
    </row>
    <row r="943">
      <c r="A943" s="17">
        <v>45652.0</v>
      </c>
      <c r="B943" s="18" t="s">
        <v>51</v>
      </c>
      <c r="C943" s="18" t="s">
        <v>165</v>
      </c>
      <c r="D943" s="19"/>
      <c r="E943" s="19"/>
      <c r="F943" s="20">
        <f t="shared" si="21"/>
        <v>0</v>
      </c>
      <c r="G943" s="21">
        <f>IFERROR(VLOOKUP(B943,DADOS!$A$2:$H$252,8,0),"")</f>
        <v>28</v>
      </c>
      <c r="H943" s="22">
        <v>30.0</v>
      </c>
      <c r="I943" s="23">
        <f>IFERROR(VLOOKUP(B943,DADOS!$A$2:$H$252,4,0)*H943,"")</f>
        <v>3.418008</v>
      </c>
      <c r="J943" s="36"/>
      <c r="K943" s="25">
        <f>IFERROR(VLOOKUP(B943,DADOS!$A$2:$H$252,4,0)*J943,"")</f>
        <v>0</v>
      </c>
      <c r="L943" s="26">
        <f t="shared" si="22"/>
        <v>0</v>
      </c>
      <c r="M943" s="27"/>
      <c r="N943" s="30"/>
      <c r="O943" s="28"/>
      <c r="P943" s="28"/>
      <c r="Q943" s="28"/>
      <c r="R943" s="28"/>
      <c r="S943" s="28"/>
    </row>
    <row r="944">
      <c r="A944" s="17">
        <v>45652.0</v>
      </c>
      <c r="B944" s="18" t="s">
        <v>43</v>
      </c>
      <c r="C944" s="18" t="s">
        <v>158</v>
      </c>
      <c r="D944" s="19"/>
      <c r="E944" s="19"/>
      <c r="F944" s="20">
        <f t="shared" si="21"/>
        <v>0</v>
      </c>
      <c r="G944" s="21" t="str">
        <f>IFERROR(VLOOKUP(B944,DADOS!$A$2:$H$252,8,0),"")</f>
        <v/>
      </c>
      <c r="H944" s="22">
        <v>32.0</v>
      </c>
      <c r="I944" s="23" t="str">
        <f>IFERROR(VLOOKUP(B944,DADOS!$A$2:$H$252,4,0)*H944,"")</f>
        <v/>
      </c>
      <c r="J944" s="24">
        <v>4.0</v>
      </c>
      <c r="K944" s="25" t="str">
        <f>IFERROR(VLOOKUP(B944,DADOS!$A$2:$H$252,4,0)*J944,"")</f>
        <v/>
      </c>
      <c r="L944" s="26" t="str">
        <f t="shared" si="22"/>
        <v/>
      </c>
      <c r="M944" s="27"/>
      <c r="N944" s="30"/>
      <c r="O944" s="28"/>
      <c r="P944" s="28"/>
      <c r="Q944" s="28"/>
      <c r="R944" s="28"/>
      <c r="S944" s="28"/>
    </row>
    <row r="945">
      <c r="A945" s="17">
        <v>45653.0</v>
      </c>
      <c r="B945" s="18" t="s">
        <v>113</v>
      </c>
      <c r="C945" s="18" t="s">
        <v>19</v>
      </c>
      <c r="D945" s="19"/>
      <c r="E945" s="19"/>
      <c r="F945" s="20">
        <f t="shared" si="21"/>
        <v>0</v>
      </c>
      <c r="G945" s="21">
        <f>IFERROR(VLOOKUP(B945,DADOS!$A$2:$H$252,8,0),"")</f>
        <v>8</v>
      </c>
      <c r="H945" s="22">
        <v>13.0</v>
      </c>
      <c r="I945" s="23">
        <f>IFERROR(VLOOKUP(B945,DADOS!$A$2:$H$252,4,0)*H945,"")</f>
        <v>8.2747808</v>
      </c>
      <c r="J945" s="24">
        <v>1.0</v>
      </c>
      <c r="K945" s="25">
        <f>IFERROR(VLOOKUP(B945,DADOS!$A$2:$H$252,4,0)*J945,"")</f>
        <v>0.6365216</v>
      </c>
      <c r="L945" s="26">
        <f t="shared" si="22"/>
        <v>0</v>
      </c>
      <c r="M945" s="27"/>
      <c r="N945" s="30"/>
      <c r="O945" s="28"/>
      <c r="P945" s="28"/>
      <c r="Q945" s="28"/>
      <c r="R945" s="28"/>
      <c r="S945" s="28"/>
    </row>
    <row r="946">
      <c r="A946" s="17">
        <v>45653.0</v>
      </c>
      <c r="B946" s="18" t="s">
        <v>51</v>
      </c>
      <c r="C946" s="18" t="s">
        <v>165</v>
      </c>
      <c r="D946" s="19"/>
      <c r="E946" s="19"/>
      <c r="F946" s="20">
        <f t="shared" si="21"/>
        <v>0</v>
      </c>
      <c r="G946" s="21">
        <f>IFERROR(VLOOKUP(B946,DADOS!$A$2:$H$252,8,0),"")</f>
        <v>28</v>
      </c>
      <c r="H946" s="22">
        <v>55.0</v>
      </c>
      <c r="I946" s="23">
        <f>IFERROR(VLOOKUP(B946,DADOS!$A$2:$H$252,4,0)*H946,"")</f>
        <v>6.266348</v>
      </c>
      <c r="J946" s="36"/>
      <c r="K946" s="25">
        <f>IFERROR(VLOOKUP(B946,DADOS!$A$2:$H$252,4,0)*J946,"")</f>
        <v>0</v>
      </c>
      <c r="L946" s="26">
        <f t="shared" si="22"/>
        <v>0</v>
      </c>
      <c r="M946" s="27"/>
      <c r="N946" s="30"/>
      <c r="O946" s="28"/>
      <c r="P946" s="28"/>
      <c r="Q946" s="28"/>
      <c r="R946" s="28"/>
      <c r="S946" s="28"/>
    </row>
    <row r="947">
      <c r="A947" s="17">
        <v>45653.0</v>
      </c>
      <c r="B947" s="18" t="s">
        <v>96</v>
      </c>
      <c r="C947" s="18" t="s">
        <v>165</v>
      </c>
      <c r="D947" s="19"/>
      <c r="E947" s="19"/>
      <c r="F947" s="20">
        <f t="shared" si="21"/>
        <v>0</v>
      </c>
      <c r="G947" s="21">
        <f>IFERROR(VLOOKUP(B947,DADOS!$A$2:$H$252,8,0),"")</f>
        <v>27</v>
      </c>
      <c r="H947" s="22">
        <v>35.0</v>
      </c>
      <c r="I947" s="23">
        <f>IFERROR(VLOOKUP(B947,DADOS!$A$2:$H$252,4,0)*H947,"")</f>
        <v>3.2956</v>
      </c>
      <c r="J947" s="24">
        <v>1.0</v>
      </c>
      <c r="K947" s="25">
        <f>IFERROR(VLOOKUP(B947,DADOS!$A$2:$H$252,4,0)*J947,"")</f>
        <v>0.09416</v>
      </c>
      <c r="L947" s="26">
        <f t="shared" si="22"/>
        <v>0</v>
      </c>
      <c r="M947" s="27"/>
      <c r="N947" s="30"/>
      <c r="O947" s="28"/>
      <c r="P947" s="28"/>
      <c r="Q947" s="28"/>
      <c r="R947" s="28"/>
      <c r="S947" s="28"/>
    </row>
    <row r="948">
      <c r="A948" s="17">
        <v>45653.0</v>
      </c>
      <c r="B948" s="18" t="s">
        <v>77</v>
      </c>
      <c r="C948" s="18" t="s">
        <v>136</v>
      </c>
      <c r="D948" s="19"/>
      <c r="E948" s="19"/>
      <c r="F948" s="20">
        <f t="shared" si="21"/>
        <v>0</v>
      </c>
      <c r="G948" s="21">
        <f>IFERROR(VLOOKUP(B948,DADOS!$A$2:$H$252,8,0),"")</f>
        <v>120</v>
      </c>
      <c r="H948" s="22">
        <v>216.0</v>
      </c>
      <c r="I948" s="23">
        <f>IFERROR(VLOOKUP(B948,DADOS!$A$2:$H$252,4,0)*H948,"")</f>
        <v>2.08008</v>
      </c>
      <c r="J948" s="36"/>
      <c r="K948" s="25">
        <f>IFERROR(VLOOKUP(B948,DADOS!$A$2:$H$252,4,0)*J948,"")</f>
        <v>0</v>
      </c>
      <c r="L948" s="26">
        <f t="shared" si="22"/>
        <v>0</v>
      </c>
      <c r="M948" s="27"/>
      <c r="N948" s="30"/>
      <c r="O948" s="28"/>
      <c r="P948" s="28"/>
      <c r="Q948" s="28"/>
      <c r="R948" s="28"/>
      <c r="S948" s="28"/>
    </row>
    <row r="949">
      <c r="A949" s="17">
        <v>45653.0</v>
      </c>
      <c r="B949" s="18" t="s">
        <v>55</v>
      </c>
      <c r="C949" s="18" t="s">
        <v>136</v>
      </c>
      <c r="D949" s="19"/>
      <c r="E949" s="19"/>
      <c r="F949" s="20">
        <f t="shared" si="21"/>
        <v>0</v>
      </c>
      <c r="G949" s="21">
        <f>IFERROR(VLOOKUP(B949,DADOS!$A$2:$H$252,8,0),"")</f>
        <v>60</v>
      </c>
      <c r="H949" s="22">
        <v>50.0</v>
      </c>
      <c r="I949" s="23">
        <f>IFERROR(VLOOKUP(B949,DADOS!$A$2:$H$252,4,0)*H949,"")</f>
        <v>0.856</v>
      </c>
      <c r="J949" s="36"/>
      <c r="K949" s="25">
        <f>IFERROR(VLOOKUP(B949,DADOS!$A$2:$H$252,4,0)*J949,"")</f>
        <v>0</v>
      </c>
      <c r="L949" s="26">
        <f t="shared" si="22"/>
        <v>0</v>
      </c>
      <c r="M949" s="27"/>
      <c r="N949" s="30"/>
      <c r="O949" s="28"/>
      <c r="P949" s="28"/>
      <c r="Q949" s="28"/>
      <c r="R949" s="28"/>
      <c r="S949" s="28"/>
    </row>
    <row r="950">
      <c r="A950" s="17">
        <v>45666.0</v>
      </c>
      <c r="B950" s="18" t="s">
        <v>55</v>
      </c>
      <c r="C950" s="18" t="s">
        <v>17</v>
      </c>
      <c r="D950" s="19"/>
      <c r="E950" s="19"/>
      <c r="F950" s="20">
        <f t="shared" si="21"/>
        <v>0</v>
      </c>
      <c r="G950" s="21">
        <f>IFERROR(VLOOKUP(B950,DADOS!$A$2:$H$252,8,0),"")</f>
        <v>60</v>
      </c>
      <c r="H950" s="22">
        <v>235.0</v>
      </c>
      <c r="I950" s="23">
        <f>IFERROR(VLOOKUP(B950,DADOS!$A$2:$H$252,4,0)*H950,"")</f>
        <v>4.0232</v>
      </c>
      <c r="J950" s="36"/>
      <c r="K950" s="25">
        <f>IFERROR(VLOOKUP(B950,DADOS!$A$2:$H$252,4,0)*J950,"")</f>
        <v>0</v>
      </c>
      <c r="L950" s="26">
        <f t="shared" si="22"/>
        <v>0</v>
      </c>
      <c r="M950" s="27"/>
      <c r="N950" s="30"/>
      <c r="O950" s="28"/>
      <c r="P950" s="28"/>
      <c r="Q950" s="28"/>
      <c r="R950" s="28"/>
      <c r="S950" s="28"/>
    </row>
    <row r="951">
      <c r="A951" s="17">
        <v>45666.0</v>
      </c>
      <c r="B951" s="18" t="s">
        <v>18</v>
      </c>
      <c r="C951" s="18" t="s">
        <v>165</v>
      </c>
      <c r="D951" s="19"/>
      <c r="E951" s="19"/>
      <c r="F951" s="20">
        <f t="shared" si="21"/>
        <v>0</v>
      </c>
      <c r="G951" s="21">
        <f>IFERROR(VLOOKUP(B951,DADOS!$A$2:$H$252,8,0),"")</f>
        <v>21</v>
      </c>
      <c r="H951" s="22">
        <v>39.0</v>
      </c>
      <c r="I951" s="23">
        <f>IFERROR(VLOOKUP(B951,DADOS!$A$2:$H$252,4,0)*H951,"")</f>
        <v>11.425674</v>
      </c>
      <c r="J951" s="24">
        <v>12.0</v>
      </c>
      <c r="K951" s="25">
        <f>IFERROR(VLOOKUP(B951,DADOS!$A$2:$H$252,4,0)*J951,"")</f>
        <v>3.515592</v>
      </c>
      <c r="L951" s="26">
        <f t="shared" si="22"/>
        <v>0</v>
      </c>
      <c r="M951" s="27"/>
      <c r="N951" s="30"/>
      <c r="O951" s="28"/>
      <c r="P951" s="28"/>
      <c r="Q951" s="28"/>
      <c r="R951" s="28"/>
      <c r="S951" s="28"/>
    </row>
    <row r="952">
      <c r="A952" s="17">
        <v>45667.0</v>
      </c>
      <c r="B952" s="18" t="s">
        <v>18</v>
      </c>
      <c r="C952" s="18" t="s">
        <v>17</v>
      </c>
      <c r="D952" s="19"/>
      <c r="E952" s="19"/>
      <c r="F952" s="20">
        <f t="shared" si="21"/>
        <v>0</v>
      </c>
      <c r="G952" s="21">
        <f>IFERROR(VLOOKUP(B952,DADOS!$A$2:$H$252,8,0),"")</f>
        <v>21</v>
      </c>
      <c r="H952" s="22">
        <v>13.0</v>
      </c>
      <c r="I952" s="23">
        <f>IFERROR(VLOOKUP(B952,DADOS!$A$2:$H$252,4,0)*H952,"")</f>
        <v>3.808558</v>
      </c>
      <c r="J952" s="24">
        <v>8.0</v>
      </c>
      <c r="K952" s="25">
        <f>IFERROR(VLOOKUP(B952,DADOS!$A$2:$H$252,4,0)*J952,"")</f>
        <v>2.343728</v>
      </c>
      <c r="L952" s="26">
        <f t="shared" si="22"/>
        <v>0</v>
      </c>
      <c r="M952" s="27"/>
      <c r="N952" s="30"/>
      <c r="O952" s="28"/>
      <c r="P952" s="28"/>
      <c r="Q952" s="28"/>
      <c r="R952" s="28"/>
      <c r="S952" s="28"/>
    </row>
    <row r="953">
      <c r="A953" s="17">
        <v>45667.0</v>
      </c>
      <c r="B953" s="18" t="s">
        <v>55</v>
      </c>
      <c r="C953" s="18" t="s">
        <v>17</v>
      </c>
      <c r="D953" s="19"/>
      <c r="E953" s="19"/>
      <c r="F953" s="20">
        <f t="shared" si="21"/>
        <v>0</v>
      </c>
      <c r="G953" s="21">
        <f>IFERROR(VLOOKUP(B953,DADOS!$A$2:$H$252,8,0),"")</f>
        <v>60</v>
      </c>
      <c r="H953" s="22">
        <v>63.0</v>
      </c>
      <c r="I953" s="23">
        <f>IFERROR(VLOOKUP(B953,DADOS!$A$2:$H$252,4,0)*H953,"")</f>
        <v>1.07856</v>
      </c>
      <c r="J953" s="36"/>
      <c r="K953" s="25">
        <f>IFERROR(VLOOKUP(B953,DADOS!$A$2:$H$252,4,0)*J953,"")</f>
        <v>0</v>
      </c>
      <c r="L953" s="26">
        <f t="shared" si="22"/>
        <v>0</v>
      </c>
      <c r="M953" s="27"/>
      <c r="N953" s="30"/>
      <c r="O953" s="28"/>
      <c r="P953" s="28"/>
      <c r="Q953" s="28"/>
      <c r="R953" s="28"/>
      <c r="S953" s="28"/>
    </row>
    <row r="954">
      <c r="A954" s="17">
        <v>45667.0</v>
      </c>
      <c r="B954" s="18" t="s">
        <v>18</v>
      </c>
      <c r="C954" s="18" t="s">
        <v>165</v>
      </c>
      <c r="D954" s="19"/>
      <c r="E954" s="19"/>
      <c r="F954" s="20">
        <f t="shared" si="21"/>
        <v>0</v>
      </c>
      <c r="G954" s="21">
        <f>IFERROR(VLOOKUP(B954,DADOS!$A$2:$H$252,8,0),"")</f>
        <v>21</v>
      </c>
      <c r="H954" s="22">
        <v>22.0</v>
      </c>
      <c r="I954" s="23">
        <f>IFERROR(VLOOKUP(B954,DADOS!$A$2:$H$252,4,0)*H954,"")</f>
        <v>6.445252</v>
      </c>
      <c r="J954" s="36"/>
      <c r="K954" s="25">
        <f>IFERROR(VLOOKUP(B954,DADOS!$A$2:$H$252,4,0)*J954,"")</f>
        <v>0</v>
      </c>
      <c r="L954" s="26">
        <f t="shared" si="22"/>
        <v>0</v>
      </c>
      <c r="M954" s="27"/>
      <c r="N954" s="30"/>
      <c r="O954" s="28"/>
      <c r="P954" s="28"/>
      <c r="Q954" s="28"/>
      <c r="R954" s="28"/>
      <c r="S954" s="28"/>
    </row>
    <row r="955">
      <c r="A955" s="17">
        <v>45670.0</v>
      </c>
      <c r="B955" s="18" t="s">
        <v>150</v>
      </c>
      <c r="C955" s="18" t="s">
        <v>19</v>
      </c>
      <c r="D955" s="19"/>
      <c r="E955" s="19"/>
      <c r="F955" s="20">
        <f t="shared" si="21"/>
        <v>0</v>
      </c>
      <c r="G955" s="21">
        <f>IFERROR(VLOOKUP(B955,DADOS!$A$2:$H$252,8,0),"")</f>
        <v>12</v>
      </c>
      <c r="H955" s="22">
        <v>18.0</v>
      </c>
      <c r="I955" s="23">
        <f>IFERROR(VLOOKUP(B955,DADOS!$A$2:$H$252,4,0)*H955,"")</f>
        <v>3.0889188</v>
      </c>
      <c r="J955" s="24">
        <v>2.0</v>
      </c>
      <c r="K955" s="25">
        <f>IFERROR(VLOOKUP(B955,DADOS!$A$2:$H$252,4,0)*J955,"")</f>
        <v>0.3432132</v>
      </c>
      <c r="L955" s="26">
        <f t="shared" si="22"/>
        <v>0</v>
      </c>
      <c r="M955" s="27"/>
      <c r="N955" s="30"/>
      <c r="O955" s="28"/>
      <c r="P955" s="28"/>
      <c r="Q955" s="28"/>
      <c r="R955" s="28"/>
      <c r="S955" s="28"/>
    </row>
    <row r="956">
      <c r="A956" s="17">
        <v>45670.0</v>
      </c>
      <c r="B956" s="18" t="s">
        <v>135</v>
      </c>
      <c r="C956" s="18" t="s">
        <v>19</v>
      </c>
      <c r="D956" s="19"/>
      <c r="E956" s="19"/>
      <c r="F956" s="20">
        <f t="shared" si="21"/>
        <v>0</v>
      </c>
      <c r="G956" s="21">
        <f>IFERROR(VLOOKUP(B956,DADOS!$A$2:$H$252,8,0),"")</f>
        <v>18</v>
      </c>
      <c r="H956" s="22">
        <v>1.0</v>
      </c>
      <c r="I956" s="23">
        <f>IFERROR(VLOOKUP(B956,DADOS!$A$2:$H$252,4,0)*H956,"")</f>
        <v>0.325494</v>
      </c>
      <c r="J956" s="36"/>
      <c r="K956" s="25">
        <f>IFERROR(VLOOKUP(B956,DADOS!$A$2:$H$252,4,0)*J956,"")</f>
        <v>0</v>
      </c>
      <c r="L956" s="26">
        <f t="shared" si="22"/>
        <v>0</v>
      </c>
      <c r="M956" s="27"/>
      <c r="N956" s="30"/>
      <c r="O956" s="28"/>
      <c r="P956" s="28"/>
      <c r="Q956" s="28"/>
      <c r="R956" s="28"/>
      <c r="S956" s="28"/>
    </row>
    <row r="957">
      <c r="A957" s="17">
        <v>45670.0</v>
      </c>
      <c r="B957" s="18" t="s">
        <v>116</v>
      </c>
      <c r="C957" s="18" t="s">
        <v>165</v>
      </c>
      <c r="D957" s="19"/>
      <c r="E957" s="19"/>
      <c r="F957" s="20">
        <f t="shared" si="21"/>
        <v>0</v>
      </c>
      <c r="G957" s="21">
        <f>IFERROR(VLOOKUP(B957,DADOS!$A$2:$H$252,8,0),"")</f>
        <v>15</v>
      </c>
      <c r="H957" s="22">
        <v>16.0</v>
      </c>
      <c r="I957" s="23">
        <f>IFERROR(VLOOKUP(B957,DADOS!$A$2:$H$252,4,0)*H957,"")</f>
        <v>4.437504</v>
      </c>
      <c r="J957" s="24">
        <v>5.0</v>
      </c>
      <c r="K957" s="25">
        <f>IFERROR(VLOOKUP(B957,DADOS!$A$2:$H$252,4,0)*J957,"")</f>
        <v>1.38672</v>
      </c>
      <c r="L957" s="26">
        <f t="shared" si="22"/>
        <v>0</v>
      </c>
      <c r="M957" s="27"/>
      <c r="N957" s="30"/>
      <c r="O957" s="28"/>
      <c r="P957" s="28"/>
      <c r="Q957" s="28"/>
      <c r="R957" s="28"/>
      <c r="S957" s="28"/>
    </row>
    <row r="958">
      <c r="A958" s="17">
        <v>45671.0</v>
      </c>
      <c r="B958" s="18" t="s">
        <v>135</v>
      </c>
      <c r="C958" s="18" t="s">
        <v>19</v>
      </c>
      <c r="D958" s="19"/>
      <c r="E958" s="19"/>
      <c r="F958" s="20">
        <f t="shared" si="21"/>
        <v>0</v>
      </c>
      <c r="G958" s="21">
        <f>IFERROR(VLOOKUP(B958,DADOS!$A$2:$H$252,8,0),"")</f>
        <v>18</v>
      </c>
      <c r="H958" s="22">
        <v>32.0</v>
      </c>
      <c r="I958" s="23">
        <f>IFERROR(VLOOKUP(B958,DADOS!$A$2:$H$252,4,0)*H958,"")</f>
        <v>10.415808</v>
      </c>
      <c r="J958" s="36"/>
      <c r="K958" s="25">
        <f>IFERROR(VLOOKUP(B958,DADOS!$A$2:$H$252,4,0)*J958,"")</f>
        <v>0</v>
      </c>
      <c r="L958" s="26">
        <f t="shared" si="22"/>
        <v>0</v>
      </c>
      <c r="M958" s="27"/>
      <c r="N958" s="30"/>
      <c r="O958" s="28"/>
      <c r="P958" s="28"/>
      <c r="Q958" s="28"/>
      <c r="R958" s="28"/>
      <c r="S958" s="28"/>
    </row>
    <row r="959">
      <c r="A959" s="17">
        <v>45671.0</v>
      </c>
      <c r="B959" s="18" t="s">
        <v>116</v>
      </c>
      <c r="C959" s="18" t="s">
        <v>165</v>
      </c>
      <c r="D959" s="19"/>
      <c r="E959" s="19"/>
      <c r="F959" s="20">
        <f t="shared" si="21"/>
        <v>0</v>
      </c>
      <c r="G959" s="21">
        <f>IFERROR(VLOOKUP(B959,DADOS!$A$2:$H$252,8,0),"")</f>
        <v>15</v>
      </c>
      <c r="H959" s="22">
        <v>30.0</v>
      </c>
      <c r="I959" s="23">
        <f>IFERROR(VLOOKUP(B959,DADOS!$A$2:$H$252,4,0)*H959,"")</f>
        <v>8.32032</v>
      </c>
      <c r="J959" s="24">
        <v>12.0</v>
      </c>
      <c r="K959" s="25">
        <f>IFERROR(VLOOKUP(B959,DADOS!$A$2:$H$252,4,0)*J959,"")</f>
        <v>3.328128</v>
      </c>
      <c r="L959" s="26">
        <f t="shared" si="22"/>
        <v>0</v>
      </c>
      <c r="M959" s="27"/>
      <c r="N959" s="30"/>
      <c r="O959" s="28"/>
      <c r="P959" s="28"/>
      <c r="Q959" s="28"/>
      <c r="R959" s="28"/>
      <c r="S959" s="28"/>
    </row>
    <row r="960">
      <c r="A960" s="17">
        <v>45672.0</v>
      </c>
      <c r="B960" s="18" t="s">
        <v>122</v>
      </c>
      <c r="C960" s="18" t="s">
        <v>165</v>
      </c>
      <c r="D960" s="19"/>
      <c r="E960" s="19"/>
      <c r="F960" s="20">
        <f t="shared" si="21"/>
        <v>0</v>
      </c>
      <c r="G960" s="21">
        <f>IFERROR(VLOOKUP(B960,DADOS!$A$2:$H$252,8,0),"")</f>
        <v>17</v>
      </c>
      <c r="H960" s="22">
        <v>45.0</v>
      </c>
      <c r="I960" s="23">
        <f>IFERROR(VLOOKUP(B960,DADOS!$A$2:$H$252,4,0)*H960,"")</f>
        <v>7.722297</v>
      </c>
      <c r="J960" s="24">
        <v>13.0</v>
      </c>
      <c r="K960" s="25">
        <f>IFERROR(VLOOKUP(B960,DADOS!$A$2:$H$252,4,0)*J960,"")</f>
        <v>2.2308858</v>
      </c>
      <c r="L960" s="26">
        <f t="shared" si="22"/>
        <v>0</v>
      </c>
      <c r="M960" s="27"/>
      <c r="N960" s="30"/>
      <c r="O960" s="28"/>
      <c r="P960" s="28"/>
      <c r="Q960" s="28"/>
      <c r="R960" s="28"/>
      <c r="S960" s="28"/>
    </row>
    <row r="961">
      <c r="A961" s="17">
        <v>45673.0</v>
      </c>
      <c r="B961" s="18" t="s">
        <v>71</v>
      </c>
      <c r="C961" s="18" t="s">
        <v>19</v>
      </c>
      <c r="D961" s="19"/>
      <c r="E961" s="19"/>
      <c r="F961" s="20">
        <f t="shared" si="21"/>
        <v>0</v>
      </c>
      <c r="G961" s="21">
        <f>IFERROR(VLOOKUP(B961,DADOS!$A$2:$H$252,8,0),"")</f>
        <v>7</v>
      </c>
      <c r="H961" s="22">
        <v>14.0</v>
      </c>
      <c r="I961" s="23">
        <f>IFERROR(VLOOKUP(B961,DADOS!$A$2:$H$252,4,0)*H961,"")</f>
        <v>19.6336868</v>
      </c>
      <c r="J961" s="24">
        <v>1.0</v>
      </c>
      <c r="K961" s="25">
        <f>IFERROR(VLOOKUP(B961,DADOS!$A$2:$H$252,4,0)*J961,"")</f>
        <v>1.4024062</v>
      </c>
      <c r="L961" s="26">
        <f t="shared" si="22"/>
        <v>0</v>
      </c>
      <c r="M961" s="27"/>
      <c r="N961" s="30"/>
      <c r="O961" s="28"/>
      <c r="P961" s="28"/>
      <c r="Q961" s="28"/>
      <c r="R961" s="28"/>
      <c r="S961" s="28"/>
    </row>
    <row r="962">
      <c r="A962" s="17">
        <v>45673.0</v>
      </c>
      <c r="B962" s="18" t="s">
        <v>22</v>
      </c>
      <c r="C962" s="18" t="s">
        <v>19</v>
      </c>
      <c r="D962" s="19"/>
      <c r="E962" s="19"/>
      <c r="F962" s="20">
        <f t="shared" si="21"/>
        <v>0</v>
      </c>
      <c r="G962" s="21">
        <f>IFERROR(VLOOKUP(B962,DADOS!$A$2:$H$252,8,0),"")</f>
        <v>15</v>
      </c>
      <c r="H962" s="22">
        <v>17.0</v>
      </c>
      <c r="I962" s="23">
        <f>IFERROR(VLOOKUP(B962,DADOS!$A$2:$H$252,4,0)*H962,"")</f>
        <v>10.4086818</v>
      </c>
      <c r="J962" s="24">
        <v>1.0</v>
      </c>
      <c r="K962" s="25">
        <f>IFERROR(VLOOKUP(B962,DADOS!$A$2:$H$252,4,0)*J962,"")</f>
        <v>0.6122754</v>
      </c>
      <c r="L962" s="26">
        <f t="shared" si="22"/>
        <v>0</v>
      </c>
      <c r="M962" s="27"/>
      <c r="N962" s="30"/>
      <c r="O962" s="28"/>
      <c r="P962" s="28"/>
      <c r="Q962" s="28"/>
      <c r="R962" s="28"/>
      <c r="S962" s="28"/>
    </row>
    <row r="963">
      <c r="A963" s="17">
        <v>45673.0</v>
      </c>
      <c r="B963" s="18" t="s">
        <v>32</v>
      </c>
      <c r="C963" s="18" t="s">
        <v>19</v>
      </c>
      <c r="D963" s="19"/>
      <c r="E963" s="19"/>
      <c r="F963" s="20">
        <f t="shared" si="21"/>
        <v>0</v>
      </c>
      <c r="G963" s="21">
        <f>IFERROR(VLOOKUP(B963,DADOS!$A$2:$H$252,8,0),"")</f>
        <v>10</v>
      </c>
      <c r="H963" s="22">
        <v>2.0</v>
      </c>
      <c r="I963" s="23">
        <f>IFERROR(VLOOKUP(B963,DADOS!$A$2:$H$252,4,0)*H963,"")</f>
        <v>1.2245508</v>
      </c>
      <c r="J963" s="36"/>
      <c r="K963" s="25">
        <f>IFERROR(VLOOKUP(B963,DADOS!$A$2:$H$252,4,0)*J963,"")</f>
        <v>0</v>
      </c>
      <c r="L963" s="26">
        <f t="shared" si="22"/>
        <v>0</v>
      </c>
      <c r="M963" s="27"/>
      <c r="N963" s="30"/>
      <c r="O963" s="28"/>
      <c r="P963" s="28"/>
      <c r="Q963" s="28"/>
      <c r="R963" s="28"/>
      <c r="S963" s="28"/>
    </row>
    <row r="964">
      <c r="A964" s="17">
        <v>45673.0</v>
      </c>
      <c r="B964" s="18" t="s">
        <v>24</v>
      </c>
      <c r="C964" s="18" t="s">
        <v>165</v>
      </c>
      <c r="D964" s="19"/>
      <c r="E964" s="19"/>
      <c r="F964" s="20">
        <f t="shared" si="21"/>
        <v>0</v>
      </c>
      <c r="G964" s="21">
        <f>IFERROR(VLOOKUP(B964,DADOS!$A$2:$H$252,8,0),"")</f>
        <v>37</v>
      </c>
      <c r="H964" s="22">
        <v>40.0</v>
      </c>
      <c r="I964" s="23">
        <f>IFERROR(VLOOKUP(B964,DADOS!$A$2:$H$252,4,0)*H964,"")</f>
        <v>4.557344</v>
      </c>
      <c r="J964" s="24">
        <v>1.0</v>
      </c>
      <c r="K964" s="25">
        <f>IFERROR(VLOOKUP(B964,DADOS!$A$2:$H$252,4,0)*J964,"")</f>
        <v>0.1139336</v>
      </c>
      <c r="L964" s="26">
        <f t="shared" si="22"/>
        <v>0</v>
      </c>
      <c r="M964" s="27"/>
      <c r="N964" s="30"/>
      <c r="O964" s="28"/>
      <c r="P964" s="28"/>
      <c r="Q964" s="28"/>
      <c r="R964" s="28"/>
      <c r="S964" s="28"/>
    </row>
    <row r="965">
      <c r="A965" s="17">
        <v>45674.0</v>
      </c>
      <c r="B965" s="18" t="s">
        <v>24</v>
      </c>
      <c r="C965" s="18" t="s">
        <v>165</v>
      </c>
      <c r="D965" s="19"/>
      <c r="E965" s="19"/>
      <c r="F965" s="20">
        <f t="shared" si="21"/>
        <v>0</v>
      </c>
      <c r="G965" s="21">
        <f>IFERROR(VLOOKUP(B965,DADOS!$A$2:$H$252,8,0),"")</f>
        <v>37</v>
      </c>
      <c r="H965" s="22">
        <v>10.0</v>
      </c>
      <c r="I965" s="23">
        <f>IFERROR(VLOOKUP(B965,DADOS!$A$2:$H$252,4,0)*H965,"")</f>
        <v>1.139336</v>
      </c>
      <c r="J965" s="36"/>
      <c r="K965" s="25">
        <f>IFERROR(VLOOKUP(B965,DADOS!$A$2:$H$252,4,0)*J965,"")</f>
        <v>0</v>
      </c>
      <c r="L965" s="26">
        <f t="shared" si="22"/>
        <v>0</v>
      </c>
      <c r="M965" s="27"/>
      <c r="N965" s="30"/>
      <c r="O965" s="28"/>
      <c r="P965" s="28"/>
      <c r="Q965" s="28"/>
      <c r="R965" s="28"/>
      <c r="S965" s="28"/>
    </row>
    <row r="966">
      <c r="A966" s="17">
        <v>45674.0</v>
      </c>
      <c r="B966" s="18" t="s">
        <v>145</v>
      </c>
      <c r="C966" s="18" t="s">
        <v>165</v>
      </c>
      <c r="D966" s="19"/>
      <c r="E966" s="19"/>
      <c r="F966" s="20">
        <f t="shared" si="21"/>
        <v>0</v>
      </c>
      <c r="G966" s="21">
        <f>IFERROR(VLOOKUP(B966,DADOS!$A$2:$H$252,8,0),"")</f>
        <v>43</v>
      </c>
      <c r="H966" s="22">
        <v>21.0</v>
      </c>
      <c r="I966" s="23">
        <f>IFERROR(VLOOKUP(B966,DADOS!$A$2:$H$252,4,0)*H966,"")</f>
        <v>4.44906</v>
      </c>
      <c r="J966" s="24">
        <v>2.0</v>
      </c>
      <c r="K966" s="25">
        <f>IFERROR(VLOOKUP(B966,DADOS!$A$2:$H$252,4,0)*J966,"")</f>
        <v>0.42372</v>
      </c>
      <c r="L966" s="26">
        <f t="shared" si="22"/>
        <v>0</v>
      </c>
      <c r="M966" s="27"/>
      <c r="N966" s="30"/>
      <c r="O966" s="28"/>
      <c r="P966" s="28"/>
      <c r="Q966" s="28"/>
      <c r="R966" s="28"/>
      <c r="S966" s="28"/>
    </row>
    <row r="967">
      <c r="A967" s="17">
        <v>45674.0</v>
      </c>
      <c r="B967" s="18" t="s">
        <v>93</v>
      </c>
      <c r="C967" s="18" t="s">
        <v>165</v>
      </c>
      <c r="D967" s="19"/>
      <c r="E967" s="19"/>
      <c r="F967" s="20">
        <f t="shared" si="21"/>
        <v>0</v>
      </c>
      <c r="G967" s="21" t="str">
        <f>IFERROR(VLOOKUP(B967,DADOS!$A$2:$H$252,8,0),"")</f>
        <v/>
      </c>
      <c r="H967" s="22">
        <v>37.0</v>
      </c>
      <c r="I967" s="23" t="str">
        <f>IFERROR(VLOOKUP(B967,DADOS!$A$2:$H$252,4,0)*H967,"")</f>
        <v/>
      </c>
      <c r="J967" s="36"/>
      <c r="K967" s="25" t="str">
        <f>IFERROR(VLOOKUP(B967,DADOS!$A$2:$H$252,4,0)*J967,"")</f>
        <v/>
      </c>
      <c r="L967" s="26" t="str">
        <f t="shared" si="22"/>
        <v/>
      </c>
      <c r="M967" s="27"/>
      <c r="N967" s="30"/>
      <c r="O967" s="28"/>
      <c r="P967" s="28"/>
      <c r="Q967" s="28"/>
      <c r="R967" s="28"/>
      <c r="S967" s="28"/>
    </row>
    <row r="968">
      <c r="A968" s="17">
        <v>45677.0</v>
      </c>
      <c r="B968" s="18" t="s">
        <v>49</v>
      </c>
      <c r="C968" s="18" t="s">
        <v>17</v>
      </c>
      <c r="D968" s="19"/>
      <c r="E968" s="19"/>
      <c r="F968" s="20">
        <f t="shared" si="21"/>
        <v>0</v>
      </c>
      <c r="G968" s="21">
        <f>IFERROR(VLOOKUP(B968,DADOS!$A$2:$H$252,8,0),"")</f>
        <v>42</v>
      </c>
      <c r="H968" s="22">
        <v>93.0</v>
      </c>
      <c r="I968" s="23">
        <f>IFERROR(VLOOKUP(B968,DADOS!$A$2:$H$252,4,0)*H968,"")</f>
        <v>6.3268458</v>
      </c>
      <c r="J968" s="36"/>
      <c r="K968" s="25">
        <f>IFERROR(VLOOKUP(B968,DADOS!$A$2:$H$252,4,0)*J968,"")</f>
        <v>0</v>
      </c>
      <c r="L968" s="26">
        <f t="shared" si="22"/>
        <v>0</v>
      </c>
      <c r="M968" s="27"/>
      <c r="N968" s="30"/>
      <c r="O968" s="28"/>
      <c r="P968" s="28"/>
      <c r="Q968" s="28"/>
      <c r="R968" s="28"/>
      <c r="S968" s="28"/>
    </row>
    <row r="969">
      <c r="A969" s="17">
        <v>45677.0</v>
      </c>
      <c r="B969" s="18" t="s">
        <v>26</v>
      </c>
      <c r="C969" s="18" t="s">
        <v>19</v>
      </c>
      <c r="D969" s="19"/>
      <c r="E969" s="19"/>
      <c r="F969" s="20">
        <f t="shared" si="21"/>
        <v>0</v>
      </c>
      <c r="G969" s="21">
        <f>IFERROR(VLOOKUP(B969,DADOS!$A$2:$H$252,8,0),"")</f>
        <v>50</v>
      </c>
      <c r="H969" s="22">
        <v>55.0</v>
      </c>
      <c r="I969" s="23">
        <f>IFERROR(VLOOKUP(B969,DADOS!$A$2:$H$252,4,0)*H969,"")</f>
        <v>6.266348</v>
      </c>
      <c r="J969" s="36"/>
      <c r="K969" s="25">
        <f>IFERROR(VLOOKUP(B969,DADOS!$A$2:$H$252,4,0)*J969,"")</f>
        <v>0</v>
      </c>
      <c r="L969" s="26">
        <f t="shared" si="22"/>
        <v>0</v>
      </c>
      <c r="M969" s="27"/>
      <c r="N969" s="30"/>
      <c r="O969" s="28"/>
      <c r="P969" s="28"/>
      <c r="Q969" s="28"/>
      <c r="R969" s="28"/>
      <c r="S969" s="28"/>
    </row>
    <row r="970">
      <c r="A970" s="17">
        <v>45677.0</v>
      </c>
      <c r="B970" s="18" t="s">
        <v>93</v>
      </c>
      <c r="C970" s="18" t="s">
        <v>165</v>
      </c>
      <c r="D970" s="19"/>
      <c r="E970" s="19"/>
      <c r="F970" s="20">
        <f t="shared" si="21"/>
        <v>0</v>
      </c>
      <c r="G970" s="21" t="str">
        <f>IFERROR(VLOOKUP(B970,DADOS!$A$2:$H$252,8,0),"")</f>
        <v/>
      </c>
      <c r="H970" s="22">
        <v>32.0</v>
      </c>
      <c r="I970" s="23" t="str">
        <f>IFERROR(VLOOKUP(B970,DADOS!$A$2:$H$252,4,0)*H970,"")</f>
        <v/>
      </c>
      <c r="J970" s="24">
        <v>1.0</v>
      </c>
      <c r="K970" s="25" t="str">
        <f>IFERROR(VLOOKUP(B970,DADOS!$A$2:$H$252,4,0)*J970,"")</f>
        <v/>
      </c>
      <c r="L970" s="26" t="str">
        <f t="shared" si="22"/>
        <v/>
      </c>
      <c r="M970" s="27"/>
      <c r="N970" s="30"/>
      <c r="O970" s="28"/>
      <c r="P970" s="28"/>
      <c r="Q970" s="28"/>
      <c r="R970" s="28"/>
      <c r="S970" s="28"/>
    </row>
    <row r="971">
      <c r="A971" s="17">
        <v>45677.0</v>
      </c>
      <c r="B971" s="18" t="s">
        <v>133</v>
      </c>
      <c r="C971" s="18" t="s">
        <v>165</v>
      </c>
      <c r="D971" s="19"/>
      <c r="E971" s="19"/>
      <c r="F971" s="20">
        <f t="shared" si="21"/>
        <v>0</v>
      </c>
      <c r="G971" s="21">
        <f>IFERROR(VLOOKUP(B971,DADOS!$A$2:$H$252,8,0),"")</f>
        <v>20</v>
      </c>
      <c r="H971" s="22">
        <v>9.0</v>
      </c>
      <c r="I971" s="23">
        <f>IFERROR(VLOOKUP(B971,DADOS!$A$2:$H$252,4,0)*H971,"")</f>
        <v>0.695286</v>
      </c>
      <c r="J971" s="36"/>
      <c r="K971" s="25">
        <f>IFERROR(VLOOKUP(B971,DADOS!$A$2:$H$252,4,0)*J971,"")</f>
        <v>0</v>
      </c>
      <c r="L971" s="26">
        <f t="shared" si="22"/>
        <v>0</v>
      </c>
      <c r="M971" s="27"/>
      <c r="N971" s="30"/>
      <c r="O971" s="28"/>
      <c r="P971" s="28"/>
      <c r="Q971" s="28"/>
      <c r="R971" s="28"/>
      <c r="S971" s="28"/>
    </row>
    <row r="972">
      <c r="A972" s="17">
        <v>45677.0</v>
      </c>
      <c r="B972" s="18" t="s">
        <v>134</v>
      </c>
      <c r="C972" s="18" t="s">
        <v>165</v>
      </c>
      <c r="D972" s="19"/>
      <c r="E972" s="19"/>
      <c r="F972" s="20">
        <f t="shared" si="21"/>
        <v>0</v>
      </c>
      <c r="G972" s="21">
        <f>IFERROR(VLOOKUP(B972,DADOS!$A$2:$H$252,8,0),"")</f>
        <v>17</v>
      </c>
      <c r="H972" s="22">
        <v>8.0</v>
      </c>
      <c r="I972" s="23">
        <f>IFERROR(VLOOKUP(B972,DADOS!$A$2:$H$252,4,0)*H972,"")</f>
        <v>0.618032</v>
      </c>
      <c r="J972" s="24">
        <v>6.0</v>
      </c>
      <c r="K972" s="25">
        <f>IFERROR(VLOOKUP(B972,DADOS!$A$2:$H$252,4,0)*J972,"")</f>
        <v>0.463524</v>
      </c>
      <c r="L972" s="26">
        <f t="shared" si="22"/>
        <v>0</v>
      </c>
      <c r="M972" s="27"/>
      <c r="N972" s="30"/>
      <c r="O972" s="28"/>
      <c r="P972" s="28"/>
      <c r="Q972" s="28"/>
      <c r="R972" s="28"/>
      <c r="S972" s="28"/>
    </row>
    <row r="973">
      <c r="A973" s="17">
        <v>45678.0</v>
      </c>
      <c r="B973" s="18" t="s">
        <v>49</v>
      </c>
      <c r="C973" s="18" t="s">
        <v>17</v>
      </c>
      <c r="D973" s="19"/>
      <c r="E973" s="19"/>
      <c r="F973" s="20">
        <f t="shared" si="21"/>
        <v>0</v>
      </c>
      <c r="G973" s="21">
        <f>IFERROR(VLOOKUP(B973,DADOS!$A$2:$H$252,8,0),"")</f>
        <v>42</v>
      </c>
      <c r="H973" s="22">
        <v>56.0</v>
      </c>
      <c r="I973" s="23">
        <f>IFERROR(VLOOKUP(B973,DADOS!$A$2:$H$252,4,0)*H973,"")</f>
        <v>3.8097136</v>
      </c>
      <c r="J973" s="36"/>
      <c r="K973" s="25">
        <f>IFERROR(VLOOKUP(B973,DADOS!$A$2:$H$252,4,0)*J973,"")</f>
        <v>0</v>
      </c>
      <c r="L973" s="26">
        <f t="shared" si="22"/>
        <v>0</v>
      </c>
      <c r="M973" s="27"/>
      <c r="N973" s="30"/>
      <c r="O973" s="28"/>
      <c r="P973" s="28"/>
      <c r="Q973" s="28"/>
      <c r="R973" s="28"/>
      <c r="S973" s="28"/>
    </row>
    <row r="974">
      <c r="A974" s="17">
        <v>45678.0</v>
      </c>
      <c r="B974" s="18" t="s">
        <v>71</v>
      </c>
      <c r="C974" s="18" t="s">
        <v>19</v>
      </c>
      <c r="D974" s="19"/>
      <c r="E974" s="19"/>
      <c r="F974" s="20">
        <f t="shared" si="21"/>
        <v>0</v>
      </c>
      <c r="G974" s="21">
        <f>IFERROR(VLOOKUP(B974,DADOS!$A$2:$H$252,8,0),"")</f>
        <v>7</v>
      </c>
      <c r="H974" s="22">
        <v>12.0</v>
      </c>
      <c r="I974" s="23">
        <f>IFERROR(VLOOKUP(B974,DADOS!$A$2:$H$252,4,0)*H974,"")</f>
        <v>16.8288744</v>
      </c>
      <c r="J974" s="36"/>
      <c r="K974" s="25">
        <f>IFERROR(VLOOKUP(B974,DADOS!$A$2:$H$252,4,0)*J974,"")</f>
        <v>0</v>
      </c>
      <c r="L974" s="26">
        <f t="shared" si="22"/>
        <v>0</v>
      </c>
      <c r="M974" s="27"/>
      <c r="N974" s="30"/>
      <c r="O974" s="28"/>
      <c r="P974" s="28"/>
      <c r="Q974" s="28"/>
      <c r="R974" s="28"/>
      <c r="S974" s="28"/>
    </row>
    <row r="975">
      <c r="A975" s="17">
        <v>45678.0</v>
      </c>
      <c r="B975" s="18" t="s">
        <v>133</v>
      </c>
      <c r="C975" s="18" t="s">
        <v>165</v>
      </c>
      <c r="D975" s="19"/>
      <c r="E975" s="19"/>
      <c r="F975" s="20">
        <f t="shared" si="21"/>
        <v>0</v>
      </c>
      <c r="G975" s="21">
        <f>IFERROR(VLOOKUP(B975,DADOS!$A$2:$H$252,8,0),"")</f>
        <v>20</v>
      </c>
      <c r="H975" s="22">
        <v>41.0</v>
      </c>
      <c r="I975" s="23">
        <f>IFERROR(VLOOKUP(B975,DADOS!$A$2:$H$252,4,0)*H975,"")</f>
        <v>3.167414</v>
      </c>
      <c r="J975" s="36"/>
      <c r="K975" s="25">
        <f>IFERROR(VLOOKUP(B975,DADOS!$A$2:$H$252,4,0)*J975,"")</f>
        <v>0</v>
      </c>
      <c r="L975" s="26">
        <f t="shared" si="22"/>
        <v>0</v>
      </c>
      <c r="M975" s="27"/>
      <c r="N975" s="30"/>
      <c r="O975" s="28"/>
      <c r="P975" s="28"/>
      <c r="Q975" s="28"/>
      <c r="R975" s="28"/>
      <c r="S975" s="28"/>
    </row>
    <row r="976">
      <c r="A976" s="17">
        <v>45678.0</v>
      </c>
      <c r="B976" s="18" t="s">
        <v>134</v>
      </c>
      <c r="C976" s="18" t="s">
        <v>165</v>
      </c>
      <c r="D976" s="19"/>
      <c r="E976" s="19"/>
      <c r="F976" s="20">
        <f t="shared" si="21"/>
        <v>0</v>
      </c>
      <c r="G976" s="21">
        <f>IFERROR(VLOOKUP(B976,DADOS!$A$2:$H$252,8,0),"")</f>
        <v>17</v>
      </c>
      <c r="H976" s="22">
        <v>30.0</v>
      </c>
      <c r="I976" s="23">
        <f>IFERROR(VLOOKUP(B976,DADOS!$A$2:$H$252,4,0)*H976,"")</f>
        <v>2.31762</v>
      </c>
      <c r="J976" s="36"/>
      <c r="K976" s="25">
        <f>IFERROR(VLOOKUP(B976,DADOS!$A$2:$H$252,4,0)*J976,"")</f>
        <v>0</v>
      </c>
      <c r="L976" s="26">
        <f t="shared" si="22"/>
        <v>0</v>
      </c>
      <c r="M976" s="27"/>
      <c r="N976" s="30"/>
      <c r="O976" s="28"/>
      <c r="P976" s="28"/>
      <c r="Q976" s="28"/>
      <c r="R976" s="28"/>
      <c r="S976" s="28"/>
    </row>
    <row r="977">
      <c r="A977" s="17">
        <v>45679.0</v>
      </c>
      <c r="B977" s="18" t="s">
        <v>35</v>
      </c>
      <c r="C977" s="18" t="s">
        <v>17</v>
      </c>
      <c r="D977" s="19"/>
      <c r="E977" s="19"/>
      <c r="F977" s="20">
        <f t="shared" si="21"/>
        <v>0</v>
      </c>
      <c r="G977" s="21">
        <f>IFERROR(VLOOKUP(B977,DADOS!$A$2:$H$252,8,0),"")</f>
        <v>30</v>
      </c>
      <c r="H977" s="22">
        <v>11.0</v>
      </c>
      <c r="I977" s="23">
        <f>IFERROR(VLOOKUP(B977,DADOS!$A$2:$H$252,4,0)*H977,"")</f>
        <v>1.8876726</v>
      </c>
      <c r="J977" s="36"/>
      <c r="K977" s="25">
        <f>IFERROR(VLOOKUP(B977,DADOS!$A$2:$H$252,4,0)*J977,"")</f>
        <v>0</v>
      </c>
      <c r="L977" s="26">
        <f t="shared" si="22"/>
        <v>0</v>
      </c>
      <c r="M977" s="27"/>
      <c r="N977" s="30"/>
      <c r="O977" s="28"/>
      <c r="P977" s="28"/>
      <c r="Q977" s="28"/>
      <c r="R977" s="28"/>
      <c r="S977" s="28"/>
    </row>
    <row r="978">
      <c r="A978" s="17">
        <v>45679.0</v>
      </c>
      <c r="B978" s="18" t="s">
        <v>72</v>
      </c>
      <c r="C978" s="18" t="s">
        <v>165</v>
      </c>
      <c r="D978" s="19"/>
      <c r="E978" s="19"/>
      <c r="F978" s="20">
        <f t="shared" si="21"/>
        <v>0</v>
      </c>
      <c r="G978" s="21">
        <f>IFERROR(VLOOKUP(B978,DADOS!$A$2:$H$252,8,0),"")</f>
        <v>43</v>
      </c>
      <c r="H978" s="22">
        <v>248.0</v>
      </c>
      <c r="I978" s="23">
        <f>IFERROR(VLOOKUP(B978,DADOS!$A$2:$H$252,4,0)*H978,"")</f>
        <v>4.24576</v>
      </c>
      <c r="J978" s="36"/>
      <c r="K978" s="25">
        <f>IFERROR(VLOOKUP(B978,DADOS!$A$2:$H$252,4,0)*J978,"")</f>
        <v>0</v>
      </c>
      <c r="L978" s="26">
        <f t="shared" si="22"/>
        <v>0</v>
      </c>
      <c r="M978" s="27"/>
      <c r="N978" s="30"/>
      <c r="O978" s="28"/>
      <c r="P978" s="28"/>
      <c r="Q978" s="28"/>
      <c r="R978" s="28"/>
      <c r="S978" s="28"/>
    </row>
    <row r="979">
      <c r="A979" s="17">
        <v>45680.0</v>
      </c>
      <c r="B979" s="18" t="s">
        <v>35</v>
      </c>
      <c r="C979" s="18" t="s">
        <v>17</v>
      </c>
      <c r="D979" s="19"/>
      <c r="E979" s="19"/>
      <c r="F979" s="20">
        <f t="shared" si="21"/>
        <v>0</v>
      </c>
      <c r="G979" s="21">
        <f>IFERROR(VLOOKUP(B979,DADOS!$A$2:$H$252,8,0),"")</f>
        <v>30</v>
      </c>
      <c r="H979" s="22">
        <v>48.0</v>
      </c>
      <c r="I979" s="23">
        <f>IFERROR(VLOOKUP(B979,DADOS!$A$2:$H$252,4,0)*H979,"")</f>
        <v>8.2371168</v>
      </c>
      <c r="J979" s="36"/>
      <c r="K979" s="25">
        <f>IFERROR(VLOOKUP(B979,DADOS!$A$2:$H$252,4,0)*J979,"")</f>
        <v>0</v>
      </c>
      <c r="L979" s="26">
        <f t="shared" si="22"/>
        <v>0</v>
      </c>
      <c r="M979" s="27"/>
      <c r="N979" s="30"/>
      <c r="O979" s="28"/>
      <c r="P979" s="28"/>
      <c r="Q979" s="28"/>
      <c r="R979" s="28"/>
      <c r="S979" s="28"/>
    </row>
    <row r="980">
      <c r="A980" s="17">
        <v>45680.0</v>
      </c>
      <c r="B980" s="18" t="s">
        <v>48</v>
      </c>
      <c r="C980" s="18" t="s">
        <v>17</v>
      </c>
      <c r="D980" s="19"/>
      <c r="E980" s="19"/>
      <c r="F980" s="20">
        <f t="shared" si="21"/>
        <v>0</v>
      </c>
      <c r="G980" s="21">
        <f>IFERROR(VLOOKUP(B980,DADOS!$A$2:$H$252,8,0),"")</f>
        <v>6</v>
      </c>
      <c r="H980" s="22">
        <v>6.0</v>
      </c>
      <c r="I980" s="23">
        <f>IFERROR(VLOOKUP(B980,DADOS!$A$2:$H$252,4,0)*H980,"")</f>
        <v>0.6836016</v>
      </c>
      <c r="J980" s="24">
        <v>2.0</v>
      </c>
      <c r="K980" s="25">
        <f>IFERROR(VLOOKUP(B980,DADOS!$A$2:$H$252,4,0)*J980,"")</f>
        <v>0.2278672</v>
      </c>
      <c r="L980" s="26">
        <f t="shared" si="22"/>
        <v>0</v>
      </c>
      <c r="M980" s="27"/>
      <c r="N980" s="30"/>
      <c r="O980" s="28"/>
      <c r="P980" s="28"/>
      <c r="Q980" s="28"/>
      <c r="R980" s="28"/>
      <c r="S980" s="28"/>
    </row>
    <row r="981">
      <c r="A981" s="17">
        <v>45680.0</v>
      </c>
      <c r="B981" s="18" t="s">
        <v>22</v>
      </c>
      <c r="C981" s="18" t="s">
        <v>19</v>
      </c>
      <c r="D981" s="19"/>
      <c r="E981" s="19"/>
      <c r="F981" s="20">
        <f t="shared" si="21"/>
        <v>0</v>
      </c>
      <c r="G981" s="21">
        <f>IFERROR(VLOOKUP(B981,DADOS!$A$2:$H$252,8,0),"")</f>
        <v>15</v>
      </c>
      <c r="H981" s="22">
        <v>15.0</v>
      </c>
      <c r="I981" s="23">
        <f>IFERROR(VLOOKUP(B981,DADOS!$A$2:$H$252,4,0)*H981,"")</f>
        <v>9.184131</v>
      </c>
      <c r="J981" s="36"/>
      <c r="K981" s="25">
        <f>IFERROR(VLOOKUP(B981,DADOS!$A$2:$H$252,4,0)*J981,"")</f>
        <v>0</v>
      </c>
      <c r="L981" s="26">
        <f t="shared" si="22"/>
        <v>0</v>
      </c>
      <c r="M981" s="27"/>
      <c r="N981" s="30"/>
      <c r="O981" s="28"/>
      <c r="P981" s="28"/>
      <c r="Q981" s="28"/>
      <c r="R981" s="28"/>
      <c r="S981" s="28"/>
    </row>
    <row r="982">
      <c r="A982" s="17">
        <v>45680.0</v>
      </c>
      <c r="B982" s="18" t="s">
        <v>32</v>
      </c>
      <c r="C982" s="18" t="s">
        <v>19</v>
      </c>
      <c r="D982" s="19"/>
      <c r="E982" s="19"/>
      <c r="F982" s="20">
        <f t="shared" si="21"/>
        <v>0</v>
      </c>
      <c r="G982" s="21">
        <f>IFERROR(VLOOKUP(B982,DADOS!$A$2:$H$252,8,0),"")</f>
        <v>10</v>
      </c>
      <c r="H982" s="22">
        <v>15.0</v>
      </c>
      <c r="I982" s="23">
        <f>IFERROR(VLOOKUP(B982,DADOS!$A$2:$H$252,4,0)*H982,"")</f>
        <v>9.184131</v>
      </c>
      <c r="J982" s="36"/>
      <c r="K982" s="25">
        <f>IFERROR(VLOOKUP(B982,DADOS!$A$2:$H$252,4,0)*J982,"")</f>
        <v>0</v>
      </c>
      <c r="L982" s="26">
        <f t="shared" si="22"/>
        <v>0</v>
      </c>
      <c r="M982" s="27"/>
      <c r="N982" s="30"/>
      <c r="O982" s="28"/>
      <c r="P982" s="28"/>
      <c r="Q982" s="28"/>
      <c r="R982" s="28"/>
      <c r="S982" s="28"/>
    </row>
    <row r="983">
      <c r="A983" s="17">
        <v>45680.0</v>
      </c>
      <c r="B983" s="18" t="s">
        <v>71</v>
      </c>
      <c r="C983" s="18" t="s">
        <v>19</v>
      </c>
      <c r="D983" s="19"/>
      <c r="E983" s="19"/>
      <c r="F983" s="20">
        <f t="shared" si="21"/>
        <v>0</v>
      </c>
      <c r="G983" s="21">
        <f>IFERROR(VLOOKUP(B983,DADOS!$A$2:$H$252,8,0),"")</f>
        <v>7</v>
      </c>
      <c r="H983" s="22">
        <v>11.0</v>
      </c>
      <c r="I983" s="23">
        <f>IFERROR(VLOOKUP(B983,DADOS!$A$2:$H$252,4,0)*H983,"")</f>
        <v>15.4264682</v>
      </c>
      <c r="J983" s="36"/>
      <c r="K983" s="25">
        <f>IFERROR(VLOOKUP(B983,DADOS!$A$2:$H$252,4,0)*J983,"")</f>
        <v>0</v>
      </c>
      <c r="L983" s="26">
        <f t="shared" si="22"/>
        <v>0</v>
      </c>
      <c r="M983" s="27"/>
      <c r="N983" s="30"/>
      <c r="O983" s="28"/>
      <c r="P983" s="28"/>
      <c r="Q983" s="28"/>
      <c r="R983" s="28"/>
      <c r="S983" s="28"/>
    </row>
    <row r="984">
      <c r="A984" s="17">
        <v>45680.0</v>
      </c>
      <c r="B984" s="18" t="s">
        <v>92</v>
      </c>
      <c r="C984" s="18" t="s">
        <v>165</v>
      </c>
      <c r="D984" s="19"/>
      <c r="E984" s="19"/>
      <c r="F984" s="20">
        <f t="shared" si="21"/>
        <v>0</v>
      </c>
      <c r="G984" s="21">
        <f>IFERROR(VLOOKUP(B984,DADOS!$A$2:$H$252,8,0),"")</f>
        <v>100</v>
      </c>
      <c r="H984" s="22">
        <v>235.0</v>
      </c>
      <c r="I984" s="23">
        <f>IFERROR(VLOOKUP(B984,DADOS!$A$2:$H$252,4,0)*H984,"")</f>
        <v>5.949307</v>
      </c>
      <c r="J984" s="36"/>
      <c r="K984" s="25">
        <f>IFERROR(VLOOKUP(B984,DADOS!$A$2:$H$252,4,0)*J984,"")</f>
        <v>0</v>
      </c>
      <c r="L984" s="26">
        <f t="shared" si="22"/>
        <v>0</v>
      </c>
      <c r="M984" s="27"/>
      <c r="N984" s="30"/>
      <c r="O984" s="28"/>
      <c r="P984" s="28"/>
      <c r="Q984" s="28"/>
      <c r="R984" s="28"/>
      <c r="S984" s="28"/>
    </row>
    <row r="985">
      <c r="A985" s="17">
        <v>45680.0</v>
      </c>
      <c r="B985" s="18" t="s">
        <v>119</v>
      </c>
      <c r="C985" s="18" t="s">
        <v>165</v>
      </c>
      <c r="D985" s="19"/>
      <c r="E985" s="19"/>
      <c r="F985" s="20">
        <f t="shared" si="21"/>
        <v>0</v>
      </c>
      <c r="G985" s="21">
        <f>IFERROR(VLOOKUP(B985,DADOS!$A$2:$H$252,8,0),"")</f>
        <v>25</v>
      </c>
      <c r="H985" s="22">
        <v>23.0</v>
      </c>
      <c r="I985" s="23">
        <f>IFERROR(VLOOKUP(B985,DADOS!$A$2:$H$252,4,0)*H985,"")</f>
        <v>2.9945448</v>
      </c>
      <c r="J985" s="36"/>
      <c r="K985" s="25">
        <f>IFERROR(VLOOKUP(B985,DADOS!$A$2:$H$252,4,0)*J985,"")</f>
        <v>0</v>
      </c>
      <c r="L985" s="26">
        <f t="shared" si="22"/>
        <v>0</v>
      </c>
      <c r="M985" s="27"/>
      <c r="N985" s="30"/>
      <c r="O985" s="28"/>
      <c r="P985" s="28"/>
      <c r="Q985" s="28"/>
      <c r="R985" s="28"/>
      <c r="S985" s="28"/>
    </row>
    <row r="986">
      <c r="A986" s="17">
        <v>45680.0</v>
      </c>
      <c r="B986" s="18" t="s">
        <v>119</v>
      </c>
      <c r="C986" s="18" t="s">
        <v>80</v>
      </c>
      <c r="D986" s="19"/>
      <c r="E986" s="19"/>
      <c r="F986" s="20">
        <f t="shared" si="21"/>
        <v>0</v>
      </c>
      <c r="G986" s="21">
        <f>IFERROR(VLOOKUP(B986,DADOS!$A$2:$H$252,8,0),"")</f>
        <v>25</v>
      </c>
      <c r="H986" s="22"/>
      <c r="I986" s="23">
        <f>IFERROR(VLOOKUP(B986,DADOS!$A$2:$H$252,4,0)*H986,"")</f>
        <v>0</v>
      </c>
      <c r="J986" s="24">
        <v>6.0</v>
      </c>
      <c r="K986" s="25">
        <f>IFERROR(VLOOKUP(B986,DADOS!$A$2:$H$252,4,0)*J986,"")</f>
        <v>0.7811856</v>
      </c>
      <c r="L986" s="26">
        <f t="shared" si="22"/>
        <v>0</v>
      </c>
      <c r="M986" s="27" t="s">
        <v>39</v>
      </c>
      <c r="N986" s="33" t="s">
        <v>124</v>
      </c>
      <c r="O986" s="28"/>
      <c r="P986" s="28"/>
      <c r="Q986" s="28"/>
      <c r="R986" s="28"/>
      <c r="S986" s="28"/>
    </row>
    <row r="987">
      <c r="A987" s="17">
        <v>45681.0</v>
      </c>
      <c r="B987" s="18" t="s">
        <v>48</v>
      </c>
      <c r="C987" s="18" t="s">
        <v>17</v>
      </c>
      <c r="D987" s="19"/>
      <c r="E987" s="19"/>
      <c r="F987" s="20">
        <f t="shared" si="21"/>
        <v>0</v>
      </c>
      <c r="G987" s="21">
        <f>IFERROR(VLOOKUP(B987,DADOS!$A$2:$H$252,8,0),"")</f>
        <v>6</v>
      </c>
      <c r="H987" s="22">
        <v>12.0</v>
      </c>
      <c r="I987" s="23">
        <f>IFERROR(VLOOKUP(B987,DADOS!$A$2:$H$252,4,0)*H987,"")</f>
        <v>1.3672032</v>
      </c>
      <c r="J987" s="24">
        <v>1.0</v>
      </c>
      <c r="K987" s="25">
        <f>IFERROR(VLOOKUP(B987,DADOS!$A$2:$H$252,4,0)*J987,"")</f>
        <v>0.1139336</v>
      </c>
      <c r="L987" s="26">
        <f t="shared" si="22"/>
        <v>0</v>
      </c>
      <c r="M987" s="27"/>
      <c r="N987" s="30"/>
      <c r="O987" s="28"/>
      <c r="P987" s="28"/>
      <c r="Q987" s="28"/>
      <c r="R987" s="28"/>
      <c r="S987" s="28"/>
    </row>
    <row r="988">
      <c r="A988" s="17">
        <v>45681.0</v>
      </c>
      <c r="B988" s="18" t="s">
        <v>119</v>
      </c>
      <c r="C988" s="18" t="s">
        <v>165</v>
      </c>
      <c r="D988" s="19"/>
      <c r="E988" s="19"/>
      <c r="F988" s="20">
        <f t="shared" si="21"/>
        <v>0</v>
      </c>
      <c r="G988" s="21">
        <f>IFERROR(VLOOKUP(B988,DADOS!$A$2:$H$252,8,0),"")</f>
        <v>25</v>
      </c>
      <c r="H988" s="22">
        <v>8.0</v>
      </c>
      <c r="I988" s="23">
        <f>IFERROR(VLOOKUP(B988,DADOS!$A$2:$H$252,4,0)*H988,"")</f>
        <v>1.0415808</v>
      </c>
      <c r="J988" s="36"/>
      <c r="K988" s="25">
        <f>IFERROR(VLOOKUP(B988,DADOS!$A$2:$H$252,4,0)*J988,"")</f>
        <v>0</v>
      </c>
      <c r="L988" s="26">
        <f t="shared" si="22"/>
        <v>0</v>
      </c>
      <c r="M988" s="27"/>
      <c r="N988" s="30"/>
      <c r="O988" s="28"/>
      <c r="P988" s="28"/>
      <c r="Q988" s="28"/>
      <c r="R988" s="28"/>
      <c r="S988" s="28"/>
    </row>
    <row r="989">
      <c r="A989" s="17">
        <v>45681.0</v>
      </c>
      <c r="B989" s="18" t="s">
        <v>74</v>
      </c>
      <c r="C989" s="18" t="s">
        <v>165</v>
      </c>
      <c r="D989" s="19"/>
      <c r="E989" s="19"/>
      <c r="F989" s="20">
        <f t="shared" si="21"/>
        <v>0</v>
      </c>
      <c r="G989" s="21">
        <f>IFERROR(VLOOKUP(B989,DADOS!$A$2:$H$252,8,0),"")</f>
        <v>60</v>
      </c>
      <c r="H989" s="22">
        <v>247.0</v>
      </c>
      <c r="I989" s="23">
        <f>IFERROR(VLOOKUP(B989,DADOS!$A$2:$H$252,4,0)*H989,"")</f>
        <v>342.51984</v>
      </c>
      <c r="J989" s="36"/>
      <c r="K989" s="25">
        <f>IFERROR(VLOOKUP(B989,DADOS!$A$2:$H$252,4,0)*J989,"")</f>
        <v>0</v>
      </c>
      <c r="L989" s="26">
        <f t="shared" si="22"/>
        <v>0</v>
      </c>
      <c r="M989" s="27"/>
      <c r="N989" s="30"/>
      <c r="O989" s="28"/>
      <c r="P989" s="28"/>
      <c r="Q989" s="28"/>
      <c r="R989" s="28"/>
      <c r="S989" s="28"/>
    </row>
    <row r="990">
      <c r="A990" s="17">
        <v>45684.0</v>
      </c>
      <c r="B990" s="18" t="s">
        <v>26</v>
      </c>
      <c r="C990" s="18" t="s">
        <v>19</v>
      </c>
      <c r="D990" s="19"/>
      <c r="E990" s="19"/>
      <c r="F990" s="20">
        <f t="shared" si="21"/>
        <v>0</v>
      </c>
      <c r="G990" s="21">
        <f>IFERROR(VLOOKUP(B990,DADOS!$A$2:$H$252,8,0),"")</f>
        <v>50</v>
      </c>
      <c r="H990" s="22">
        <v>34.0</v>
      </c>
      <c r="I990" s="23">
        <f>IFERROR(VLOOKUP(B990,DADOS!$A$2:$H$252,4,0)*H990,"")</f>
        <v>3.8737424</v>
      </c>
      <c r="J990" s="24">
        <v>1.0</v>
      </c>
      <c r="K990" s="25">
        <f>IFERROR(VLOOKUP(B990,DADOS!$A$2:$H$252,4,0)*J990,"")</f>
        <v>0.1139336</v>
      </c>
      <c r="L990" s="26">
        <f t="shared" si="22"/>
        <v>0</v>
      </c>
      <c r="M990" s="27"/>
      <c r="N990" s="30"/>
      <c r="O990" s="28"/>
      <c r="P990" s="28"/>
      <c r="Q990" s="28"/>
      <c r="R990" s="28"/>
      <c r="S990" s="28"/>
    </row>
    <row r="991">
      <c r="A991" s="17">
        <v>45684.0</v>
      </c>
      <c r="B991" s="18" t="s">
        <v>32</v>
      </c>
      <c r="C991" s="18" t="s">
        <v>19</v>
      </c>
      <c r="D991" s="19"/>
      <c r="E991" s="19"/>
      <c r="F991" s="20">
        <f t="shared" si="21"/>
        <v>0</v>
      </c>
      <c r="G991" s="21">
        <f>IFERROR(VLOOKUP(B991,DADOS!$A$2:$H$252,8,0),"")</f>
        <v>10</v>
      </c>
      <c r="H991" s="22">
        <v>10.0</v>
      </c>
      <c r="I991" s="23">
        <f>IFERROR(VLOOKUP(B991,DADOS!$A$2:$H$252,4,0)*H991,"")</f>
        <v>6.122754</v>
      </c>
      <c r="J991" s="36"/>
      <c r="K991" s="25">
        <f>IFERROR(VLOOKUP(B991,DADOS!$A$2:$H$252,4,0)*J991,"")</f>
        <v>0</v>
      </c>
      <c r="L991" s="26">
        <f t="shared" si="22"/>
        <v>0</v>
      </c>
      <c r="M991" s="27"/>
      <c r="N991" s="30"/>
      <c r="O991" s="28"/>
      <c r="P991" s="28"/>
      <c r="Q991" s="28"/>
      <c r="R991" s="28"/>
      <c r="S991" s="28"/>
    </row>
    <row r="992">
      <c r="A992" s="17">
        <v>45684.0</v>
      </c>
      <c r="B992" s="18" t="s">
        <v>119</v>
      </c>
      <c r="C992" s="18" t="s">
        <v>165</v>
      </c>
      <c r="D992" s="19"/>
      <c r="E992" s="19"/>
      <c r="F992" s="20">
        <f t="shared" si="21"/>
        <v>0</v>
      </c>
      <c r="G992" s="21">
        <f>IFERROR(VLOOKUP(B992,DADOS!$A$2:$H$252,8,0),"")</f>
        <v>25</v>
      </c>
      <c r="H992" s="35"/>
      <c r="I992" s="23">
        <f>IFERROR(VLOOKUP(B992,DADOS!$A$2:$H$252,4,0)*H992,"")</f>
        <v>0</v>
      </c>
      <c r="J992" s="36"/>
      <c r="K992" s="25">
        <f>IFERROR(VLOOKUP(B992,DADOS!$A$2:$H$252,4,0)*J992,"")</f>
        <v>0</v>
      </c>
      <c r="L992" s="26" t="str">
        <f t="shared" si="22"/>
        <v/>
      </c>
      <c r="M992" s="27"/>
      <c r="N992" s="30"/>
      <c r="O992" s="28"/>
      <c r="P992" s="28"/>
      <c r="Q992" s="28"/>
      <c r="R992" s="28"/>
      <c r="S992" s="28"/>
    </row>
    <row r="993">
      <c r="A993" s="17">
        <v>45684.0</v>
      </c>
      <c r="B993" s="18" t="s">
        <v>25</v>
      </c>
      <c r="C993" s="18" t="s">
        <v>165</v>
      </c>
      <c r="D993" s="19">
        <v>0.46875</v>
      </c>
      <c r="E993" s="19">
        <v>0.71875</v>
      </c>
      <c r="F993" s="20">
        <f t="shared" si="21"/>
        <v>0.25</v>
      </c>
      <c r="G993" s="21">
        <f>IFERROR(VLOOKUP(B993,DADOS!$A$2:$H$252,8,0),"")</f>
        <v>40</v>
      </c>
      <c r="H993" s="22">
        <v>75.0</v>
      </c>
      <c r="I993" s="23">
        <f>IFERROR(VLOOKUP(B993,DADOS!$A$2:$H$252,4,0)*H993,"")</f>
        <v>7.7682</v>
      </c>
      <c r="J993" s="24">
        <v>1.0</v>
      </c>
      <c r="K993" s="25">
        <f>IFERROR(VLOOKUP(B993,DADOS!$A$2:$H$252,4,0)*J993,"")</f>
        <v>0.103576</v>
      </c>
      <c r="L993" s="26">
        <f t="shared" si="22"/>
        <v>0</v>
      </c>
      <c r="M993" s="27"/>
      <c r="N993" s="30"/>
      <c r="O993" s="28"/>
      <c r="P993" s="28"/>
      <c r="Q993" s="28"/>
      <c r="R993" s="28"/>
      <c r="S993" s="28"/>
    </row>
    <row r="994" ht="16.5" customHeight="1">
      <c r="A994" s="17">
        <v>45685.0</v>
      </c>
      <c r="B994" s="18" t="s">
        <v>71</v>
      </c>
      <c r="C994" s="18" t="s">
        <v>166</v>
      </c>
      <c r="D994" s="19"/>
      <c r="E994" s="19"/>
      <c r="F994" s="20">
        <f t="shared" si="21"/>
        <v>0</v>
      </c>
      <c r="G994" s="21">
        <f>IFERROR(VLOOKUP(B994,DADOS!$A$2:$H$252,8,0),"")</f>
        <v>7</v>
      </c>
      <c r="H994" s="22">
        <v>2.0</v>
      </c>
      <c r="I994" s="23">
        <f>IFERROR(VLOOKUP(B994,DADOS!$A$2:$H$252,4,0)*H994,"")</f>
        <v>2.8048124</v>
      </c>
      <c r="J994" s="36"/>
      <c r="K994" s="25">
        <f>IFERROR(VLOOKUP(B994,DADOS!$A$2:$H$252,4,0)*J994,"")</f>
        <v>0</v>
      </c>
      <c r="L994" s="26">
        <f t="shared" si="22"/>
        <v>0</v>
      </c>
      <c r="M994" s="27"/>
      <c r="N994" s="30"/>
      <c r="O994" s="28"/>
      <c r="P994" s="28"/>
      <c r="Q994" s="28"/>
      <c r="R994" s="28"/>
      <c r="S994" s="28"/>
    </row>
    <row r="995">
      <c r="A995" s="17">
        <v>45685.0</v>
      </c>
      <c r="B995" s="18" t="s">
        <v>18</v>
      </c>
      <c r="C995" s="18" t="s">
        <v>165</v>
      </c>
      <c r="D995" s="19"/>
      <c r="E995" s="19"/>
      <c r="F995" s="20">
        <f t="shared" si="21"/>
        <v>0</v>
      </c>
      <c r="G995" s="21">
        <f>IFERROR(VLOOKUP(B995,DADOS!$A$2:$H$252,8,0),"")</f>
        <v>21</v>
      </c>
      <c r="H995" s="22">
        <v>17.0</v>
      </c>
      <c r="I995" s="23">
        <f>IFERROR(VLOOKUP(B995,DADOS!$A$2:$H$252,4,0)*H995,"")</f>
        <v>4.980422</v>
      </c>
      <c r="J995" s="36"/>
      <c r="K995" s="25">
        <f>IFERROR(VLOOKUP(B995,DADOS!$A$2:$H$252,4,0)*J995,"")</f>
        <v>0</v>
      </c>
      <c r="L995" s="26">
        <f t="shared" si="22"/>
        <v>0</v>
      </c>
      <c r="M995" s="27"/>
      <c r="N995" s="30"/>
      <c r="O995" s="28"/>
      <c r="P995" s="28"/>
      <c r="Q995" s="28"/>
      <c r="R995" s="28"/>
      <c r="S995" s="28"/>
    </row>
    <row r="996">
      <c r="A996" s="17">
        <v>45685.0</v>
      </c>
      <c r="B996" s="18" t="s">
        <v>25</v>
      </c>
      <c r="C996" s="18" t="s">
        <v>165</v>
      </c>
      <c r="D996" s="19"/>
      <c r="E996" s="19"/>
      <c r="F996" s="20">
        <f t="shared" si="21"/>
        <v>0</v>
      </c>
      <c r="G996" s="21">
        <f>IFERROR(VLOOKUP(B996,DADOS!$A$2:$H$252,8,0),"")</f>
        <v>40</v>
      </c>
      <c r="H996" s="22">
        <v>56.0</v>
      </c>
      <c r="I996" s="23">
        <f>IFERROR(VLOOKUP(B996,DADOS!$A$2:$H$252,4,0)*H996,"")</f>
        <v>5.800256</v>
      </c>
      <c r="J996" s="24">
        <v>5.0</v>
      </c>
      <c r="K996" s="25">
        <f>IFERROR(VLOOKUP(B996,DADOS!$A$2:$H$252,4,0)*J996,"")</f>
        <v>0.51788</v>
      </c>
      <c r="L996" s="26">
        <f t="shared" si="22"/>
        <v>0</v>
      </c>
      <c r="M996" s="27"/>
      <c r="N996" s="30"/>
      <c r="O996" s="28"/>
      <c r="P996" s="28"/>
      <c r="Q996" s="28"/>
      <c r="R996" s="28"/>
      <c r="S996" s="28"/>
    </row>
    <row r="997">
      <c r="A997" s="17">
        <v>45686.0</v>
      </c>
      <c r="B997" s="18" t="s">
        <v>71</v>
      </c>
      <c r="C997" s="18" t="s">
        <v>166</v>
      </c>
      <c r="D997" s="19"/>
      <c r="E997" s="19"/>
      <c r="F997" s="20">
        <f t="shared" si="21"/>
        <v>0</v>
      </c>
      <c r="G997" s="21">
        <f>IFERROR(VLOOKUP(B997,DADOS!$A$2:$H$252,8,0),"")</f>
        <v>7</v>
      </c>
      <c r="H997" s="22">
        <v>33.0</v>
      </c>
      <c r="I997" s="23">
        <f>IFERROR(VLOOKUP(B997,DADOS!$A$2:$H$252,4,0)*H997,"")</f>
        <v>46.2794046</v>
      </c>
      <c r="J997" s="36"/>
      <c r="K997" s="25">
        <f>IFERROR(VLOOKUP(B997,DADOS!$A$2:$H$252,4,0)*J997,"")</f>
        <v>0</v>
      </c>
      <c r="L997" s="26">
        <f t="shared" si="22"/>
        <v>0</v>
      </c>
      <c r="M997" s="27"/>
      <c r="N997" s="30"/>
      <c r="O997" s="28"/>
      <c r="P997" s="28"/>
      <c r="Q997" s="28"/>
      <c r="R997" s="28"/>
      <c r="S997" s="28"/>
    </row>
    <row r="998">
      <c r="A998" s="17">
        <v>45686.0</v>
      </c>
      <c r="B998" s="18" t="s">
        <v>26</v>
      </c>
      <c r="C998" s="18" t="s">
        <v>19</v>
      </c>
      <c r="D998" s="19"/>
      <c r="E998" s="19"/>
      <c r="F998" s="20">
        <f t="shared" si="21"/>
        <v>0</v>
      </c>
      <c r="G998" s="21">
        <f>IFERROR(VLOOKUP(B998,DADOS!$A$2:$H$252,8,0),"")</f>
        <v>50</v>
      </c>
      <c r="H998" s="22">
        <v>40.0</v>
      </c>
      <c r="I998" s="23">
        <f>IFERROR(VLOOKUP(B998,DADOS!$A$2:$H$252,4,0)*H998,"")</f>
        <v>4.557344</v>
      </c>
      <c r="J998" s="36"/>
      <c r="K998" s="25">
        <f>IFERROR(VLOOKUP(B998,DADOS!$A$2:$H$252,4,0)*J998,"")</f>
        <v>0</v>
      </c>
      <c r="L998" s="26">
        <f t="shared" si="22"/>
        <v>0</v>
      </c>
      <c r="M998" s="27"/>
      <c r="N998" s="30"/>
      <c r="O998" s="28"/>
      <c r="P998" s="28"/>
      <c r="Q998" s="28"/>
      <c r="R998" s="28"/>
      <c r="S998" s="28"/>
    </row>
    <row r="999">
      <c r="A999" s="17">
        <v>45686.0</v>
      </c>
      <c r="B999" s="18" t="s">
        <v>18</v>
      </c>
      <c r="C999" s="18" t="s">
        <v>165</v>
      </c>
      <c r="D999" s="19"/>
      <c r="E999" s="19"/>
      <c r="F999" s="20">
        <f t="shared" si="21"/>
        <v>0</v>
      </c>
      <c r="G999" s="21">
        <f>IFERROR(VLOOKUP(B999,DADOS!$A$2:$H$252,8,0),"")</f>
        <v>21</v>
      </c>
      <c r="H999" s="22">
        <v>3.0</v>
      </c>
      <c r="I999" s="23">
        <f>IFERROR(VLOOKUP(B999,DADOS!$A$2:$H$252,4,0)*H999,"")</f>
        <v>0.878898</v>
      </c>
      <c r="J999" s="24">
        <v>3.0</v>
      </c>
      <c r="K999" s="25">
        <f>IFERROR(VLOOKUP(B999,DADOS!$A$2:$H$252,4,0)*J999,"")</f>
        <v>0.878898</v>
      </c>
      <c r="L999" s="26">
        <f t="shared" si="22"/>
        <v>0</v>
      </c>
      <c r="M999" s="27"/>
      <c r="N999" s="30"/>
      <c r="O999" s="28"/>
      <c r="P999" s="28"/>
      <c r="Q999" s="28"/>
      <c r="R999" s="28"/>
      <c r="S999" s="28"/>
    </row>
    <row r="1000">
      <c r="A1000" s="17">
        <v>45686.0</v>
      </c>
      <c r="B1000" s="18" t="s">
        <v>56</v>
      </c>
      <c r="C1000" s="18" t="s">
        <v>165</v>
      </c>
      <c r="D1000" s="19"/>
      <c r="E1000" s="19"/>
      <c r="F1000" s="20">
        <f t="shared" si="21"/>
        <v>0</v>
      </c>
      <c r="G1000" s="21">
        <f>IFERROR(VLOOKUP(B1000,DADOS!$A$2:$H$252,8,0),"")</f>
        <v>162</v>
      </c>
      <c r="H1000" s="22">
        <v>299.0</v>
      </c>
      <c r="I1000" s="23">
        <f>IFERROR(VLOOKUP(B1000,DADOS!$A$2:$H$252,4,0)*H1000,"")</f>
        <v>2.87937</v>
      </c>
      <c r="J1000" s="36"/>
      <c r="K1000" s="25">
        <f>IFERROR(VLOOKUP(B1000,DADOS!$A$2:$H$252,4,0)*J1000,"")</f>
        <v>0</v>
      </c>
      <c r="L1000" s="26">
        <f t="shared" si="22"/>
        <v>0</v>
      </c>
      <c r="M1000" s="27"/>
      <c r="N1000" s="30"/>
      <c r="O1000" s="28"/>
      <c r="P1000" s="28"/>
      <c r="Q1000" s="28"/>
      <c r="R1000" s="28"/>
      <c r="S1000" s="28"/>
    </row>
    <row r="1001">
      <c r="A1001" s="17">
        <v>45686.0</v>
      </c>
      <c r="B1001" s="18" t="s">
        <v>26</v>
      </c>
      <c r="C1001" s="18" t="s">
        <v>146</v>
      </c>
      <c r="D1001" s="19"/>
      <c r="E1001" s="19"/>
      <c r="F1001" s="20">
        <f t="shared" si="21"/>
        <v>0</v>
      </c>
      <c r="G1001" s="21">
        <f>IFERROR(VLOOKUP(B1001,DADOS!$A$2:$H$252,8,0),"")</f>
        <v>50</v>
      </c>
      <c r="H1001" s="22">
        <v>25.0</v>
      </c>
      <c r="I1001" s="23">
        <f>IFERROR(VLOOKUP(B1001,DADOS!$A$2:$H$252,4,0)*H1001,"")</f>
        <v>2.84834</v>
      </c>
      <c r="J1001" s="24">
        <v>6.0</v>
      </c>
      <c r="K1001" s="25">
        <f>IFERROR(VLOOKUP(B1001,DADOS!$A$2:$H$252,4,0)*J1001,"")</f>
        <v>0.6836016</v>
      </c>
      <c r="L1001" s="26">
        <f t="shared" si="22"/>
        <v>0</v>
      </c>
      <c r="M1001" s="27"/>
      <c r="N1001" s="30"/>
      <c r="O1001" s="28"/>
      <c r="P1001" s="28"/>
      <c r="Q1001" s="28"/>
      <c r="R1001" s="28"/>
      <c r="S1001" s="28"/>
    </row>
    <row r="1002">
      <c r="A1002" s="17">
        <v>45687.0</v>
      </c>
      <c r="B1002" s="18" t="s">
        <v>75</v>
      </c>
      <c r="C1002" s="18" t="s">
        <v>17</v>
      </c>
      <c r="D1002" s="19"/>
      <c r="E1002" s="19"/>
      <c r="F1002" s="20">
        <f t="shared" si="21"/>
        <v>0</v>
      </c>
      <c r="G1002" s="21">
        <f>IFERROR(VLOOKUP(B1002,DADOS!$A$2:$H$252,8,0),"")</f>
        <v>23</v>
      </c>
      <c r="H1002" s="22">
        <v>15.0</v>
      </c>
      <c r="I1002" s="23">
        <f>IFERROR(VLOOKUP(B1002,DADOS!$A$2:$H$252,4,0)*H1002,"")</f>
        <v>1.709004</v>
      </c>
      <c r="J1002" s="36"/>
      <c r="K1002" s="25">
        <f>IFERROR(VLOOKUP(B1002,DADOS!$A$2:$H$252,4,0)*J1002,"")</f>
        <v>0</v>
      </c>
      <c r="L1002" s="26">
        <f t="shared" si="22"/>
        <v>0</v>
      </c>
      <c r="M1002" s="27"/>
      <c r="N1002" s="30"/>
      <c r="O1002" s="28"/>
      <c r="P1002" s="28"/>
      <c r="Q1002" s="28"/>
      <c r="R1002" s="28"/>
      <c r="S1002" s="28"/>
    </row>
    <row r="1003">
      <c r="A1003" s="17">
        <v>45687.0</v>
      </c>
      <c r="B1003" s="18" t="s">
        <v>22</v>
      </c>
      <c r="C1003" s="18" t="s">
        <v>166</v>
      </c>
      <c r="D1003" s="19"/>
      <c r="E1003" s="19"/>
      <c r="F1003" s="20">
        <f t="shared" si="21"/>
        <v>0</v>
      </c>
      <c r="G1003" s="21">
        <f>IFERROR(VLOOKUP(B1003,DADOS!$A$2:$H$252,8,0),"")</f>
        <v>15</v>
      </c>
      <c r="H1003" s="22">
        <v>12.0</v>
      </c>
      <c r="I1003" s="23">
        <f>IFERROR(VLOOKUP(B1003,DADOS!$A$2:$H$252,4,0)*H1003,"")</f>
        <v>7.3473048</v>
      </c>
      <c r="J1003" s="36"/>
      <c r="K1003" s="25">
        <f>IFERROR(VLOOKUP(B1003,DADOS!$A$2:$H$252,4,0)*J1003,"")</f>
        <v>0</v>
      </c>
      <c r="L1003" s="26">
        <f t="shared" si="22"/>
        <v>0</v>
      </c>
      <c r="M1003" s="27"/>
      <c r="N1003" s="30"/>
      <c r="O1003" s="28"/>
      <c r="P1003" s="28"/>
      <c r="Q1003" s="28"/>
      <c r="R1003" s="28"/>
      <c r="S1003" s="28"/>
    </row>
    <row r="1004">
      <c r="A1004" s="17">
        <v>45687.0</v>
      </c>
      <c r="B1004" s="18" t="s">
        <v>32</v>
      </c>
      <c r="C1004" s="18" t="s">
        <v>166</v>
      </c>
      <c r="D1004" s="19"/>
      <c r="E1004" s="19"/>
      <c r="F1004" s="20">
        <f t="shared" si="21"/>
        <v>0</v>
      </c>
      <c r="G1004" s="21">
        <f>IFERROR(VLOOKUP(B1004,DADOS!$A$2:$H$252,8,0),"")</f>
        <v>10</v>
      </c>
      <c r="H1004" s="22">
        <v>20.0</v>
      </c>
      <c r="I1004" s="23">
        <f>IFERROR(VLOOKUP(B1004,DADOS!$A$2:$H$252,4,0)*H1004,"")</f>
        <v>12.245508</v>
      </c>
      <c r="J1004" s="36"/>
      <c r="K1004" s="25">
        <f>IFERROR(VLOOKUP(B1004,DADOS!$A$2:$H$252,4,0)*J1004,"")</f>
        <v>0</v>
      </c>
      <c r="L1004" s="26">
        <f t="shared" si="22"/>
        <v>0</v>
      </c>
      <c r="M1004" s="27"/>
      <c r="N1004" s="30"/>
      <c r="O1004" s="28"/>
      <c r="P1004" s="28"/>
      <c r="Q1004" s="28"/>
      <c r="R1004" s="28"/>
      <c r="S1004" s="28"/>
    </row>
    <row r="1005">
      <c r="A1005" s="17">
        <v>45687.0</v>
      </c>
      <c r="B1005" s="18" t="s">
        <v>98</v>
      </c>
      <c r="C1005" s="18" t="s">
        <v>165</v>
      </c>
      <c r="D1005" s="19"/>
      <c r="E1005" s="19"/>
      <c r="F1005" s="20">
        <f t="shared" si="21"/>
        <v>0</v>
      </c>
      <c r="G1005" s="21">
        <f>IFERROR(VLOOKUP(B1005,DADOS!$A$2:$H$252,8,0),"")</f>
        <v>100</v>
      </c>
      <c r="H1005" s="35"/>
      <c r="I1005" s="23">
        <f>IFERROR(VLOOKUP(B1005,DADOS!$A$2:$H$252,4,0)*H1005,"")</f>
        <v>0</v>
      </c>
      <c r="J1005" s="36"/>
      <c r="K1005" s="25">
        <f>IFERROR(VLOOKUP(B1005,DADOS!$A$2:$H$252,4,0)*J1005,"")</f>
        <v>0</v>
      </c>
      <c r="L1005" s="26" t="str">
        <f t="shared" si="22"/>
        <v/>
      </c>
      <c r="M1005" s="27"/>
      <c r="N1005" s="30"/>
      <c r="O1005" s="28"/>
      <c r="P1005" s="28"/>
      <c r="Q1005" s="28"/>
      <c r="R1005" s="28"/>
      <c r="S1005" s="28"/>
    </row>
    <row r="1006">
      <c r="A1006" s="17">
        <v>45688.0</v>
      </c>
      <c r="B1006" s="18" t="s">
        <v>22</v>
      </c>
      <c r="C1006" s="18" t="s">
        <v>166</v>
      </c>
      <c r="D1006" s="19"/>
      <c r="E1006" s="19"/>
      <c r="F1006" s="20">
        <f t="shared" si="21"/>
        <v>0</v>
      </c>
      <c r="G1006" s="21"/>
      <c r="H1006" s="22">
        <v>30.0</v>
      </c>
      <c r="I1006" s="23"/>
      <c r="J1006" s="36"/>
      <c r="K1006" s="25"/>
      <c r="L1006" s="26"/>
      <c r="M1006" s="27"/>
      <c r="N1006" s="30"/>
      <c r="O1006" s="28"/>
      <c r="P1006" s="28"/>
      <c r="Q1006" s="28"/>
      <c r="R1006" s="28"/>
      <c r="S1006" s="28"/>
    </row>
    <row r="1007">
      <c r="A1007" s="17">
        <v>45693.0</v>
      </c>
      <c r="B1007" s="18" t="s">
        <v>18</v>
      </c>
      <c r="C1007" s="18" t="s">
        <v>17</v>
      </c>
      <c r="D1007" s="19"/>
      <c r="E1007" s="19"/>
      <c r="F1007" s="20">
        <f t="shared" si="21"/>
        <v>0</v>
      </c>
      <c r="G1007" s="21"/>
      <c r="H1007" s="22">
        <v>14.0</v>
      </c>
      <c r="I1007" s="23"/>
      <c r="J1007" s="36"/>
      <c r="K1007" s="25"/>
      <c r="L1007" s="26"/>
      <c r="M1007" s="27"/>
      <c r="N1007" s="30"/>
      <c r="O1007" s="28"/>
      <c r="P1007" s="28"/>
      <c r="Q1007" s="28"/>
      <c r="R1007" s="28"/>
      <c r="S1007" s="28"/>
    </row>
    <row r="1008">
      <c r="A1008" s="17">
        <v>45693.0</v>
      </c>
      <c r="B1008" s="18" t="s">
        <v>26</v>
      </c>
      <c r="C1008" s="18" t="s">
        <v>17</v>
      </c>
      <c r="D1008" s="19"/>
      <c r="E1008" s="19"/>
      <c r="F1008" s="20">
        <f t="shared" si="21"/>
        <v>0</v>
      </c>
      <c r="G1008" s="21"/>
      <c r="H1008" s="22">
        <v>2.0</v>
      </c>
      <c r="I1008" s="23"/>
      <c r="J1008" s="24">
        <v>3.0</v>
      </c>
      <c r="K1008" s="25"/>
      <c r="L1008" s="26"/>
      <c r="M1008" s="27"/>
      <c r="N1008" s="30"/>
      <c r="O1008" s="28"/>
      <c r="P1008" s="28"/>
      <c r="Q1008" s="28"/>
      <c r="R1008" s="28"/>
      <c r="S1008" s="28"/>
    </row>
    <row r="1009">
      <c r="A1009" s="17">
        <v>45693.0</v>
      </c>
      <c r="B1009" s="18" t="s">
        <v>16</v>
      </c>
      <c r="C1009" s="18" t="s">
        <v>165</v>
      </c>
      <c r="D1009" s="19"/>
      <c r="E1009" s="19"/>
      <c r="F1009" s="20">
        <f t="shared" si="21"/>
        <v>0</v>
      </c>
      <c r="G1009" s="21"/>
      <c r="H1009" s="22">
        <v>238.0</v>
      </c>
      <c r="I1009" s="23"/>
      <c r="J1009" s="36"/>
      <c r="K1009" s="25"/>
      <c r="L1009" s="26"/>
      <c r="M1009" s="27"/>
      <c r="N1009" s="30"/>
      <c r="O1009" s="28"/>
      <c r="P1009" s="28"/>
      <c r="Q1009" s="28"/>
      <c r="R1009" s="28"/>
      <c r="S1009" s="28"/>
    </row>
    <row r="1010">
      <c r="A1010" s="17">
        <v>45694.0</v>
      </c>
      <c r="B1010" s="18" t="s">
        <v>28</v>
      </c>
      <c r="C1010" s="18" t="s">
        <v>17</v>
      </c>
      <c r="D1010" s="19"/>
      <c r="E1010" s="19"/>
      <c r="F1010" s="20">
        <f t="shared" si="21"/>
        <v>0</v>
      </c>
      <c r="G1010" s="21"/>
      <c r="H1010" s="22">
        <v>20.0</v>
      </c>
      <c r="I1010" s="23"/>
      <c r="J1010" s="36"/>
      <c r="K1010" s="25"/>
      <c r="L1010" s="26"/>
      <c r="M1010" s="27"/>
      <c r="N1010" s="30"/>
      <c r="O1010" s="28"/>
      <c r="P1010" s="28"/>
      <c r="Q1010" s="28"/>
      <c r="R1010" s="28"/>
      <c r="S1010" s="28"/>
    </row>
    <row r="1011">
      <c r="A1011" s="17">
        <v>45694.0</v>
      </c>
      <c r="B1011" s="18" t="s">
        <v>117</v>
      </c>
      <c r="C1011" s="18" t="s">
        <v>17</v>
      </c>
      <c r="D1011" s="19"/>
      <c r="E1011" s="19"/>
      <c r="F1011" s="20">
        <f t="shared" si="21"/>
        <v>0</v>
      </c>
      <c r="G1011" s="21"/>
      <c r="H1011" s="22">
        <v>21.0</v>
      </c>
      <c r="I1011" s="23"/>
      <c r="J1011" s="24">
        <v>10.0</v>
      </c>
      <c r="K1011" s="25"/>
      <c r="L1011" s="26"/>
      <c r="M1011" s="27"/>
      <c r="N1011" s="30"/>
      <c r="O1011" s="28"/>
      <c r="P1011" s="28"/>
      <c r="Q1011" s="28"/>
      <c r="R1011" s="28"/>
      <c r="S1011" s="28"/>
    </row>
    <row r="1012">
      <c r="A1012" s="17">
        <v>45694.0</v>
      </c>
      <c r="B1012" s="18" t="s">
        <v>16</v>
      </c>
      <c r="C1012" s="18" t="s">
        <v>165</v>
      </c>
      <c r="D1012" s="19"/>
      <c r="E1012" s="19"/>
      <c r="F1012" s="20">
        <f t="shared" si="21"/>
        <v>0</v>
      </c>
      <c r="G1012" s="21"/>
      <c r="H1012" s="22">
        <v>329.0</v>
      </c>
      <c r="I1012" s="23"/>
      <c r="J1012" s="36"/>
      <c r="K1012" s="25"/>
      <c r="L1012" s="26"/>
      <c r="M1012" s="27"/>
      <c r="N1012" s="30"/>
      <c r="O1012" s="28"/>
      <c r="P1012" s="28"/>
      <c r="Q1012" s="28"/>
      <c r="R1012" s="28"/>
      <c r="S1012" s="28"/>
    </row>
    <row r="1013">
      <c r="A1013" s="17">
        <v>45694.0</v>
      </c>
      <c r="B1013" s="18" t="s">
        <v>156</v>
      </c>
      <c r="C1013" s="18" t="s">
        <v>146</v>
      </c>
      <c r="D1013" s="19"/>
      <c r="E1013" s="19"/>
      <c r="F1013" s="20">
        <f t="shared" si="21"/>
        <v>0</v>
      </c>
      <c r="G1013" s="21"/>
      <c r="H1013" s="22">
        <v>50.0</v>
      </c>
      <c r="I1013" s="23"/>
      <c r="J1013" s="36"/>
      <c r="K1013" s="25"/>
      <c r="L1013" s="26"/>
      <c r="M1013" s="27"/>
      <c r="N1013" s="30"/>
      <c r="O1013" s="28"/>
      <c r="P1013" s="28"/>
      <c r="Q1013" s="28"/>
      <c r="R1013" s="28"/>
      <c r="S1013" s="28"/>
    </row>
    <row r="1014">
      <c r="A1014" s="17">
        <v>45694.0</v>
      </c>
      <c r="B1014" s="18" t="s">
        <v>167</v>
      </c>
      <c r="C1014" s="18" t="s">
        <v>146</v>
      </c>
      <c r="D1014" s="19"/>
      <c r="E1014" s="19"/>
      <c r="F1014" s="20">
        <f t="shared" si="21"/>
        <v>0</v>
      </c>
      <c r="G1014" s="21"/>
      <c r="H1014" s="22">
        <v>40.0</v>
      </c>
      <c r="I1014" s="23"/>
      <c r="J1014" s="24">
        <v>10.0</v>
      </c>
      <c r="K1014" s="25"/>
      <c r="L1014" s="26"/>
      <c r="M1014" s="27"/>
      <c r="N1014" s="30"/>
      <c r="O1014" s="28"/>
      <c r="P1014" s="28"/>
      <c r="Q1014" s="28"/>
      <c r="R1014" s="28"/>
      <c r="S1014" s="28"/>
    </row>
    <row r="1015">
      <c r="A1015" s="17">
        <v>45695.0</v>
      </c>
      <c r="B1015" s="18" t="s">
        <v>43</v>
      </c>
      <c r="C1015" s="18" t="s">
        <v>165</v>
      </c>
      <c r="D1015" s="19"/>
      <c r="E1015" s="19"/>
      <c r="F1015" s="20">
        <f t="shared" si="21"/>
        <v>0</v>
      </c>
      <c r="G1015" s="21"/>
      <c r="H1015" s="22">
        <v>60.0</v>
      </c>
      <c r="I1015" s="23"/>
      <c r="J1015" s="24">
        <v>10.0</v>
      </c>
      <c r="K1015" s="25"/>
      <c r="L1015" s="26"/>
      <c r="M1015" s="27"/>
      <c r="N1015" s="30"/>
      <c r="O1015" s="28"/>
      <c r="P1015" s="28"/>
      <c r="Q1015" s="28"/>
      <c r="R1015" s="28"/>
      <c r="S1015" s="28"/>
    </row>
    <row r="1016">
      <c r="A1016" s="17">
        <v>45698.0</v>
      </c>
      <c r="B1016" s="18" t="s">
        <v>26</v>
      </c>
      <c r="C1016" s="18" t="s">
        <v>168</v>
      </c>
      <c r="D1016" s="19">
        <v>0.3541666666666667</v>
      </c>
      <c r="E1016" s="19">
        <v>0.71875</v>
      </c>
      <c r="F1016" s="20">
        <f t="shared" si="21"/>
        <v>0.3645833333</v>
      </c>
      <c r="G1016" s="21">
        <f>IFERROR(VLOOKUP(B1016,DADOS!$A$2:$H$252,8,0),"")</f>
        <v>50</v>
      </c>
      <c r="H1016" s="22">
        <v>98.0</v>
      </c>
      <c r="I1016" s="23">
        <f>IFERROR(VLOOKUP(B1016,DADOS!$A$2:$H$252,4,0)*H1016,"")</f>
        <v>11.1654928</v>
      </c>
      <c r="J1016" s="24">
        <v>7.0</v>
      </c>
      <c r="K1016" s="25">
        <f>IFERROR(VLOOKUP(B1016,DADOS!$A$2:$H$252,4,0)*J1016,"")</f>
        <v>0.7975352</v>
      </c>
      <c r="L1016" s="26">
        <f t="shared" ref="L1016:L2451" si="23">IFERROR(IF(C1016="TAMBOR", $K$457/J1016, $K$457/I1016), "")
</f>
        <v>0</v>
      </c>
      <c r="M1016" s="27"/>
      <c r="N1016" s="30"/>
      <c r="O1016" s="28"/>
      <c r="P1016" s="28"/>
      <c r="Q1016" s="28"/>
      <c r="R1016" s="28"/>
      <c r="S1016" s="28"/>
    </row>
    <row r="1017">
      <c r="A1017" s="17">
        <v>45698.0</v>
      </c>
      <c r="B1017" s="18" t="s">
        <v>155</v>
      </c>
      <c r="C1017" s="18" t="s">
        <v>19</v>
      </c>
      <c r="D1017" s="19"/>
      <c r="E1017" s="19"/>
      <c r="F1017" s="20">
        <f t="shared" si="21"/>
        <v>0</v>
      </c>
      <c r="G1017" s="21">
        <f>IFERROR(VLOOKUP(B1017,DADOS!$A$2:$H$252,8,0),"")</f>
        <v>18</v>
      </c>
      <c r="H1017" s="22">
        <v>20.0</v>
      </c>
      <c r="I1017" s="23">
        <f>IFERROR(VLOOKUP(B1017,DADOS!$A$2:$H$252,4,0)*H1017,"")</f>
        <v>7.91372</v>
      </c>
      <c r="J1017" s="36"/>
      <c r="K1017" s="25">
        <f>IFERROR(VLOOKUP(B1017,DADOS!$A$2:$H$252,4,0)*J1017,"")</f>
        <v>0</v>
      </c>
      <c r="L1017" s="26">
        <f t="shared" si="23"/>
        <v>0</v>
      </c>
      <c r="M1017" s="27"/>
      <c r="N1017" s="30"/>
      <c r="O1017" s="28"/>
      <c r="P1017" s="28"/>
      <c r="Q1017" s="28"/>
      <c r="R1017" s="28"/>
      <c r="S1017" s="28"/>
    </row>
    <row r="1018">
      <c r="A1018" s="17">
        <v>45698.0</v>
      </c>
      <c r="B1018" s="18" t="s">
        <v>63</v>
      </c>
      <c r="C1018" s="18" t="s">
        <v>19</v>
      </c>
      <c r="D1018" s="19"/>
      <c r="E1018" s="19"/>
      <c r="F1018" s="20">
        <f t="shared" si="21"/>
        <v>0</v>
      </c>
      <c r="G1018" s="21" t="str">
        <f>IFERROR(VLOOKUP(B1018,DADOS!$A$2:$H$252,8,0),"")</f>
        <v/>
      </c>
      <c r="H1018" s="22">
        <v>5.0</v>
      </c>
      <c r="I1018" s="23">
        <f>IFERROR(VLOOKUP(B1018,DADOS!$A$2:$H$252,4,0)*H1018,"")</f>
        <v>0</v>
      </c>
      <c r="J1018" s="24">
        <v>1.0</v>
      </c>
      <c r="K1018" s="25">
        <f>IFERROR(VLOOKUP(B1018,DADOS!$A$2:$H$252,4,0)*J1018,"")</f>
        <v>0</v>
      </c>
      <c r="L1018" s="26" t="str">
        <f t="shared" si="23"/>
        <v/>
      </c>
      <c r="M1018" s="27"/>
      <c r="N1018" s="30"/>
      <c r="O1018" s="28"/>
      <c r="P1018" s="28"/>
      <c r="Q1018" s="28"/>
      <c r="R1018" s="28"/>
      <c r="S1018" s="28"/>
    </row>
    <row r="1019">
      <c r="A1019" s="17">
        <v>45698.0</v>
      </c>
      <c r="B1019" s="18" t="s">
        <v>75</v>
      </c>
      <c r="C1019" s="18" t="s">
        <v>19</v>
      </c>
      <c r="D1019" s="19"/>
      <c r="E1019" s="19"/>
      <c r="F1019" s="20">
        <f t="shared" si="21"/>
        <v>0</v>
      </c>
      <c r="G1019" s="21">
        <f>IFERROR(VLOOKUP(B1019,DADOS!$A$2:$H$252,8,0),"")</f>
        <v>23</v>
      </c>
      <c r="H1019" s="22">
        <v>9.0</v>
      </c>
      <c r="I1019" s="23">
        <f>IFERROR(VLOOKUP(B1019,DADOS!$A$2:$H$252,4,0)*H1019,"")</f>
        <v>1.0254024</v>
      </c>
      <c r="J1019" s="36"/>
      <c r="K1019" s="25">
        <f>IFERROR(VLOOKUP(B1019,DADOS!$A$2:$H$252,4,0)*J1019,"")</f>
        <v>0</v>
      </c>
      <c r="L1019" s="26">
        <f t="shared" si="23"/>
        <v>0</v>
      </c>
      <c r="M1019" s="27"/>
      <c r="N1019" s="30"/>
      <c r="O1019" s="28"/>
      <c r="P1019" s="28"/>
      <c r="Q1019" s="28"/>
      <c r="R1019" s="28"/>
      <c r="S1019" s="28"/>
    </row>
    <row r="1020">
      <c r="A1020" s="17">
        <v>45698.0</v>
      </c>
      <c r="B1020" s="18" t="s">
        <v>25</v>
      </c>
      <c r="C1020" s="18" t="s">
        <v>165</v>
      </c>
      <c r="D1020" s="19">
        <v>0.3194444444444444</v>
      </c>
      <c r="E1020" s="19">
        <v>0.71875</v>
      </c>
      <c r="F1020" s="20">
        <f t="shared" si="21"/>
        <v>0.3993055556</v>
      </c>
      <c r="G1020" s="21">
        <f>IFERROR(VLOOKUP(B1020,DADOS!$A$2:$H$252,8,0),"")</f>
        <v>40</v>
      </c>
      <c r="H1020" s="22">
        <v>136.0</v>
      </c>
      <c r="I1020" s="23">
        <f>IFERROR(VLOOKUP(B1020,DADOS!$A$2:$H$252,4,0)*H1020,"")</f>
        <v>14.086336</v>
      </c>
      <c r="J1020" s="24">
        <v>3.0</v>
      </c>
      <c r="K1020" s="25">
        <f>IFERROR(VLOOKUP(B1020,DADOS!$A$2:$H$252,4,0)*J1020,"")</f>
        <v>0.310728</v>
      </c>
      <c r="L1020" s="26">
        <f t="shared" si="23"/>
        <v>0</v>
      </c>
      <c r="M1020" s="27"/>
      <c r="N1020" s="30"/>
      <c r="O1020" s="28"/>
      <c r="P1020" s="28"/>
      <c r="Q1020" s="28"/>
      <c r="R1020" s="28"/>
      <c r="S1020" s="28"/>
    </row>
    <row r="1021">
      <c r="A1021" s="17">
        <v>45699.0</v>
      </c>
      <c r="B1021" s="18" t="s">
        <v>22</v>
      </c>
      <c r="C1021" s="18" t="s">
        <v>166</v>
      </c>
      <c r="D1021" s="19">
        <v>0.3125</v>
      </c>
      <c r="E1021" s="19">
        <v>0.5069444444444444</v>
      </c>
      <c r="F1021" s="20">
        <f t="shared" si="21"/>
        <v>0.1944444444</v>
      </c>
      <c r="G1021" s="21">
        <f>IFERROR(VLOOKUP(B1021,DADOS!$A$2:$H$252,8,0),"")</f>
        <v>15</v>
      </c>
      <c r="H1021" s="22">
        <v>36.0</v>
      </c>
      <c r="I1021" s="23">
        <f>IFERROR(VLOOKUP(B1021,DADOS!$A$2:$H$252,4,0)*H1021,"")</f>
        <v>22.0419144</v>
      </c>
      <c r="J1021" s="36"/>
      <c r="K1021" s="25">
        <f>IFERROR(VLOOKUP(B1021,DADOS!$A$2:$H$252,4,0)*J1021,"")</f>
        <v>0</v>
      </c>
      <c r="L1021" s="26">
        <f t="shared" si="23"/>
        <v>0</v>
      </c>
      <c r="M1021" s="27"/>
      <c r="N1021" s="30"/>
      <c r="O1021" s="28"/>
      <c r="P1021" s="28"/>
      <c r="Q1021" s="28"/>
      <c r="R1021" s="28"/>
      <c r="S1021" s="28"/>
    </row>
    <row r="1022">
      <c r="A1022" s="17">
        <v>45699.0</v>
      </c>
      <c r="B1022" s="18" t="s">
        <v>26</v>
      </c>
      <c r="C1022" s="18" t="s">
        <v>168</v>
      </c>
      <c r="D1022" s="19">
        <v>0.3125</v>
      </c>
      <c r="E1022" s="19">
        <v>0.71875</v>
      </c>
      <c r="F1022" s="20">
        <f t="shared" si="21"/>
        <v>0.40625</v>
      </c>
      <c r="G1022" s="21">
        <f>IFERROR(VLOOKUP(B1022,DADOS!$A$2:$H$252,8,0),"")</f>
        <v>50</v>
      </c>
      <c r="H1022" s="22">
        <v>108.0</v>
      </c>
      <c r="I1022" s="23">
        <f>IFERROR(VLOOKUP(B1022,DADOS!$A$2:$H$252,4,0)*H1022,"")</f>
        <v>12.3048288</v>
      </c>
      <c r="J1022" s="24">
        <v>3.0</v>
      </c>
      <c r="K1022" s="25">
        <f>IFERROR(VLOOKUP(B1022,DADOS!$A$2:$H$252,4,0)*J1022,"")</f>
        <v>0.3418008</v>
      </c>
      <c r="L1022" s="26">
        <f t="shared" si="23"/>
        <v>0</v>
      </c>
      <c r="M1022" s="27"/>
      <c r="N1022" s="30"/>
      <c r="O1022" s="28"/>
      <c r="P1022" s="28"/>
      <c r="Q1022" s="28"/>
      <c r="R1022" s="28"/>
      <c r="S1022" s="28"/>
    </row>
    <row r="1023">
      <c r="A1023" s="17">
        <v>45699.0</v>
      </c>
      <c r="B1023" s="18" t="s">
        <v>75</v>
      </c>
      <c r="C1023" s="18" t="s">
        <v>19</v>
      </c>
      <c r="D1023" s="19"/>
      <c r="E1023" s="19"/>
      <c r="F1023" s="20">
        <f t="shared" si="21"/>
        <v>0</v>
      </c>
      <c r="G1023" s="21">
        <f>IFERROR(VLOOKUP(B1023,DADOS!$A$2:$H$252,8,0),"")</f>
        <v>23</v>
      </c>
      <c r="H1023" s="22">
        <v>50.0</v>
      </c>
      <c r="I1023" s="23">
        <f>IFERROR(VLOOKUP(B1023,DADOS!$A$2:$H$252,4,0)*H1023,"")</f>
        <v>5.69668</v>
      </c>
      <c r="J1023" s="36"/>
      <c r="K1023" s="25">
        <f>IFERROR(VLOOKUP(B1023,DADOS!$A$2:$H$252,4,0)*J1023,"")</f>
        <v>0</v>
      </c>
      <c r="L1023" s="26">
        <f t="shared" si="23"/>
        <v>0</v>
      </c>
      <c r="M1023" s="27"/>
      <c r="N1023" s="30"/>
      <c r="O1023" s="28"/>
      <c r="P1023" s="28"/>
      <c r="Q1023" s="28"/>
      <c r="R1023" s="28"/>
      <c r="S1023" s="28"/>
    </row>
    <row r="1024">
      <c r="A1024" s="17">
        <v>45699.0</v>
      </c>
      <c r="B1024" s="18" t="s">
        <v>64</v>
      </c>
      <c r="C1024" s="18" t="s">
        <v>19</v>
      </c>
      <c r="D1024" s="19"/>
      <c r="E1024" s="19"/>
      <c r="F1024" s="20">
        <f t="shared" si="21"/>
        <v>0</v>
      </c>
      <c r="G1024" s="21">
        <f>IFERROR(VLOOKUP(B1024,DADOS!$A$2:$H$252,8,0),"")</f>
        <v>21</v>
      </c>
      <c r="H1024" s="22">
        <v>8.0</v>
      </c>
      <c r="I1024" s="23">
        <f>IFERROR(VLOOKUP(B1024,DADOS!$A$2:$H$252,4,0)*H1024,"")</f>
        <v>1.864368</v>
      </c>
      <c r="J1024" s="24">
        <v>1.0</v>
      </c>
      <c r="K1024" s="25">
        <f>IFERROR(VLOOKUP(B1024,DADOS!$A$2:$H$252,4,0)*J1024,"")</f>
        <v>0.233046</v>
      </c>
      <c r="L1024" s="26">
        <f t="shared" si="23"/>
        <v>0</v>
      </c>
      <c r="M1024" s="27"/>
      <c r="N1024" s="30"/>
      <c r="O1024" s="28"/>
      <c r="P1024" s="28"/>
      <c r="Q1024" s="28"/>
      <c r="R1024" s="28"/>
      <c r="S1024" s="28"/>
    </row>
    <row r="1025">
      <c r="A1025" s="17">
        <v>45699.0</v>
      </c>
      <c r="B1025" s="18" t="s">
        <v>25</v>
      </c>
      <c r="C1025" s="18" t="s">
        <v>165</v>
      </c>
      <c r="D1025" s="19">
        <v>0.3263888888888889</v>
      </c>
      <c r="E1025" s="19">
        <v>0.6805555555555556</v>
      </c>
      <c r="F1025" s="20">
        <f t="shared" si="21"/>
        <v>0.3541666667</v>
      </c>
      <c r="G1025" s="21">
        <f>IFERROR(VLOOKUP(B1025,DADOS!$A$2:$H$252,8,0),"")</f>
        <v>40</v>
      </c>
      <c r="H1025" s="22">
        <v>137.0</v>
      </c>
      <c r="I1025" s="23">
        <f>IFERROR(VLOOKUP(B1025,DADOS!$A$2:$H$252,4,0)*H1025,"")</f>
        <v>14.189912</v>
      </c>
      <c r="J1025" s="24">
        <v>2.0</v>
      </c>
      <c r="K1025" s="25">
        <f>IFERROR(VLOOKUP(B1025,DADOS!$A$2:$H$252,4,0)*J1025,"")</f>
        <v>0.207152</v>
      </c>
      <c r="L1025" s="26">
        <f t="shared" si="23"/>
        <v>0</v>
      </c>
      <c r="M1025" s="27"/>
      <c r="N1025" s="30"/>
      <c r="O1025" s="28"/>
      <c r="P1025" s="28"/>
      <c r="Q1025" s="28"/>
      <c r="R1025" s="28"/>
      <c r="S1025" s="28"/>
    </row>
    <row r="1026">
      <c r="A1026" s="17">
        <v>45699.0</v>
      </c>
      <c r="B1026" s="18" t="s">
        <v>58</v>
      </c>
      <c r="C1026" s="18" t="s">
        <v>165</v>
      </c>
      <c r="D1026" s="19">
        <v>0.6875</v>
      </c>
      <c r="E1026" s="19">
        <v>0.71875</v>
      </c>
      <c r="F1026" s="20">
        <f t="shared" si="21"/>
        <v>0.03125</v>
      </c>
      <c r="G1026" s="21">
        <f>IFERROR(VLOOKUP(B1026,DADOS!$A$2:$H$252,8,0),"")</f>
        <v>31</v>
      </c>
      <c r="H1026" s="22">
        <v>12.0</v>
      </c>
      <c r="I1026" s="23">
        <f>IFERROR(VLOOKUP(B1026,DADOS!$A$2:$H$252,4,0)*H1026,"")</f>
        <v>1.3672032</v>
      </c>
      <c r="J1026" s="24">
        <v>3.0</v>
      </c>
      <c r="K1026" s="25">
        <f>IFERROR(VLOOKUP(B1026,DADOS!$A$2:$H$252,4,0)*J1026,"")</f>
        <v>0.3418008</v>
      </c>
      <c r="L1026" s="26">
        <f t="shared" si="23"/>
        <v>0</v>
      </c>
      <c r="M1026" s="27"/>
      <c r="N1026" s="30"/>
      <c r="O1026" s="28"/>
      <c r="P1026" s="28"/>
      <c r="Q1026" s="28"/>
      <c r="R1026" s="28"/>
      <c r="S1026" s="28"/>
    </row>
    <row r="1027">
      <c r="A1027" s="17">
        <v>45700.0</v>
      </c>
      <c r="B1027" s="18" t="s">
        <v>22</v>
      </c>
      <c r="C1027" s="18" t="s">
        <v>166</v>
      </c>
      <c r="D1027" s="19">
        <v>0.3125</v>
      </c>
      <c r="E1027" s="19">
        <v>0.3333333333333333</v>
      </c>
      <c r="F1027" s="20">
        <f t="shared" si="21"/>
        <v>0.02083333333</v>
      </c>
      <c r="G1027" s="21">
        <f>IFERROR(VLOOKUP(B1027,DADOS!$A$2:$H$252,8,0),"")</f>
        <v>15</v>
      </c>
      <c r="H1027" s="22">
        <v>4.0</v>
      </c>
      <c r="I1027" s="23">
        <f>IFERROR(VLOOKUP(B1027,DADOS!$A$2:$H$252,4,0)*H1027,"")</f>
        <v>2.4491016</v>
      </c>
      <c r="J1027" s="36"/>
      <c r="K1027" s="25">
        <f>IFERROR(VLOOKUP(B1027,DADOS!$A$2:$H$252,4,0)*J1027,"")</f>
        <v>0</v>
      </c>
      <c r="L1027" s="26">
        <f t="shared" si="23"/>
        <v>0</v>
      </c>
      <c r="M1027" s="27"/>
      <c r="N1027" s="30"/>
      <c r="O1027" s="28"/>
      <c r="P1027" s="28"/>
      <c r="Q1027" s="28"/>
      <c r="R1027" s="28"/>
      <c r="S1027" s="28"/>
    </row>
    <row r="1028">
      <c r="A1028" s="17">
        <v>45700.0</v>
      </c>
      <c r="B1028" s="18" t="s">
        <v>32</v>
      </c>
      <c r="C1028" s="18" t="s">
        <v>166</v>
      </c>
      <c r="D1028" s="19">
        <v>0.3333333333333333</v>
      </c>
      <c r="E1028" s="19">
        <v>0.4965277777777778</v>
      </c>
      <c r="F1028" s="20">
        <f t="shared" si="21"/>
        <v>0.1631944444</v>
      </c>
      <c r="G1028" s="21">
        <f>IFERROR(VLOOKUP(B1028,DADOS!$A$2:$H$252,8,0),"")</f>
        <v>10</v>
      </c>
      <c r="H1028" s="22">
        <v>26.0</v>
      </c>
      <c r="I1028" s="23">
        <f>IFERROR(VLOOKUP(B1028,DADOS!$A$2:$H$252,4,0)*H1028,"")</f>
        <v>15.9191604</v>
      </c>
      <c r="J1028" s="36"/>
      <c r="K1028" s="25">
        <f>IFERROR(VLOOKUP(B1028,DADOS!$A$2:$H$252,4,0)*J1028,"")</f>
        <v>0</v>
      </c>
      <c r="L1028" s="26">
        <f t="shared" si="23"/>
        <v>0</v>
      </c>
      <c r="M1028" s="27"/>
      <c r="N1028" s="30"/>
      <c r="O1028" s="28"/>
      <c r="P1028" s="28"/>
      <c r="Q1028" s="28"/>
      <c r="R1028" s="28"/>
      <c r="S1028" s="28"/>
    </row>
    <row r="1029">
      <c r="A1029" s="17">
        <v>45700.0</v>
      </c>
      <c r="B1029" s="18" t="s">
        <v>26</v>
      </c>
      <c r="C1029" s="18" t="s">
        <v>168</v>
      </c>
      <c r="D1029" s="19">
        <v>0.3194444444444444</v>
      </c>
      <c r="E1029" s="19">
        <v>0.3611111111111111</v>
      </c>
      <c r="F1029" s="20">
        <f t="shared" si="21"/>
        <v>0.04166666667</v>
      </c>
      <c r="G1029" s="21">
        <f>IFERROR(VLOOKUP(B1029,DADOS!$A$2:$H$252,8,0),"")</f>
        <v>50</v>
      </c>
      <c r="H1029" s="22">
        <v>24.0</v>
      </c>
      <c r="I1029" s="23">
        <f>IFERROR(VLOOKUP(B1029,DADOS!$A$2:$H$252,4,0)*H1029,"")</f>
        <v>2.7344064</v>
      </c>
      <c r="J1029" s="24">
        <v>2.0</v>
      </c>
      <c r="K1029" s="25">
        <f>IFERROR(VLOOKUP(B1029,DADOS!$A$2:$H$252,4,0)*J1029,"")</f>
        <v>0.2278672</v>
      </c>
      <c r="L1029" s="26">
        <f t="shared" si="23"/>
        <v>0</v>
      </c>
      <c r="M1029" s="27"/>
      <c r="N1029" s="30"/>
      <c r="O1029" s="28"/>
      <c r="P1029" s="28"/>
      <c r="Q1029" s="28"/>
      <c r="R1029" s="28"/>
      <c r="S1029" s="28"/>
    </row>
    <row r="1030">
      <c r="A1030" s="17">
        <v>45700.0</v>
      </c>
      <c r="B1030" s="18" t="s">
        <v>125</v>
      </c>
      <c r="C1030" s="18" t="s">
        <v>168</v>
      </c>
      <c r="D1030" s="19">
        <v>0.375</v>
      </c>
      <c r="E1030" s="19">
        <v>0.71875</v>
      </c>
      <c r="F1030" s="20">
        <f t="shared" si="21"/>
        <v>0.34375</v>
      </c>
      <c r="G1030" s="21">
        <f>IFERROR(VLOOKUP(B1030,DADOS!$A$2:$H$252,8,0),"")</f>
        <v>12</v>
      </c>
      <c r="H1030" s="22">
        <v>31.0</v>
      </c>
      <c r="I1030" s="23">
        <f>IFERROR(VLOOKUP(B1030,DADOS!$A$2:$H$252,4,0)*H1030,"")</f>
        <v>5.7211616</v>
      </c>
      <c r="J1030" s="24">
        <v>2.0</v>
      </c>
      <c r="K1030" s="25">
        <f>IFERROR(VLOOKUP(B1030,DADOS!$A$2:$H$252,4,0)*J1030,"")</f>
        <v>0.3691072</v>
      </c>
      <c r="L1030" s="26">
        <f t="shared" si="23"/>
        <v>0</v>
      </c>
      <c r="M1030" s="27"/>
      <c r="N1030" s="30"/>
      <c r="O1030" s="28"/>
      <c r="P1030" s="28"/>
      <c r="Q1030" s="28"/>
      <c r="R1030" s="28"/>
      <c r="S1030" s="28"/>
    </row>
    <row r="1031">
      <c r="A1031" s="17">
        <v>45700.0</v>
      </c>
      <c r="B1031" s="18" t="s">
        <v>63</v>
      </c>
      <c r="C1031" s="18" t="s">
        <v>19</v>
      </c>
      <c r="D1031" s="19"/>
      <c r="E1031" s="19"/>
      <c r="F1031" s="20">
        <f t="shared" si="21"/>
        <v>0</v>
      </c>
      <c r="G1031" s="21" t="str">
        <f>IFERROR(VLOOKUP(B1031,DADOS!$A$2:$H$252,8,0),"")</f>
        <v/>
      </c>
      <c r="H1031" s="22">
        <v>11.0</v>
      </c>
      <c r="I1031" s="23">
        <f>IFERROR(VLOOKUP(B1031,DADOS!$A$2:$H$252,4,0)*H1031,"")</f>
        <v>0</v>
      </c>
      <c r="J1031" s="36"/>
      <c r="K1031" s="25">
        <f>IFERROR(VLOOKUP(B1031,DADOS!$A$2:$H$252,4,0)*J1031,"")</f>
        <v>0</v>
      </c>
      <c r="L1031" s="26" t="str">
        <f t="shared" si="23"/>
        <v/>
      </c>
      <c r="M1031" s="27"/>
      <c r="N1031" s="30"/>
      <c r="O1031" s="28"/>
      <c r="P1031" s="28"/>
      <c r="Q1031" s="28"/>
      <c r="R1031" s="28"/>
      <c r="S1031" s="28"/>
    </row>
    <row r="1032">
      <c r="A1032" s="17">
        <v>45700.0</v>
      </c>
      <c r="B1032" s="18" t="s">
        <v>115</v>
      </c>
      <c r="C1032" s="18" t="s">
        <v>19</v>
      </c>
      <c r="D1032" s="19"/>
      <c r="E1032" s="19"/>
      <c r="F1032" s="20">
        <f t="shared" si="21"/>
        <v>0</v>
      </c>
      <c r="G1032" s="21">
        <f>IFERROR(VLOOKUP(B1032,DADOS!$A$2:$H$252,8,0),"")</f>
        <v>12</v>
      </c>
      <c r="H1032" s="22">
        <v>9.0</v>
      </c>
      <c r="I1032" s="23">
        <f>IFERROR(VLOOKUP(B1032,DADOS!$A$2:$H$252,4,0)*H1032,"")</f>
        <v>2.636694</v>
      </c>
      <c r="J1032" s="24">
        <v>1.0</v>
      </c>
      <c r="K1032" s="25">
        <f>IFERROR(VLOOKUP(B1032,DADOS!$A$2:$H$252,4,0)*J1032,"")</f>
        <v>0.292966</v>
      </c>
      <c r="L1032" s="26">
        <f t="shared" si="23"/>
        <v>0</v>
      </c>
      <c r="M1032" s="27"/>
      <c r="N1032" s="30"/>
      <c r="O1032" s="28"/>
      <c r="P1032" s="28"/>
      <c r="Q1032" s="28"/>
      <c r="R1032" s="28"/>
      <c r="S1032" s="28"/>
    </row>
    <row r="1033">
      <c r="A1033" s="17">
        <v>45700.0</v>
      </c>
      <c r="B1033" s="18" t="s">
        <v>58</v>
      </c>
      <c r="C1033" s="18" t="s">
        <v>165</v>
      </c>
      <c r="D1033" s="19">
        <v>0.3194444444444444</v>
      </c>
      <c r="E1033" s="19">
        <v>0.71875</v>
      </c>
      <c r="F1033" s="20">
        <f t="shared" si="21"/>
        <v>0.3993055556</v>
      </c>
      <c r="G1033" s="21">
        <f>IFERROR(VLOOKUP(B1033,DADOS!$A$2:$H$252,8,0),"")</f>
        <v>31</v>
      </c>
      <c r="H1033" s="22">
        <v>76.0</v>
      </c>
      <c r="I1033" s="23">
        <f>IFERROR(VLOOKUP(B1033,DADOS!$A$2:$H$252,4,0)*H1033,"")</f>
        <v>8.6589536</v>
      </c>
      <c r="J1033" s="24">
        <v>5.0</v>
      </c>
      <c r="K1033" s="25">
        <f>IFERROR(VLOOKUP(B1033,DADOS!$A$2:$H$252,4,0)*J1033,"")</f>
        <v>0.569668</v>
      </c>
      <c r="L1033" s="26">
        <f t="shared" si="23"/>
        <v>0</v>
      </c>
      <c r="M1033" s="27"/>
      <c r="N1033" s="30"/>
      <c r="O1033" s="28"/>
      <c r="P1033" s="28"/>
      <c r="Q1033" s="28"/>
      <c r="R1033" s="28"/>
      <c r="S1033" s="28"/>
    </row>
    <row r="1034">
      <c r="A1034" s="17">
        <v>45701.0</v>
      </c>
      <c r="B1034" s="18" t="s">
        <v>159</v>
      </c>
      <c r="C1034" s="18" t="s">
        <v>166</v>
      </c>
      <c r="D1034" s="19"/>
      <c r="E1034" s="19"/>
      <c r="F1034" s="20">
        <f t="shared" si="21"/>
        <v>0</v>
      </c>
      <c r="G1034" s="21">
        <f>IFERROR(VLOOKUP(B1034,DADOS!$A$2:$H$252,8,0),"")</f>
        <v>8</v>
      </c>
      <c r="H1034" s="22">
        <v>13.0</v>
      </c>
      <c r="I1034" s="23">
        <f>IFERROR(VLOOKUP(B1034,DADOS!$A$2:$H$252,4,0)*H1034,"")</f>
        <v>19.2728614</v>
      </c>
      <c r="J1034" s="36"/>
      <c r="K1034" s="25">
        <f>IFERROR(VLOOKUP(B1034,DADOS!$A$2:$H$252,4,0)*J1034,"")</f>
        <v>0</v>
      </c>
      <c r="L1034" s="26">
        <f t="shared" si="23"/>
        <v>0</v>
      </c>
      <c r="M1034" s="27"/>
      <c r="N1034" s="30"/>
      <c r="O1034" s="28"/>
      <c r="P1034" s="28"/>
      <c r="Q1034" s="28"/>
      <c r="R1034" s="28"/>
      <c r="S1034" s="28"/>
    </row>
    <row r="1035">
      <c r="A1035" s="17">
        <v>45701.0</v>
      </c>
      <c r="B1035" s="18" t="s">
        <v>26</v>
      </c>
      <c r="C1035" s="18" t="s">
        <v>168</v>
      </c>
      <c r="D1035" s="19"/>
      <c r="E1035" s="19"/>
      <c r="F1035" s="20">
        <f t="shared" si="21"/>
        <v>0</v>
      </c>
      <c r="G1035" s="21">
        <f>IFERROR(VLOOKUP(B1035,DADOS!$A$2:$H$252,8,0),"")</f>
        <v>50</v>
      </c>
      <c r="H1035" s="22">
        <v>55.0</v>
      </c>
      <c r="I1035" s="23">
        <f>IFERROR(VLOOKUP(B1035,DADOS!$A$2:$H$252,4,0)*H1035,"")</f>
        <v>6.266348</v>
      </c>
      <c r="J1035" s="24">
        <v>5.0</v>
      </c>
      <c r="K1035" s="25">
        <f>IFERROR(VLOOKUP(B1035,DADOS!$A$2:$H$252,4,0)*J1035,"")</f>
        <v>0.569668</v>
      </c>
      <c r="L1035" s="26">
        <f t="shared" si="23"/>
        <v>0</v>
      </c>
      <c r="M1035" s="27"/>
      <c r="N1035" s="30"/>
      <c r="O1035" s="28"/>
      <c r="P1035" s="28"/>
      <c r="Q1035" s="28"/>
      <c r="R1035" s="28"/>
      <c r="S1035" s="28"/>
    </row>
    <row r="1036">
      <c r="A1036" s="17">
        <v>45701.0</v>
      </c>
      <c r="B1036" s="18" t="s">
        <v>125</v>
      </c>
      <c r="C1036" s="18" t="s">
        <v>168</v>
      </c>
      <c r="D1036" s="19"/>
      <c r="E1036" s="19"/>
      <c r="F1036" s="20">
        <f t="shared" si="21"/>
        <v>0</v>
      </c>
      <c r="G1036" s="21">
        <f>IFERROR(VLOOKUP(B1036,DADOS!$A$2:$H$252,8,0),"")</f>
        <v>12</v>
      </c>
      <c r="H1036" s="22">
        <v>21.0</v>
      </c>
      <c r="I1036" s="23">
        <f>IFERROR(VLOOKUP(B1036,DADOS!$A$2:$H$252,4,0)*H1036,"")</f>
        <v>3.8756256</v>
      </c>
      <c r="J1036" s="24">
        <v>2.0</v>
      </c>
      <c r="K1036" s="25">
        <f>IFERROR(VLOOKUP(B1036,DADOS!$A$2:$H$252,4,0)*J1036,"")</f>
        <v>0.3691072</v>
      </c>
      <c r="L1036" s="26">
        <f t="shared" si="23"/>
        <v>0</v>
      </c>
      <c r="M1036" s="27"/>
      <c r="N1036" s="30"/>
      <c r="O1036" s="28"/>
      <c r="P1036" s="28"/>
      <c r="Q1036" s="28"/>
      <c r="R1036" s="28"/>
      <c r="S1036" s="28"/>
    </row>
    <row r="1037">
      <c r="A1037" s="17">
        <v>45701.0</v>
      </c>
      <c r="B1037" s="18" t="s">
        <v>125</v>
      </c>
      <c r="C1037" s="18" t="s">
        <v>165</v>
      </c>
      <c r="D1037" s="19"/>
      <c r="E1037" s="19"/>
      <c r="F1037" s="20">
        <f t="shared" si="21"/>
        <v>0</v>
      </c>
      <c r="G1037" s="21">
        <f>IFERROR(VLOOKUP(B1037,DADOS!$A$2:$H$252,8,0),"")</f>
        <v>12</v>
      </c>
      <c r="H1037" s="22">
        <v>2.0</v>
      </c>
      <c r="I1037" s="23">
        <f>IFERROR(VLOOKUP(B1037,DADOS!$A$2:$H$252,4,0)*H1037,"")</f>
        <v>0.3691072</v>
      </c>
      <c r="J1037" s="36"/>
      <c r="K1037" s="25">
        <f>IFERROR(VLOOKUP(B1037,DADOS!$A$2:$H$252,4,0)*J1037,"")</f>
        <v>0</v>
      </c>
      <c r="L1037" s="26">
        <f t="shared" si="23"/>
        <v>0</v>
      </c>
      <c r="M1037" s="27"/>
      <c r="N1037" s="30"/>
      <c r="O1037" s="28"/>
      <c r="P1037" s="28"/>
      <c r="Q1037" s="28"/>
      <c r="R1037" s="28"/>
      <c r="S1037" s="28"/>
    </row>
    <row r="1038">
      <c r="A1038" s="17">
        <v>45701.0</v>
      </c>
      <c r="B1038" s="18" t="s">
        <v>25</v>
      </c>
      <c r="C1038" s="18" t="s">
        <v>165</v>
      </c>
      <c r="D1038" s="19"/>
      <c r="E1038" s="19"/>
      <c r="F1038" s="20">
        <f t="shared" si="21"/>
        <v>0</v>
      </c>
      <c r="G1038" s="21">
        <f>IFERROR(VLOOKUP(B1038,DADOS!$A$2:$H$252,8,0),"")</f>
        <v>40</v>
      </c>
      <c r="H1038" s="22">
        <v>60.0</v>
      </c>
      <c r="I1038" s="23">
        <f>IFERROR(VLOOKUP(B1038,DADOS!$A$2:$H$252,4,0)*H1038,"")</f>
        <v>6.21456</v>
      </c>
      <c r="J1038" s="36"/>
      <c r="K1038" s="25">
        <f>IFERROR(VLOOKUP(B1038,DADOS!$A$2:$H$252,4,0)*J1038,"")</f>
        <v>0</v>
      </c>
      <c r="L1038" s="26">
        <f t="shared" si="23"/>
        <v>0</v>
      </c>
      <c r="M1038" s="27"/>
      <c r="N1038" s="30"/>
      <c r="O1038" s="28"/>
      <c r="P1038" s="28"/>
      <c r="Q1038" s="28"/>
      <c r="R1038" s="28"/>
      <c r="S1038" s="28"/>
    </row>
    <row r="1039">
      <c r="A1039" s="17">
        <v>45701.0</v>
      </c>
      <c r="B1039" s="18" t="s">
        <v>18</v>
      </c>
      <c r="C1039" s="18" t="s">
        <v>165</v>
      </c>
      <c r="D1039" s="19"/>
      <c r="E1039" s="19"/>
      <c r="F1039" s="20">
        <f t="shared" si="21"/>
        <v>0</v>
      </c>
      <c r="G1039" s="21">
        <f>IFERROR(VLOOKUP(B1039,DADOS!$A$2:$H$252,8,0),"")</f>
        <v>21</v>
      </c>
      <c r="H1039" s="22">
        <v>32.0</v>
      </c>
      <c r="I1039" s="23">
        <f>IFERROR(VLOOKUP(B1039,DADOS!$A$2:$H$252,4,0)*H1039,"")</f>
        <v>9.374912</v>
      </c>
      <c r="J1039" s="24">
        <v>2.0</v>
      </c>
      <c r="K1039" s="25">
        <f>IFERROR(VLOOKUP(B1039,DADOS!$A$2:$H$252,4,0)*J1039,"")</f>
        <v>0.585932</v>
      </c>
      <c r="L1039" s="26">
        <f t="shared" si="23"/>
        <v>0</v>
      </c>
      <c r="M1039" s="27"/>
      <c r="N1039" s="30"/>
      <c r="O1039" s="28"/>
      <c r="P1039" s="28"/>
      <c r="Q1039" s="28"/>
      <c r="R1039" s="28"/>
      <c r="S1039" s="28"/>
    </row>
    <row r="1040">
      <c r="A1040" s="17">
        <v>45702.0</v>
      </c>
      <c r="B1040" s="18" t="s">
        <v>159</v>
      </c>
      <c r="C1040" s="18" t="s">
        <v>166</v>
      </c>
      <c r="D1040" s="19">
        <v>0.3125</v>
      </c>
      <c r="E1040" s="19"/>
      <c r="F1040" s="20">
        <f t="shared" si="21"/>
        <v>-0.3125</v>
      </c>
      <c r="G1040" s="21">
        <f>IFERROR(VLOOKUP(B1040,DADOS!$A$2:$H$252,8,0),"")</f>
        <v>8</v>
      </c>
      <c r="H1040" s="22">
        <v>7.0</v>
      </c>
      <c r="I1040" s="23">
        <f>IFERROR(VLOOKUP(B1040,DADOS!$A$2:$H$252,4,0)*H1040,"")</f>
        <v>10.3776946</v>
      </c>
      <c r="J1040" s="36"/>
      <c r="K1040" s="25">
        <f>IFERROR(VLOOKUP(B1040,DADOS!$A$2:$H$252,4,0)*J1040,"")</f>
        <v>0</v>
      </c>
      <c r="L1040" s="26">
        <f t="shared" si="23"/>
        <v>0</v>
      </c>
      <c r="M1040" s="27"/>
      <c r="N1040" s="30"/>
      <c r="O1040" s="28"/>
      <c r="P1040" s="28"/>
      <c r="Q1040" s="28"/>
      <c r="R1040" s="28"/>
      <c r="S1040" s="28"/>
    </row>
    <row r="1041">
      <c r="A1041" s="17">
        <v>45702.0</v>
      </c>
      <c r="B1041" s="18" t="s">
        <v>71</v>
      </c>
      <c r="C1041" s="18" t="s">
        <v>166</v>
      </c>
      <c r="D1041" s="19"/>
      <c r="E1041" s="19">
        <v>0.5</v>
      </c>
      <c r="F1041" s="20">
        <f t="shared" si="21"/>
        <v>0.5</v>
      </c>
      <c r="G1041" s="21">
        <f>IFERROR(VLOOKUP(B1041,DADOS!$A$2:$H$252,8,0),"")</f>
        <v>7</v>
      </c>
      <c r="H1041" s="22">
        <v>12.0</v>
      </c>
      <c r="I1041" s="23">
        <f>IFERROR(VLOOKUP(B1041,DADOS!$A$2:$H$252,4,0)*H1041,"")</f>
        <v>16.8288744</v>
      </c>
      <c r="J1041" s="36"/>
      <c r="K1041" s="25">
        <f>IFERROR(VLOOKUP(B1041,DADOS!$A$2:$H$252,4,0)*J1041,"")</f>
        <v>0</v>
      </c>
      <c r="L1041" s="26">
        <f t="shared" si="23"/>
        <v>0</v>
      </c>
      <c r="M1041" s="27"/>
      <c r="N1041" s="30"/>
      <c r="O1041" s="28"/>
      <c r="P1041" s="28"/>
      <c r="Q1041" s="28"/>
      <c r="R1041" s="28"/>
      <c r="S1041" s="28"/>
    </row>
    <row r="1042">
      <c r="A1042" s="17">
        <v>45702.0</v>
      </c>
      <c r="B1042" s="18" t="s">
        <v>41</v>
      </c>
      <c r="C1042" s="18" t="s">
        <v>168</v>
      </c>
      <c r="D1042" s="19"/>
      <c r="E1042" s="19"/>
      <c r="F1042" s="20">
        <f t="shared" si="21"/>
        <v>0</v>
      </c>
      <c r="G1042" s="21">
        <f>IFERROR(VLOOKUP(B1042,DADOS!$A$2:$H$252,8,0),"")</f>
        <v>14</v>
      </c>
      <c r="H1042" s="22">
        <v>68.0</v>
      </c>
      <c r="I1042" s="23">
        <f>IFERROR(VLOOKUP(B1042,DADOS!$A$2:$H$252,4,0)*H1042,"")</f>
        <v>18.859392</v>
      </c>
      <c r="J1042" s="36"/>
      <c r="K1042" s="25">
        <f>IFERROR(VLOOKUP(B1042,DADOS!$A$2:$H$252,4,0)*J1042,"")</f>
        <v>0</v>
      </c>
      <c r="L1042" s="26">
        <f t="shared" si="23"/>
        <v>0</v>
      </c>
      <c r="M1042" s="27"/>
      <c r="N1042" s="30"/>
      <c r="O1042" s="28"/>
      <c r="P1042" s="28"/>
      <c r="Q1042" s="28"/>
      <c r="R1042" s="28"/>
      <c r="S1042" s="28"/>
    </row>
    <row r="1043">
      <c r="A1043" s="17">
        <v>45702.0</v>
      </c>
      <c r="B1043" s="18" t="s">
        <v>47</v>
      </c>
      <c r="C1043" s="18" t="s">
        <v>168</v>
      </c>
      <c r="D1043" s="19"/>
      <c r="E1043" s="19"/>
      <c r="F1043" s="20">
        <f t="shared" si="21"/>
        <v>0</v>
      </c>
      <c r="G1043" s="21">
        <f>IFERROR(VLOOKUP(B1043,DADOS!$A$2:$H$252,8,0),"")</f>
        <v>35</v>
      </c>
      <c r="H1043" s="22">
        <v>11.0</v>
      </c>
      <c r="I1043" s="23">
        <f>IFERROR(VLOOKUP(B1043,DADOS!$A$2:$H$252,4,0)*H1043,"")</f>
        <v>1.2532696</v>
      </c>
      <c r="J1043" s="24">
        <v>4.0</v>
      </c>
      <c r="K1043" s="25">
        <f>IFERROR(VLOOKUP(B1043,DADOS!$A$2:$H$252,4,0)*J1043,"")</f>
        <v>0.4557344</v>
      </c>
      <c r="L1043" s="26">
        <f t="shared" si="23"/>
        <v>0</v>
      </c>
      <c r="M1043" s="27"/>
      <c r="N1043" s="30"/>
      <c r="O1043" s="28"/>
      <c r="P1043" s="28"/>
      <c r="Q1043" s="28"/>
      <c r="R1043" s="28"/>
      <c r="S1043" s="28"/>
    </row>
    <row r="1044">
      <c r="A1044" s="17">
        <v>45702.0</v>
      </c>
      <c r="B1044" s="18" t="s">
        <v>18</v>
      </c>
      <c r="C1044" s="18" t="s">
        <v>165</v>
      </c>
      <c r="D1044" s="19"/>
      <c r="E1044" s="19"/>
      <c r="F1044" s="20">
        <f t="shared" si="21"/>
        <v>0</v>
      </c>
      <c r="G1044" s="21">
        <f>IFERROR(VLOOKUP(B1044,DADOS!$A$2:$H$252,8,0),"")</f>
        <v>21</v>
      </c>
      <c r="H1044" s="22">
        <v>121.0</v>
      </c>
      <c r="I1044" s="23">
        <f>IFERROR(VLOOKUP(B1044,DADOS!$A$2:$H$252,4,0)*H1044,"")</f>
        <v>35.448886</v>
      </c>
      <c r="J1044" s="24">
        <v>4.0</v>
      </c>
      <c r="K1044" s="25">
        <f>IFERROR(VLOOKUP(B1044,DADOS!$A$2:$H$252,4,0)*J1044,"")</f>
        <v>1.171864</v>
      </c>
      <c r="L1044" s="26">
        <f t="shared" si="23"/>
        <v>0</v>
      </c>
      <c r="M1044" s="27"/>
      <c r="N1044" s="30"/>
      <c r="O1044" s="28"/>
      <c r="P1044" s="28"/>
      <c r="Q1044" s="28"/>
      <c r="R1044" s="28"/>
      <c r="S1044" s="28"/>
    </row>
    <row r="1045">
      <c r="A1045" s="17">
        <v>45705.0</v>
      </c>
      <c r="B1045" s="18" t="s">
        <v>71</v>
      </c>
      <c r="C1045" s="18" t="s">
        <v>166</v>
      </c>
      <c r="D1045" s="19">
        <v>0.3194444444444444</v>
      </c>
      <c r="E1045" s="19"/>
      <c r="F1045" s="20">
        <f t="shared" si="21"/>
        <v>-0.3194444444</v>
      </c>
      <c r="G1045" s="21">
        <f>IFERROR(VLOOKUP(B1045,DADOS!$A$2:$H$252,8,0),"")</f>
        <v>7</v>
      </c>
      <c r="H1045" s="22">
        <v>3.0</v>
      </c>
      <c r="I1045" s="23">
        <f>IFERROR(VLOOKUP(B1045,DADOS!$A$2:$H$252,4,0)*H1045,"")</f>
        <v>4.2072186</v>
      </c>
      <c r="J1045" s="36"/>
      <c r="K1045" s="25">
        <f>IFERROR(VLOOKUP(B1045,DADOS!$A$2:$H$252,4,0)*J1045,"")</f>
        <v>0</v>
      </c>
      <c r="L1045" s="26">
        <f t="shared" si="23"/>
        <v>0</v>
      </c>
      <c r="M1045" s="27"/>
      <c r="N1045" s="30"/>
      <c r="O1045" s="28"/>
      <c r="P1045" s="28"/>
      <c r="Q1045" s="28"/>
      <c r="R1045" s="28"/>
      <c r="S1045" s="28"/>
    </row>
    <row r="1046">
      <c r="A1046" s="17">
        <v>45705.0</v>
      </c>
      <c r="B1046" s="18" t="s">
        <v>62</v>
      </c>
      <c r="C1046" s="18" t="s">
        <v>166</v>
      </c>
      <c r="D1046" s="19"/>
      <c r="E1046" s="19">
        <v>0.5</v>
      </c>
      <c r="F1046" s="20">
        <f t="shared" si="21"/>
        <v>0.5</v>
      </c>
      <c r="G1046" s="21">
        <f>IFERROR(VLOOKUP(B1046,DADOS!$A$2:$H$252,8,0),"")</f>
        <v>14</v>
      </c>
      <c r="H1046" s="22">
        <v>84.0</v>
      </c>
      <c r="I1046" s="23">
        <f>IFERROR(VLOOKUP(B1046,DADOS!$A$2:$H$252,4,0)*H1046,"")</f>
        <v>7.1382696</v>
      </c>
      <c r="J1046" s="36"/>
      <c r="K1046" s="25">
        <f>IFERROR(VLOOKUP(B1046,DADOS!$A$2:$H$252,4,0)*J1046,"")</f>
        <v>0</v>
      </c>
      <c r="L1046" s="26">
        <f t="shared" si="23"/>
        <v>0</v>
      </c>
      <c r="M1046" s="27"/>
      <c r="N1046" s="30"/>
      <c r="O1046" s="28"/>
      <c r="P1046" s="28"/>
      <c r="Q1046" s="28"/>
      <c r="R1046" s="28"/>
      <c r="S1046" s="28"/>
    </row>
    <row r="1047">
      <c r="A1047" s="17">
        <v>45705.0</v>
      </c>
      <c r="B1047" s="18" t="s">
        <v>47</v>
      </c>
      <c r="C1047" s="18" t="s">
        <v>168</v>
      </c>
      <c r="D1047" s="19"/>
      <c r="E1047" s="19"/>
      <c r="F1047" s="20">
        <f t="shared" si="21"/>
        <v>0</v>
      </c>
      <c r="G1047" s="21">
        <f>IFERROR(VLOOKUP(B1047,DADOS!$A$2:$H$252,8,0),"")</f>
        <v>35</v>
      </c>
      <c r="H1047" s="22">
        <v>44.0</v>
      </c>
      <c r="I1047" s="23">
        <f>IFERROR(VLOOKUP(B1047,DADOS!$A$2:$H$252,4,0)*H1047,"")</f>
        <v>5.0130784</v>
      </c>
      <c r="J1047" s="24">
        <v>4.0</v>
      </c>
      <c r="K1047" s="25">
        <f>IFERROR(VLOOKUP(B1047,DADOS!$A$2:$H$252,4,0)*J1047,"")</f>
        <v>0.4557344</v>
      </c>
      <c r="L1047" s="26">
        <f t="shared" si="23"/>
        <v>0</v>
      </c>
      <c r="M1047" s="27"/>
      <c r="N1047" s="30"/>
      <c r="O1047" s="28"/>
      <c r="P1047" s="28"/>
      <c r="Q1047" s="28"/>
      <c r="R1047" s="28"/>
      <c r="S1047" s="28"/>
    </row>
    <row r="1048">
      <c r="A1048" s="17">
        <v>45705.0</v>
      </c>
      <c r="B1048" s="18" t="s">
        <v>113</v>
      </c>
      <c r="C1048" s="18" t="s">
        <v>168</v>
      </c>
      <c r="D1048" s="19"/>
      <c r="E1048" s="19"/>
      <c r="F1048" s="20">
        <f t="shared" si="21"/>
        <v>0</v>
      </c>
      <c r="G1048" s="21">
        <f>IFERROR(VLOOKUP(B1048,DADOS!$A$2:$H$252,8,0),"")</f>
        <v>8</v>
      </c>
      <c r="H1048" s="22">
        <v>13.0</v>
      </c>
      <c r="I1048" s="23">
        <f>IFERROR(VLOOKUP(B1048,DADOS!$A$2:$H$252,4,0)*H1048,"")</f>
        <v>8.2747808</v>
      </c>
      <c r="J1048" s="24">
        <v>1.0</v>
      </c>
      <c r="K1048" s="25">
        <f>IFERROR(VLOOKUP(B1048,DADOS!$A$2:$H$252,4,0)*J1048,"")</f>
        <v>0.6365216</v>
      </c>
      <c r="L1048" s="26">
        <f t="shared" si="23"/>
        <v>0</v>
      </c>
      <c r="M1048" s="27"/>
      <c r="N1048" s="30"/>
      <c r="O1048" s="28"/>
      <c r="P1048" s="28"/>
      <c r="Q1048" s="28"/>
      <c r="R1048" s="28"/>
      <c r="S1048" s="28"/>
    </row>
    <row r="1049">
      <c r="A1049" s="17">
        <v>45705.0</v>
      </c>
      <c r="B1049" s="18" t="s">
        <v>16</v>
      </c>
      <c r="C1049" s="18" t="s">
        <v>19</v>
      </c>
      <c r="D1049" s="19"/>
      <c r="E1049" s="19"/>
      <c r="F1049" s="20">
        <f t="shared" si="21"/>
        <v>0</v>
      </c>
      <c r="G1049" s="21">
        <f>IFERROR(VLOOKUP(B1049,DADOS!$A$2:$H$252,8,0),"")</f>
        <v>150</v>
      </c>
      <c r="H1049" s="22">
        <v>148.0</v>
      </c>
      <c r="I1049" s="23">
        <f>IFERROR(VLOOKUP(B1049,DADOS!$A$2:$H$252,4,0)*H1049,"")</f>
        <v>4.2820544</v>
      </c>
      <c r="J1049" s="36"/>
      <c r="K1049" s="25">
        <f>IFERROR(VLOOKUP(B1049,DADOS!$A$2:$H$252,4,0)*J1049,"")</f>
        <v>0</v>
      </c>
      <c r="L1049" s="26">
        <f t="shared" si="23"/>
        <v>0</v>
      </c>
      <c r="M1049" s="27"/>
      <c r="N1049" s="30"/>
      <c r="O1049" s="28"/>
      <c r="P1049" s="28"/>
      <c r="Q1049" s="28"/>
      <c r="R1049" s="28"/>
      <c r="S1049" s="28"/>
    </row>
    <row r="1050">
      <c r="A1050" s="17">
        <v>45705.0</v>
      </c>
      <c r="B1050" s="18" t="s">
        <v>18</v>
      </c>
      <c r="C1050" s="18" t="s">
        <v>165</v>
      </c>
      <c r="D1050" s="19">
        <v>0.3125</v>
      </c>
      <c r="E1050" s="19">
        <v>0.71875</v>
      </c>
      <c r="F1050" s="20">
        <f t="shared" si="21"/>
        <v>0.40625</v>
      </c>
      <c r="G1050" s="21">
        <f>IFERROR(VLOOKUP(B1050,DADOS!$A$2:$H$252,8,0),"")</f>
        <v>21</v>
      </c>
      <c r="H1050" s="22">
        <v>107.0</v>
      </c>
      <c r="I1050" s="23">
        <f>IFERROR(VLOOKUP(B1050,DADOS!$A$2:$H$252,4,0)*H1050,"")</f>
        <v>31.347362</v>
      </c>
      <c r="J1050" s="36"/>
      <c r="K1050" s="25">
        <f>IFERROR(VLOOKUP(B1050,DADOS!$A$2:$H$252,4,0)*J1050,"")</f>
        <v>0</v>
      </c>
      <c r="L1050" s="26">
        <f t="shared" si="23"/>
        <v>0</v>
      </c>
      <c r="M1050" s="27"/>
      <c r="N1050" s="30"/>
      <c r="O1050" s="28"/>
      <c r="P1050" s="28"/>
      <c r="Q1050" s="28"/>
      <c r="R1050" s="28"/>
      <c r="S1050" s="28"/>
    </row>
    <row r="1051">
      <c r="A1051" s="17">
        <v>45706.0</v>
      </c>
      <c r="B1051" s="18" t="s">
        <v>71</v>
      </c>
      <c r="C1051" s="18" t="s">
        <v>166</v>
      </c>
      <c r="D1051" s="19"/>
      <c r="E1051" s="19"/>
      <c r="F1051" s="20">
        <f t="shared" si="21"/>
        <v>0</v>
      </c>
      <c r="G1051" s="21">
        <f>IFERROR(VLOOKUP(B1051,DADOS!$A$2:$H$252,8,0),"")</f>
        <v>7</v>
      </c>
      <c r="H1051" s="22">
        <v>10.0</v>
      </c>
      <c r="I1051" s="23">
        <f>IFERROR(VLOOKUP(B1051,DADOS!$A$2:$H$252,4,0)*H1051,"")</f>
        <v>14.024062</v>
      </c>
      <c r="J1051" s="36"/>
      <c r="K1051" s="25">
        <f>IFERROR(VLOOKUP(B1051,DADOS!$A$2:$H$252,4,0)*J1051,"")</f>
        <v>0</v>
      </c>
      <c r="L1051" s="26">
        <f t="shared" si="23"/>
        <v>0</v>
      </c>
      <c r="M1051" s="27"/>
      <c r="N1051" s="30"/>
      <c r="O1051" s="28"/>
      <c r="P1051" s="28"/>
      <c r="Q1051" s="28"/>
      <c r="R1051" s="28"/>
      <c r="S1051" s="28"/>
    </row>
    <row r="1052">
      <c r="A1052" s="17">
        <v>45706.0</v>
      </c>
      <c r="B1052" s="18" t="s">
        <v>113</v>
      </c>
      <c r="C1052" s="18" t="s">
        <v>168</v>
      </c>
      <c r="D1052" s="19"/>
      <c r="E1052" s="19"/>
      <c r="F1052" s="20">
        <f t="shared" si="21"/>
        <v>0</v>
      </c>
      <c r="G1052" s="21">
        <f>IFERROR(VLOOKUP(B1052,DADOS!$A$2:$H$252,8,0),"")</f>
        <v>8</v>
      </c>
      <c r="H1052" s="22">
        <v>11.0</v>
      </c>
      <c r="I1052" s="23">
        <f>IFERROR(VLOOKUP(B1052,DADOS!$A$2:$H$252,4,0)*H1052,"")</f>
        <v>7.0017376</v>
      </c>
      <c r="J1052" s="36"/>
      <c r="K1052" s="25">
        <f>IFERROR(VLOOKUP(B1052,DADOS!$A$2:$H$252,4,0)*J1052,"")</f>
        <v>0</v>
      </c>
      <c r="L1052" s="26">
        <f t="shared" si="23"/>
        <v>0</v>
      </c>
      <c r="M1052" s="27"/>
      <c r="N1052" s="30"/>
      <c r="O1052" s="28"/>
      <c r="P1052" s="28"/>
      <c r="Q1052" s="28"/>
      <c r="R1052" s="28"/>
      <c r="S1052" s="28"/>
    </row>
    <row r="1053">
      <c r="A1053" s="17">
        <v>45706.0</v>
      </c>
      <c r="B1053" s="18" t="s">
        <v>26</v>
      </c>
      <c r="C1053" s="18" t="s">
        <v>168</v>
      </c>
      <c r="D1053" s="19"/>
      <c r="E1053" s="19"/>
      <c r="F1053" s="20">
        <f t="shared" si="21"/>
        <v>0</v>
      </c>
      <c r="G1053" s="21">
        <f>IFERROR(VLOOKUP(B1053,DADOS!$A$2:$H$252,8,0),"")</f>
        <v>50</v>
      </c>
      <c r="H1053" s="22">
        <v>34.0</v>
      </c>
      <c r="I1053" s="23">
        <f>IFERROR(VLOOKUP(B1053,DADOS!$A$2:$H$252,4,0)*H1053,"")</f>
        <v>3.8737424</v>
      </c>
      <c r="J1053" s="24">
        <v>3.0</v>
      </c>
      <c r="K1053" s="25">
        <f>IFERROR(VLOOKUP(B1053,DADOS!$A$2:$H$252,4,0)*J1053,"")</f>
        <v>0.3418008</v>
      </c>
      <c r="L1053" s="26">
        <f t="shared" si="23"/>
        <v>0</v>
      </c>
      <c r="M1053" s="27"/>
      <c r="N1053" s="30"/>
      <c r="O1053" s="28"/>
      <c r="P1053" s="28"/>
      <c r="Q1053" s="28"/>
      <c r="R1053" s="28"/>
      <c r="S1053" s="28"/>
    </row>
    <row r="1054">
      <c r="A1054" s="17">
        <v>45706.0</v>
      </c>
      <c r="B1054" s="18" t="s">
        <v>48</v>
      </c>
      <c r="C1054" s="18" t="s">
        <v>168</v>
      </c>
      <c r="D1054" s="19"/>
      <c r="E1054" s="19"/>
      <c r="F1054" s="20">
        <f t="shared" si="21"/>
        <v>0</v>
      </c>
      <c r="G1054" s="21">
        <f>IFERROR(VLOOKUP(B1054,DADOS!$A$2:$H$252,8,0),"")</f>
        <v>6</v>
      </c>
      <c r="H1054" s="22">
        <v>1.0</v>
      </c>
      <c r="I1054" s="23">
        <f>IFERROR(VLOOKUP(B1054,DADOS!$A$2:$H$252,4,0)*H1054,"")</f>
        <v>0.1139336</v>
      </c>
      <c r="J1054" s="36"/>
      <c r="K1054" s="25">
        <f>IFERROR(VLOOKUP(B1054,DADOS!$A$2:$H$252,4,0)*J1054,"")</f>
        <v>0</v>
      </c>
      <c r="L1054" s="26">
        <f t="shared" si="23"/>
        <v>0</v>
      </c>
      <c r="M1054" s="27"/>
      <c r="N1054" s="30"/>
      <c r="O1054" s="28"/>
      <c r="P1054" s="28"/>
      <c r="Q1054" s="28"/>
      <c r="R1054" s="28"/>
      <c r="S1054" s="28"/>
    </row>
    <row r="1055">
      <c r="A1055" s="17">
        <v>45706.0</v>
      </c>
      <c r="B1055" s="18" t="s">
        <v>48</v>
      </c>
      <c r="C1055" s="18" t="s">
        <v>19</v>
      </c>
      <c r="D1055" s="19"/>
      <c r="E1055" s="19"/>
      <c r="F1055" s="20">
        <f t="shared" si="21"/>
        <v>0</v>
      </c>
      <c r="G1055" s="21">
        <f>IFERROR(VLOOKUP(B1055,DADOS!$A$2:$H$252,8,0),"")</f>
        <v>6</v>
      </c>
      <c r="H1055" s="22">
        <v>16.0</v>
      </c>
      <c r="I1055" s="23">
        <f>IFERROR(VLOOKUP(B1055,DADOS!$A$2:$H$252,4,0)*H1055,"")</f>
        <v>1.8229376</v>
      </c>
      <c r="J1055" s="36"/>
      <c r="K1055" s="25">
        <f>IFERROR(VLOOKUP(B1055,DADOS!$A$2:$H$252,4,0)*J1055,"")</f>
        <v>0</v>
      </c>
      <c r="L1055" s="26">
        <f t="shared" si="23"/>
        <v>0</v>
      </c>
      <c r="M1055" s="27"/>
      <c r="N1055" s="30"/>
      <c r="O1055" s="28"/>
      <c r="P1055" s="28"/>
      <c r="Q1055" s="28"/>
      <c r="R1055" s="28"/>
      <c r="S1055" s="28"/>
    </row>
    <row r="1056">
      <c r="A1056" s="17">
        <v>45706.0</v>
      </c>
      <c r="B1056" s="18" t="s">
        <v>18</v>
      </c>
      <c r="C1056" s="18" t="s">
        <v>165</v>
      </c>
      <c r="D1056" s="19"/>
      <c r="E1056" s="19"/>
      <c r="F1056" s="20">
        <f t="shared" si="21"/>
        <v>0</v>
      </c>
      <c r="G1056" s="21">
        <f>IFERROR(VLOOKUP(B1056,DADOS!$A$2:$H$252,8,0),"")</f>
        <v>21</v>
      </c>
      <c r="H1056" s="22">
        <v>53.0</v>
      </c>
      <c r="I1056" s="23">
        <f>IFERROR(VLOOKUP(B1056,DADOS!$A$2:$H$252,4,0)*H1056,"")</f>
        <v>15.527198</v>
      </c>
      <c r="J1056" s="36"/>
      <c r="K1056" s="25">
        <f>IFERROR(VLOOKUP(B1056,DADOS!$A$2:$H$252,4,0)*J1056,"")</f>
        <v>0</v>
      </c>
      <c r="L1056" s="26">
        <f t="shared" si="23"/>
        <v>0</v>
      </c>
      <c r="M1056" s="27"/>
      <c r="N1056" s="30"/>
      <c r="O1056" s="28"/>
      <c r="P1056" s="28"/>
      <c r="Q1056" s="28"/>
      <c r="R1056" s="28"/>
      <c r="S1056" s="28"/>
    </row>
    <row r="1057">
      <c r="A1057" s="17">
        <v>45706.0</v>
      </c>
      <c r="B1057" s="18" t="s">
        <v>25</v>
      </c>
      <c r="C1057" s="18" t="s">
        <v>165</v>
      </c>
      <c r="D1057" s="19"/>
      <c r="E1057" s="19"/>
      <c r="F1057" s="20">
        <f t="shared" si="21"/>
        <v>0</v>
      </c>
      <c r="G1057" s="21">
        <f>IFERROR(VLOOKUP(B1057,DADOS!$A$2:$H$252,8,0),"")</f>
        <v>40</v>
      </c>
      <c r="H1057" s="22">
        <v>50.0</v>
      </c>
      <c r="I1057" s="23">
        <f>IFERROR(VLOOKUP(B1057,DADOS!$A$2:$H$252,4,0)*H1057,"")</f>
        <v>5.1788</v>
      </c>
      <c r="J1057" s="24">
        <v>1.0</v>
      </c>
      <c r="K1057" s="25">
        <f>IFERROR(VLOOKUP(B1057,DADOS!$A$2:$H$252,4,0)*J1057,"")</f>
        <v>0.103576</v>
      </c>
      <c r="L1057" s="26">
        <f t="shared" si="23"/>
        <v>0</v>
      </c>
      <c r="M1057" s="27"/>
      <c r="N1057" s="30"/>
      <c r="O1057" s="28"/>
      <c r="P1057" s="28"/>
      <c r="Q1057" s="28"/>
      <c r="R1057" s="28"/>
      <c r="S1057" s="28"/>
    </row>
    <row r="1058">
      <c r="A1058" s="17">
        <v>45706.0</v>
      </c>
      <c r="B1058" s="18" t="s">
        <v>16</v>
      </c>
      <c r="C1058" s="18" t="s">
        <v>165</v>
      </c>
      <c r="D1058" s="19"/>
      <c r="E1058" s="19"/>
      <c r="F1058" s="20">
        <f t="shared" si="21"/>
        <v>0</v>
      </c>
      <c r="G1058" s="21">
        <f>IFERROR(VLOOKUP(B1058,DADOS!$A$2:$H$252,8,0),"")</f>
        <v>150</v>
      </c>
      <c r="H1058" s="22">
        <v>140.0</v>
      </c>
      <c r="I1058" s="23">
        <f>IFERROR(VLOOKUP(B1058,DADOS!$A$2:$H$252,4,0)*H1058,"")</f>
        <v>4.050592</v>
      </c>
      <c r="J1058" s="24">
        <v>5.0</v>
      </c>
      <c r="K1058" s="25">
        <f>IFERROR(VLOOKUP(B1058,DADOS!$A$2:$H$252,4,0)*J1058,"")</f>
        <v>0.144664</v>
      </c>
      <c r="L1058" s="26">
        <f t="shared" si="23"/>
        <v>0</v>
      </c>
      <c r="M1058" s="27"/>
      <c r="N1058" s="30"/>
      <c r="O1058" s="28"/>
      <c r="P1058" s="28"/>
      <c r="Q1058" s="28"/>
      <c r="R1058" s="28"/>
      <c r="S1058" s="28"/>
    </row>
    <row r="1059">
      <c r="A1059" s="43">
        <v>45706.0</v>
      </c>
      <c r="B1059" s="44" t="s">
        <v>100</v>
      </c>
      <c r="C1059" s="44" t="s">
        <v>80</v>
      </c>
      <c r="D1059" s="45"/>
      <c r="E1059" s="45"/>
      <c r="F1059" s="20">
        <f t="shared" si="21"/>
        <v>0</v>
      </c>
      <c r="G1059" s="46">
        <f>IFERROR(VLOOKUP(B1059,DADOS!$A$2:$H$252,8,0),"")</f>
        <v>15</v>
      </c>
      <c r="H1059" s="47"/>
      <c r="I1059" s="48">
        <f>IFERROR(VLOOKUP(B1059,DADOS!$A$2:$H$252,4,0)*H1059,"")</f>
        <v>0</v>
      </c>
      <c r="J1059" s="46">
        <v>5.0</v>
      </c>
      <c r="K1059" s="49">
        <f>IFERROR(VLOOKUP(B1059,DADOS!$A$2:$H$252,4,0)*J1059,"")</f>
        <v>0.739584</v>
      </c>
      <c r="L1059" s="50">
        <f t="shared" si="23"/>
        <v>0</v>
      </c>
      <c r="M1059" s="33" t="s">
        <v>39</v>
      </c>
      <c r="N1059" s="33" t="s">
        <v>84</v>
      </c>
      <c r="O1059" s="28"/>
      <c r="P1059" s="28"/>
      <c r="Q1059" s="28"/>
      <c r="R1059" s="28"/>
      <c r="S1059" s="28"/>
    </row>
    <row r="1060">
      <c r="A1060" s="43">
        <v>45706.0</v>
      </c>
      <c r="B1060" s="44" t="s">
        <v>75</v>
      </c>
      <c r="C1060" s="44" t="s">
        <v>80</v>
      </c>
      <c r="D1060" s="45"/>
      <c r="E1060" s="45"/>
      <c r="F1060" s="20">
        <f t="shared" si="21"/>
        <v>0</v>
      </c>
      <c r="G1060" s="46">
        <f>IFERROR(VLOOKUP(B1060,DADOS!$A$2:$H$252,8,0),"")</f>
        <v>23</v>
      </c>
      <c r="H1060" s="47"/>
      <c r="I1060" s="48">
        <f>IFERROR(VLOOKUP(B1060,DADOS!$A$2:$H$252,4,0)*H1060,"")</f>
        <v>0</v>
      </c>
      <c r="J1060" s="46">
        <v>1.0</v>
      </c>
      <c r="K1060" s="49">
        <f>IFERROR(VLOOKUP(B1060,DADOS!$A$2:$H$252,4,0)*J1060,"")</f>
        <v>0.1139336</v>
      </c>
      <c r="L1060" s="50">
        <f t="shared" si="23"/>
        <v>0</v>
      </c>
      <c r="M1060" s="33" t="s">
        <v>103</v>
      </c>
      <c r="N1060" s="33" t="s">
        <v>104</v>
      </c>
      <c r="O1060" s="28"/>
      <c r="P1060" s="28"/>
      <c r="Q1060" s="28"/>
      <c r="R1060" s="28"/>
      <c r="S1060" s="28"/>
    </row>
    <row r="1061">
      <c r="A1061" s="43">
        <v>45706.0</v>
      </c>
      <c r="B1061" s="44" t="s">
        <v>62</v>
      </c>
      <c r="C1061" s="44" t="s">
        <v>80</v>
      </c>
      <c r="D1061" s="45"/>
      <c r="E1061" s="45"/>
      <c r="F1061" s="20">
        <f t="shared" si="21"/>
        <v>0</v>
      </c>
      <c r="G1061" s="46">
        <f>IFERROR(VLOOKUP(B1061,DADOS!$A$2:$H$252,8,0),"")</f>
        <v>14</v>
      </c>
      <c r="H1061" s="47"/>
      <c r="I1061" s="48">
        <f>IFERROR(VLOOKUP(B1061,DADOS!$A$2:$H$252,4,0)*H1061,"")</f>
        <v>0</v>
      </c>
      <c r="J1061" s="46">
        <v>1.0</v>
      </c>
      <c r="K1061" s="49">
        <f>IFERROR(VLOOKUP(B1061,DADOS!$A$2:$H$252,4,0)*J1061,"")</f>
        <v>0.0849794</v>
      </c>
      <c r="L1061" s="50">
        <f t="shared" si="23"/>
        <v>0</v>
      </c>
      <c r="M1061" s="33" t="s">
        <v>83</v>
      </c>
      <c r="N1061" s="33" t="s">
        <v>88</v>
      </c>
      <c r="O1061" s="28"/>
      <c r="P1061" s="28"/>
      <c r="Q1061" s="28"/>
      <c r="R1061" s="28"/>
      <c r="S1061" s="28"/>
    </row>
    <row r="1062">
      <c r="A1062" s="43">
        <v>45706.0</v>
      </c>
      <c r="B1062" s="44" t="s">
        <v>96</v>
      </c>
      <c r="C1062" s="44" t="s">
        <v>80</v>
      </c>
      <c r="D1062" s="45"/>
      <c r="E1062" s="45"/>
      <c r="F1062" s="20">
        <f t="shared" si="21"/>
        <v>0</v>
      </c>
      <c r="G1062" s="46">
        <f>IFERROR(VLOOKUP(B1062,DADOS!$A$2:$H$252,8,0),"")</f>
        <v>27</v>
      </c>
      <c r="H1062" s="47"/>
      <c r="I1062" s="48">
        <f>IFERROR(VLOOKUP(B1062,DADOS!$A$2:$H$252,4,0)*H1062,"")</f>
        <v>0</v>
      </c>
      <c r="J1062" s="46">
        <v>1.0</v>
      </c>
      <c r="K1062" s="49">
        <f>IFERROR(VLOOKUP(B1062,DADOS!$A$2:$H$252,4,0)*J1062,"")</f>
        <v>0.09416</v>
      </c>
      <c r="L1062" s="50">
        <f t="shared" si="23"/>
        <v>0</v>
      </c>
      <c r="M1062" s="33" t="s">
        <v>83</v>
      </c>
      <c r="N1062" s="33" t="s">
        <v>88</v>
      </c>
      <c r="O1062" s="28"/>
      <c r="P1062" s="28"/>
      <c r="Q1062" s="28"/>
      <c r="R1062" s="28"/>
      <c r="S1062" s="28"/>
    </row>
    <row r="1063">
      <c r="A1063" s="43">
        <v>45706.0</v>
      </c>
      <c r="B1063" s="44" t="s">
        <v>58</v>
      </c>
      <c r="C1063" s="44" t="s">
        <v>80</v>
      </c>
      <c r="D1063" s="45"/>
      <c r="E1063" s="45"/>
      <c r="F1063" s="20">
        <f t="shared" si="21"/>
        <v>0</v>
      </c>
      <c r="G1063" s="46">
        <f>IFERROR(VLOOKUP(B1063,DADOS!$A$2:$H$252,8,0),"")</f>
        <v>31</v>
      </c>
      <c r="H1063" s="47"/>
      <c r="I1063" s="48">
        <f>IFERROR(VLOOKUP(B1063,DADOS!$A$2:$H$252,4,0)*H1063,"")</f>
        <v>0</v>
      </c>
      <c r="J1063" s="46">
        <v>1.0</v>
      </c>
      <c r="K1063" s="49">
        <f>IFERROR(VLOOKUP(B1063,DADOS!$A$2:$H$252,4,0)*J1063,"")</f>
        <v>0.1139336</v>
      </c>
      <c r="L1063" s="50">
        <f t="shared" si="23"/>
        <v>0</v>
      </c>
      <c r="M1063" s="33" t="s">
        <v>83</v>
      </c>
      <c r="N1063" s="33" t="s">
        <v>88</v>
      </c>
      <c r="O1063" s="28"/>
      <c r="P1063" s="28"/>
      <c r="Q1063" s="28"/>
      <c r="R1063" s="28"/>
      <c r="S1063" s="28"/>
    </row>
    <row r="1064">
      <c r="A1064" s="43">
        <v>45706.0</v>
      </c>
      <c r="B1064" s="44" t="s">
        <v>161</v>
      </c>
      <c r="C1064" s="44" t="s">
        <v>80</v>
      </c>
      <c r="D1064" s="45"/>
      <c r="E1064" s="45"/>
      <c r="F1064" s="20">
        <f t="shared" si="21"/>
        <v>0</v>
      </c>
      <c r="G1064" s="46">
        <f>IFERROR(VLOOKUP(B1064,DADOS!$A$2:$H$252,8,0),"")</f>
        <v>22</v>
      </c>
      <c r="H1064" s="47"/>
      <c r="I1064" s="48">
        <f>IFERROR(VLOOKUP(B1064,DADOS!$A$2:$H$252,4,0)*H1064,"")</f>
        <v>0</v>
      </c>
      <c r="J1064" s="46">
        <v>1.0</v>
      </c>
      <c r="K1064" s="49">
        <f>IFERROR(VLOOKUP(B1064,DADOS!$A$2:$H$252,4,0)*J1064,"")</f>
        <v>0.077254</v>
      </c>
      <c r="L1064" s="50">
        <f t="shared" si="23"/>
        <v>0</v>
      </c>
      <c r="M1064" s="33" t="s">
        <v>83</v>
      </c>
      <c r="N1064" s="33" t="s">
        <v>88</v>
      </c>
      <c r="O1064" s="28"/>
      <c r="P1064" s="28"/>
      <c r="Q1064" s="28"/>
      <c r="R1064" s="28"/>
      <c r="S1064" s="28"/>
    </row>
    <row r="1065">
      <c r="A1065" s="43">
        <v>45706.0</v>
      </c>
      <c r="B1065" s="44" t="s">
        <v>169</v>
      </c>
      <c r="C1065" s="44" t="s">
        <v>80</v>
      </c>
      <c r="D1065" s="45"/>
      <c r="E1065" s="45"/>
      <c r="F1065" s="20">
        <f t="shared" si="21"/>
        <v>0</v>
      </c>
      <c r="G1065" s="46">
        <f>IFERROR(VLOOKUP(B1065,DADOS!$A$2:$H$252,8,0),"")</f>
        <v>37</v>
      </c>
      <c r="H1065" s="47"/>
      <c r="I1065" s="48">
        <f>IFERROR(VLOOKUP(B1065,DADOS!$A$2:$H$252,4,0)*H1065,"")</f>
        <v>0</v>
      </c>
      <c r="J1065" s="46">
        <v>1.0</v>
      </c>
      <c r="K1065" s="49">
        <f>IFERROR(VLOOKUP(B1065,DADOS!$A$2:$H$252,4,0)*J1065,"")</f>
        <v>0.0415909</v>
      </c>
      <c r="L1065" s="50">
        <f t="shared" si="23"/>
        <v>0</v>
      </c>
      <c r="M1065" s="33" t="s">
        <v>83</v>
      </c>
      <c r="N1065" s="33" t="s">
        <v>87</v>
      </c>
      <c r="O1065" s="28"/>
      <c r="P1065" s="28"/>
      <c r="Q1065" s="28"/>
      <c r="R1065" s="28"/>
      <c r="S1065" s="28"/>
    </row>
    <row r="1066">
      <c r="A1066" s="43">
        <v>45706.0</v>
      </c>
      <c r="B1066" s="44" t="s">
        <v>26</v>
      </c>
      <c r="C1066" s="44" t="s">
        <v>80</v>
      </c>
      <c r="D1066" s="45"/>
      <c r="E1066" s="45"/>
      <c r="F1066" s="20">
        <f t="shared" si="21"/>
        <v>0</v>
      </c>
      <c r="G1066" s="46">
        <f>IFERROR(VLOOKUP(B1066,DADOS!$A$2:$H$252,8,0),"")</f>
        <v>50</v>
      </c>
      <c r="H1066" s="47"/>
      <c r="I1066" s="48">
        <f>IFERROR(VLOOKUP(B1066,DADOS!$A$2:$H$252,4,0)*H1066,"")</f>
        <v>0</v>
      </c>
      <c r="J1066" s="46">
        <v>5.0</v>
      </c>
      <c r="K1066" s="49">
        <f>IFERROR(VLOOKUP(B1066,DADOS!$A$2:$H$252,4,0)*J1066,"")</f>
        <v>0.569668</v>
      </c>
      <c r="L1066" s="50">
        <f t="shared" si="23"/>
        <v>0</v>
      </c>
      <c r="M1066" s="33" t="s">
        <v>39</v>
      </c>
      <c r="N1066" s="33" t="s">
        <v>170</v>
      </c>
      <c r="O1066" s="28"/>
      <c r="P1066" s="28"/>
      <c r="Q1066" s="28"/>
      <c r="R1066" s="28"/>
      <c r="S1066" s="28"/>
    </row>
    <row r="1067">
      <c r="A1067" s="43">
        <v>45706.0</v>
      </c>
      <c r="B1067" s="44" t="s">
        <v>18</v>
      </c>
      <c r="C1067" s="44" t="s">
        <v>80</v>
      </c>
      <c r="D1067" s="45"/>
      <c r="E1067" s="45"/>
      <c r="F1067" s="20">
        <f t="shared" si="21"/>
        <v>0</v>
      </c>
      <c r="G1067" s="46">
        <f>IFERROR(VLOOKUP(B1067,DADOS!$A$2:$H$252,8,0),"")</f>
        <v>21</v>
      </c>
      <c r="H1067" s="47"/>
      <c r="I1067" s="48">
        <f>IFERROR(VLOOKUP(B1067,DADOS!$A$2:$H$252,4,0)*H1067,"")</f>
        <v>0</v>
      </c>
      <c r="J1067" s="46">
        <v>1.0</v>
      </c>
      <c r="K1067" s="49">
        <f>IFERROR(VLOOKUP(B1067,DADOS!$A$2:$H$252,4,0)*J1067,"")</f>
        <v>0.292966</v>
      </c>
      <c r="L1067" s="50">
        <f t="shared" si="23"/>
        <v>0</v>
      </c>
      <c r="M1067" s="33" t="s">
        <v>83</v>
      </c>
      <c r="N1067" s="33" t="s">
        <v>85</v>
      </c>
      <c r="O1067" s="28"/>
      <c r="P1067" s="28"/>
      <c r="Q1067" s="28"/>
      <c r="R1067" s="28"/>
      <c r="S1067" s="28"/>
    </row>
    <row r="1068">
      <c r="A1068" s="17">
        <v>45707.0</v>
      </c>
      <c r="B1068" s="18" t="s">
        <v>71</v>
      </c>
      <c r="C1068" s="18" t="s">
        <v>166</v>
      </c>
      <c r="D1068" s="19">
        <v>0.3194444444444444</v>
      </c>
      <c r="E1068" s="19">
        <v>0.4930555555555556</v>
      </c>
      <c r="F1068" s="20">
        <f t="shared" si="21"/>
        <v>0.1736111111</v>
      </c>
      <c r="G1068" s="21">
        <f>IFERROR(VLOOKUP(B1068,DADOS!$A$2:$H$252,8,0),"")</f>
        <v>7</v>
      </c>
      <c r="H1068" s="22">
        <v>30.0</v>
      </c>
      <c r="I1068" s="23">
        <f>IFERROR(VLOOKUP(B1068,DADOS!$A$2:$H$252,4,0)*H1068,"")</f>
        <v>42.072186</v>
      </c>
      <c r="J1068" s="36"/>
      <c r="K1068" s="25">
        <f>IFERROR(VLOOKUP(B1068,DADOS!$A$2:$H$252,4,0)*J1068,"")</f>
        <v>0</v>
      </c>
      <c r="L1068" s="26">
        <f t="shared" si="23"/>
        <v>0</v>
      </c>
      <c r="M1068" s="27"/>
      <c r="N1068" s="30"/>
      <c r="O1068" s="28"/>
      <c r="P1068" s="28"/>
      <c r="Q1068" s="28"/>
      <c r="R1068" s="28"/>
      <c r="S1068" s="28"/>
    </row>
    <row r="1069">
      <c r="A1069" s="17">
        <v>45707.0</v>
      </c>
      <c r="B1069" s="18" t="s">
        <v>26</v>
      </c>
      <c r="C1069" s="18" t="s">
        <v>168</v>
      </c>
      <c r="D1069" s="19"/>
      <c r="E1069" s="19"/>
      <c r="F1069" s="20">
        <f t="shared" si="21"/>
        <v>0</v>
      </c>
      <c r="G1069" s="21">
        <f>IFERROR(VLOOKUP(B1069,DADOS!$A$2:$H$252,8,0),"")</f>
        <v>50</v>
      </c>
      <c r="H1069" s="22">
        <v>130.0</v>
      </c>
      <c r="I1069" s="23">
        <f>IFERROR(VLOOKUP(B1069,DADOS!$A$2:$H$252,4,0)*H1069,"")</f>
        <v>14.811368</v>
      </c>
      <c r="J1069" s="24">
        <v>5.0</v>
      </c>
      <c r="K1069" s="25">
        <f>IFERROR(VLOOKUP(B1069,DADOS!$A$2:$H$252,4,0)*J1069,"")</f>
        <v>0.569668</v>
      </c>
      <c r="L1069" s="26">
        <f t="shared" si="23"/>
        <v>0</v>
      </c>
      <c r="M1069" s="27"/>
      <c r="N1069" s="30"/>
      <c r="O1069" s="28"/>
      <c r="P1069" s="28"/>
      <c r="Q1069" s="28"/>
      <c r="R1069" s="28"/>
      <c r="S1069" s="28"/>
    </row>
    <row r="1070">
      <c r="A1070" s="17">
        <v>45707.0</v>
      </c>
      <c r="B1070" s="18" t="s">
        <v>48</v>
      </c>
      <c r="C1070" s="18" t="s">
        <v>19</v>
      </c>
      <c r="D1070" s="19"/>
      <c r="E1070" s="19"/>
      <c r="F1070" s="20">
        <f t="shared" si="21"/>
        <v>0</v>
      </c>
      <c r="G1070" s="21">
        <f>IFERROR(VLOOKUP(B1070,DADOS!$A$2:$H$252,8,0),"")</f>
        <v>6</v>
      </c>
      <c r="H1070" s="22">
        <v>7.0</v>
      </c>
      <c r="I1070" s="23">
        <f>IFERROR(VLOOKUP(B1070,DADOS!$A$2:$H$252,4,0)*H1070,"")</f>
        <v>0.7975352</v>
      </c>
      <c r="J1070" s="24">
        <v>1.0</v>
      </c>
      <c r="K1070" s="25">
        <f>IFERROR(VLOOKUP(B1070,DADOS!$A$2:$H$252,4,0)*J1070,"")</f>
        <v>0.1139336</v>
      </c>
      <c r="L1070" s="26">
        <f t="shared" si="23"/>
        <v>0</v>
      </c>
      <c r="M1070" s="27"/>
      <c r="N1070" s="30"/>
      <c r="O1070" s="28"/>
      <c r="P1070" s="28"/>
      <c r="Q1070" s="28"/>
      <c r="R1070" s="28"/>
      <c r="S1070" s="28"/>
    </row>
    <row r="1071">
      <c r="A1071" s="17">
        <v>45707.0</v>
      </c>
      <c r="B1071" s="18" t="s">
        <v>25</v>
      </c>
      <c r="C1071" s="18" t="s">
        <v>165</v>
      </c>
      <c r="D1071" s="19"/>
      <c r="E1071" s="19"/>
      <c r="F1071" s="20">
        <f t="shared" si="21"/>
        <v>0</v>
      </c>
      <c r="G1071" s="21">
        <f>IFERROR(VLOOKUP(B1071,DADOS!$A$2:$H$252,8,0),"")</f>
        <v>40</v>
      </c>
      <c r="H1071" s="22">
        <v>135.0</v>
      </c>
      <c r="I1071" s="23">
        <f>IFERROR(VLOOKUP(B1071,DADOS!$A$2:$H$252,4,0)*H1071,"")</f>
        <v>13.98276</v>
      </c>
      <c r="J1071" s="36"/>
      <c r="K1071" s="25">
        <f>IFERROR(VLOOKUP(B1071,DADOS!$A$2:$H$252,4,0)*J1071,"")</f>
        <v>0</v>
      </c>
      <c r="L1071" s="26">
        <f t="shared" si="23"/>
        <v>0</v>
      </c>
      <c r="M1071" s="27"/>
      <c r="N1071" s="30"/>
      <c r="O1071" s="28"/>
      <c r="P1071" s="28"/>
      <c r="Q1071" s="28"/>
      <c r="R1071" s="28"/>
      <c r="S1071" s="28"/>
    </row>
    <row r="1072">
      <c r="A1072" s="17">
        <v>45707.0</v>
      </c>
      <c r="B1072" s="18" t="s">
        <v>16</v>
      </c>
      <c r="C1072" s="18" t="s">
        <v>165</v>
      </c>
      <c r="D1072" s="19"/>
      <c r="E1072" s="19"/>
      <c r="F1072" s="20">
        <f t="shared" si="21"/>
        <v>0</v>
      </c>
      <c r="G1072" s="21">
        <f>IFERROR(VLOOKUP(B1072,DADOS!$A$2:$H$252,8,0),"")</f>
        <v>150</v>
      </c>
      <c r="H1072" s="22">
        <v>246.0</v>
      </c>
      <c r="I1072" s="23">
        <f>IFERROR(VLOOKUP(B1072,DADOS!$A$2:$H$252,4,0)*H1072,"")</f>
        <v>7.1174688</v>
      </c>
      <c r="J1072" s="36"/>
      <c r="K1072" s="25">
        <f>IFERROR(VLOOKUP(B1072,DADOS!$A$2:$H$252,4,0)*J1072,"")</f>
        <v>0</v>
      </c>
      <c r="L1072" s="26">
        <f t="shared" si="23"/>
        <v>0</v>
      </c>
      <c r="M1072" s="27"/>
      <c r="N1072" s="30"/>
      <c r="O1072" s="28"/>
      <c r="P1072" s="28"/>
      <c r="Q1072" s="28"/>
      <c r="R1072" s="28"/>
      <c r="S1072" s="28"/>
    </row>
    <row r="1073">
      <c r="A1073" s="17">
        <v>45708.0</v>
      </c>
      <c r="B1073" s="18" t="s">
        <v>159</v>
      </c>
      <c r="C1073" s="18" t="s">
        <v>166</v>
      </c>
      <c r="D1073" s="19">
        <v>0.3125</v>
      </c>
      <c r="E1073" s="19">
        <v>0.5</v>
      </c>
      <c r="F1073" s="20">
        <f t="shared" si="21"/>
        <v>0.1875</v>
      </c>
      <c r="G1073" s="21">
        <f>IFERROR(VLOOKUP(B1073,DADOS!$A$2:$H$252,8,0),"")</f>
        <v>8</v>
      </c>
      <c r="H1073" s="22">
        <v>17.0</v>
      </c>
      <c r="I1073" s="23">
        <f>IFERROR(VLOOKUP(B1073,DADOS!$A$2:$H$252,4,0)*H1073,"")</f>
        <v>25.2029726</v>
      </c>
      <c r="J1073" s="36"/>
      <c r="K1073" s="25">
        <f>IFERROR(VLOOKUP(B1073,DADOS!$A$2:$H$252,4,0)*J1073,"")</f>
        <v>0</v>
      </c>
      <c r="L1073" s="26">
        <f t="shared" si="23"/>
        <v>0</v>
      </c>
      <c r="M1073" s="27"/>
      <c r="N1073" s="30"/>
      <c r="O1073" s="28"/>
      <c r="P1073" s="28"/>
      <c r="Q1073" s="28"/>
      <c r="R1073" s="28"/>
      <c r="S1073" s="28"/>
    </row>
    <row r="1074">
      <c r="A1074" s="17">
        <v>45708.0</v>
      </c>
      <c r="B1074" s="18" t="s">
        <v>155</v>
      </c>
      <c r="C1074" s="18" t="s">
        <v>168</v>
      </c>
      <c r="D1074" s="19">
        <v>0.5555555555555556</v>
      </c>
      <c r="E1074" s="19">
        <v>0.6875</v>
      </c>
      <c r="F1074" s="20">
        <f t="shared" si="21"/>
        <v>0.1319444444</v>
      </c>
      <c r="G1074" s="21">
        <f>IFERROR(VLOOKUP(B1074,DADOS!$A$2:$H$252,8,0),"")</f>
        <v>18</v>
      </c>
      <c r="H1074" s="22">
        <v>40.0</v>
      </c>
      <c r="I1074" s="23">
        <f>IFERROR(VLOOKUP(B1074,DADOS!$A$2:$H$252,4,0)*H1074,"")</f>
        <v>15.82744</v>
      </c>
      <c r="J1074" s="36"/>
      <c r="K1074" s="25">
        <f>IFERROR(VLOOKUP(B1074,DADOS!$A$2:$H$252,4,0)*J1074,"")</f>
        <v>0</v>
      </c>
      <c r="L1074" s="26">
        <f t="shared" si="23"/>
        <v>0</v>
      </c>
      <c r="M1074" s="27"/>
      <c r="N1074" s="30"/>
      <c r="O1074" s="28"/>
      <c r="P1074" s="28"/>
      <c r="Q1074" s="28"/>
      <c r="R1074" s="28"/>
      <c r="S1074" s="28"/>
    </row>
    <row r="1075">
      <c r="A1075" s="17">
        <v>45708.0</v>
      </c>
      <c r="B1075" s="18" t="s">
        <v>156</v>
      </c>
      <c r="C1075" s="18" t="s">
        <v>165</v>
      </c>
      <c r="D1075" s="19">
        <v>0.3194444444444444</v>
      </c>
      <c r="E1075" s="19"/>
      <c r="F1075" s="20">
        <f t="shared" si="21"/>
        <v>-0.3194444444</v>
      </c>
      <c r="G1075" s="21">
        <f>IFERROR(VLOOKUP(B1075,DADOS!$A$2:$H$252,8,0),"")</f>
        <v>25</v>
      </c>
      <c r="H1075" s="22">
        <v>49.0</v>
      </c>
      <c r="I1075" s="23">
        <f>IFERROR(VLOOKUP(B1075,DADOS!$A$2:$H$252,4,0)*H1075,"")</f>
        <v>3.35552</v>
      </c>
      <c r="J1075" s="24">
        <v>1.0</v>
      </c>
      <c r="K1075" s="25">
        <f>IFERROR(VLOOKUP(B1075,DADOS!$A$2:$H$252,4,0)*J1075,"")</f>
        <v>0.06848</v>
      </c>
      <c r="L1075" s="26">
        <f t="shared" si="23"/>
        <v>0</v>
      </c>
      <c r="M1075" s="27"/>
      <c r="N1075" s="30"/>
      <c r="O1075" s="28"/>
      <c r="P1075" s="28"/>
      <c r="Q1075" s="28"/>
      <c r="R1075" s="28"/>
      <c r="S1075" s="28"/>
    </row>
    <row r="1076">
      <c r="A1076" s="17">
        <v>45708.0</v>
      </c>
      <c r="B1076" s="18" t="s">
        <v>16</v>
      </c>
      <c r="C1076" s="18" t="s">
        <v>165</v>
      </c>
      <c r="D1076" s="19"/>
      <c r="E1076" s="19"/>
      <c r="F1076" s="20">
        <f t="shared" si="21"/>
        <v>0</v>
      </c>
      <c r="G1076" s="21">
        <f>IFERROR(VLOOKUP(B1076,DADOS!$A$2:$H$252,8,0),"")</f>
        <v>150</v>
      </c>
      <c r="H1076" s="22">
        <v>142.0</v>
      </c>
      <c r="I1076" s="23">
        <f>IFERROR(VLOOKUP(B1076,DADOS!$A$2:$H$252,4,0)*H1076,"")</f>
        <v>4.1084576</v>
      </c>
      <c r="J1076" s="24">
        <v>8.0</v>
      </c>
      <c r="K1076" s="25">
        <f>IFERROR(VLOOKUP(B1076,DADOS!$A$2:$H$252,4,0)*J1076,"")</f>
        <v>0.2314624</v>
      </c>
      <c r="L1076" s="26">
        <f t="shared" si="23"/>
        <v>0</v>
      </c>
      <c r="M1076" s="27"/>
      <c r="N1076" s="30"/>
      <c r="O1076" s="28"/>
      <c r="P1076" s="28"/>
      <c r="Q1076" s="28"/>
      <c r="R1076" s="28"/>
      <c r="S1076" s="28"/>
    </row>
    <row r="1077">
      <c r="A1077" s="17">
        <v>45708.0</v>
      </c>
      <c r="B1077" s="18" t="s">
        <v>109</v>
      </c>
      <c r="C1077" s="18" t="s">
        <v>165</v>
      </c>
      <c r="D1077" s="19"/>
      <c r="E1077" s="19">
        <v>0.71875</v>
      </c>
      <c r="F1077" s="20">
        <f t="shared" si="21"/>
        <v>0.71875</v>
      </c>
      <c r="G1077" s="21" t="str">
        <f>IFERROR(VLOOKUP(B1077,DADOS!$A$2:$H$252,8,0),"")</f>
        <v/>
      </c>
      <c r="H1077" s="22">
        <v>33.0</v>
      </c>
      <c r="I1077" s="23" t="str">
        <f>IFERROR(VLOOKUP(B1077,DADOS!$A$2:$H$252,4,0)*H1077,"")</f>
        <v/>
      </c>
      <c r="J1077" s="24">
        <v>1.0</v>
      </c>
      <c r="K1077" s="25" t="str">
        <f>IFERROR(VLOOKUP(B1077,DADOS!$A$2:$H$252,4,0)*J1077,"")</f>
        <v/>
      </c>
      <c r="L1077" s="26" t="str">
        <f t="shared" si="23"/>
        <v/>
      </c>
      <c r="M1077" s="27"/>
      <c r="N1077" s="30"/>
      <c r="O1077" s="28"/>
      <c r="P1077" s="28"/>
      <c r="Q1077" s="28"/>
      <c r="R1077" s="28"/>
      <c r="S1077" s="28"/>
    </row>
    <row r="1078">
      <c r="A1078" s="17">
        <v>45709.0</v>
      </c>
      <c r="B1078" s="18" t="s">
        <v>159</v>
      </c>
      <c r="C1078" s="18" t="s">
        <v>166</v>
      </c>
      <c r="D1078" s="19">
        <v>0.3194444444444444</v>
      </c>
      <c r="E1078" s="19"/>
      <c r="F1078" s="20">
        <f t="shared" si="21"/>
        <v>-0.3194444444</v>
      </c>
      <c r="G1078" s="21">
        <f>IFERROR(VLOOKUP(B1078,DADOS!$A$2:$H$252,8,0),"")</f>
        <v>8</v>
      </c>
      <c r="H1078" s="22">
        <v>3.0</v>
      </c>
      <c r="I1078" s="23">
        <f>IFERROR(VLOOKUP(B1078,DADOS!$A$2:$H$252,4,0)*H1078,"")</f>
        <v>4.4475834</v>
      </c>
      <c r="J1078" s="36"/>
      <c r="K1078" s="25">
        <f>IFERROR(VLOOKUP(B1078,DADOS!$A$2:$H$252,4,0)*J1078,"")</f>
        <v>0</v>
      </c>
      <c r="L1078" s="26">
        <f t="shared" si="23"/>
        <v>0</v>
      </c>
      <c r="M1078" s="27"/>
      <c r="N1078" s="30"/>
      <c r="O1078" s="28"/>
      <c r="P1078" s="28"/>
      <c r="Q1078" s="28"/>
      <c r="R1078" s="28"/>
      <c r="S1078" s="28"/>
    </row>
    <row r="1079">
      <c r="A1079" s="17">
        <v>45709.0</v>
      </c>
      <c r="B1079" s="18" t="s">
        <v>62</v>
      </c>
      <c r="C1079" s="18" t="s">
        <v>166</v>
      </c>
      <c r="D1079" s="19"/>
      <c r="E1079" s="19">
        <v>0.5034722222222222</v>
      </c>
      <c r="F1079" s="20">
        <f t="shared" si="21"/>
        <v>0.5034722222</v>
      </c>
      <c r="G1079" s="21">
        <f>IFERROR(VLOOKUP(B1079,DADOS!$A$2:$H$252,8,0),"")</f>
        <v>14</v>
      </c>
      <c r="H1079" s="22">
        <v>94.0</v>
      </c>
      <c r="I1079" s="23">
        <f>IFERROR(VLOOKUP(B1079,DADOS!$A$2:$H$252,4,0)*H1079,"")</f>
        <v>7.9880636</v>
      </c>
      <c r="J1079" s="36"/>
      <c r="K1079" s="25">
        <f>IFERROR(VLOOKUP(B1079,DADOS!$A$2:$H$252,4,0)*J1079,"")</f>
        <v>0</v>
      </c>
      <c r="L1079" s="26">
        <f t="shared" si="23"/>
        <v>0</v>
      </c>
      <c r="M1079" s="27"/>
      <c r="N1079" s="30"/>
      <c r="O1079" s="28"/>
      <c r="P1079" s="28"/>
      <c r="Q1079" s="28"/>
      <c r="R1079" s="28"/>
      <c r="S1079" s="28"/>
    </row>
    <row r="1080">
      <c r="A1080" s="17">
        <v>45709.0</v>
      </c>
      <c r="B1080" s="18" t="s">
        <v>16</v>
      </c>
      <c r="C1080" s="18" t="s">
        <v>168</v>
      </c>
      <c r="D1080" s="19"/>
      <c r="E1080" s="19"/>
      <c r="F1080" s="20">
        <f t="shared" si="21"/>
        <v>0</v>
      </c>
      <c r="G1080" s="21">
        <f>IFERROR(VLOOKUP(B1080,DADOS!$A$2:$H$252,8,0),"")</f>
        <v>150</v>
      </c>
      <c r="H1080" s="22">
        <v>327.0</v>
      </c>
      <c r="I1080" s="23">
        <f>IFERROR(VLOOKUP(B1080,DADOS!$A$2:$H$252,4,0)*H1080,"")</f>
        <v>9.4610256</v>
      </c>
      <c r="J1080" s="24">
        <v>10.0</v>
      </c>
      <c r="K1080" s="25">
        <f>IFERROR(VLOOKUP(B1080,DADOS!$A$2:$H$252,4,0)*J1080,"")</f>
        <v>0.289328</v>
      </c>
      <c r="L1080" s="26">
        <f t="shared" si="23"/>
        <v>0</v>
      </c>
      <c r="M1080" s="27"/>
      <c r="N1080" s="30"/>
      <c r="O1080" s="28"/>
      <c r="P1080" s="28"/>
      <c r="Q1080" s="28"/>
      <c r="R1080" s="28"/>
      <c r="S1080" s="28"/>
    </row>
    <row r="1081">
      <c r="A1081" s="17">
        <v>45709.0</v>
      </c>
      <c r="B1081" s="18" t="s">
        <v>109</v>
      </c>
      <c r="C1081" s="18" t="s">
        <v>165</v>
      </c>
      <c r="D1081" s="19"/>
      <c r="E1081" s="19"/>
      <c r="F1081" s="20">
        <f t="shared" si="21"/>
        <v>0</v>
      </c>
      <c r="G1081" s="21" t="str">
        <f>IFERROR(VLOOKUP(B1081,DADOS!$A$2:$H$252,8,0),"")</f>
        <v/>
      </c>
      <c r="H1081" s="22">
        <v>23.0</v>
      </c>
      <c r="I1081" s="23" t="str">
        <f>IFERROR(VLOOKUP(B1081,DADOS!$A$2:$H$252,4,0)*H1081,"")</f>
        <v/>
      </c>
      <c r="J1081" s="24">
        <v>4.0</v>
      </c>
      <c r="K1081" s="25" t="str">
        <f>IFERROR(VLOOKUP(B1081,DADOS!$A$2:$H$252,4,0)*J1081,"")</f>
        <v/>
      </c>
      <c r="L1081" s="26" t="str">
        <f t="shared" si="23"/>
        <v/>
      </c>
      <c r="M1081" s="27"/>
      <c r="N1081" s="30"/>
      <c r="O1081" s="28"/>
      <c r="P1081" s="28"/>
      <c r="Q1081" s="28"/>
      <c r="R1081" s="28"/>
      <c r="S1081" s="28"/>
    </row>
    <row r="1082">
      <c r="A1082" s="17">
        <v>45712.0</v>
      </c>
      <c r="B1082" s="18" t="s">
        <v>16</v>
      </c>
      <c r="C1082" s="18" t="s">
        <v>168</v>
      </c>
      <c r="D1082" s="19"/>
      <c r="E1082" s="19"/>
      <c r="F1082" s="20">
        <f t="shared" si="21"/>
        <v>0</v>
      </c>
      <c r="G1082" s="21">
        <f>IFERROR(VLOOKUP(B1082,DADOS!$A$2:$H$252,8,0),"")</f>
        <v>150</v>
      </c>
      <c r="H1082" s="22">
        <v>750.0</v>
      </c>
      <c r="I1082" s="23">
        <f>IFERROR(VLOOKUP(B1082,DADOS!$A$2:$H$252,4,0)*H1082,"")</f>
        <v>21.6996</v>
      </c>
      <c r="J1082" s="24">
        <v>6.0</v>
      </c>
      <c r="K1082" s="25">
        <f>IFERROR(VLOOKUP(B1082,DADOS!$A$2:$H$252,4,0)*J1082,"")</f>
        <v>0.1735968</v>
      </c>
      <c r="L1082" s="26">
        <f t="shared" si="23"/>
        <v>0</v>
      </c>
      <c r="M1082" s="27"/>
      <c r="N1082" s="30"/>
      <c r="O1082" s="28"/>
      <c r="P1082" s="28"/>
      <c r="Q1082" s="28"/>
      <c r="R1082" s="28"/>
      <c r="S1082" s="28"/>
    </row>
    <row r="1083">
      <c r="A1083" s="17">
        <v>45712.0</v>
      </c>
      <c r="B1083" s="18" t="s">
        <v>72</v>
      </c>
      <c r="C1083" s="18" t="s">
        <v>168</v>
      </c>
      <c r="D1083" s="19"/>
      <c r="E1083" s="19"/>
      <c r="F1083" s="20">
        <f t="shared" si="21"/>
        <v>0</v>
      </c>
      <c r="G1083" s="21">
        <f>IFERROR(VLOOKUP(B1083,DADOS!$A$2:$H$252,8,0),"")</f>
        <v>43</v>
      </c>
      <c r="H1083" s="22">
        <v>34.0</v>
      </c>
      <c r="I1083" s="23">
        <f>IFERROR(VLOOKUP(B1083,DADOS!$A$2:$H$252,4,0)*H1083,"")</f>
        <v>0.58208</v>
      </c>
      <c r="J1083" s="24">
        <v>1.0</v>
      </c>
      <c r="K1083" s="25">
        <f>IFERROR(VLOOKUP(B1083,DADOS!$A$2:$H$252,4,0)*J1083,"")</f>
        <v>0.01712</v>
      </c>
      <c r="L1083" s="26">
        <f t="shared" si="23"/>
        <v>0</v>
      </c>
      <c r="M1083" s="27"/>
      <c r="N1083" s="30"/>
      <c r="O1083" s="28"/>
      <c r="P1083" s="28"/>
      <c r="Q1083" s="28"/>
      <c r="R1083" s="28"/>
      <c r="S1083" s="28"/>
    </row>
    <row r="1084">
      <c r="A1084" s="17">
        <v>45712.0</v>
      </c>
      <c r="B1084" s="18" t="s">
        <v>50</v>
      </c>
      <c r="C1084" s="18" t="s">
        <v>19</v>
      </c>
      <c r="D1084" s="19"/>
      <c r="E1084" s="19"/>
      <c r="F1084" s="20">
        <f t="shared" si="21"/>
        <v>0</v>
      </c>
      <c r="G1084" s="21">
        <f>IFERROR(VLOOKUP(B1084,DADOS!$A$2:$H$252,8,0),"")</f>
        <v>8</v>
      </c>
      <c r="H1084" s="22">
        <v>19.0</v>
      </c>
      <c r="I1084" s="23">
        <f>IFERROR(VLOOKUP(B1084,DADOS!$A$2:$H$252,4,0)*H1084,"")</f>
        <v>13.7056728</v>
      </c>
      <c r="J1084" s="24">
        <v>1.0</v>
      </c>
      <c r="K1084" s="25">
        <f>IFERROR(VLOOKUP(B1084,DADOS!$A$2:$H$252,4,0)*J1084,"")</f>
        <v>0.7213512</v>
      </c>
      <c r="L1084" s="26">
        <f t="shared" si="23"/>
        <v>0</v>
      </c>
      <c r="M1084" s="27"/>
      <c r="N1084" s="30"/>
      <c r="O1084" s="28"/>
      <c r="P1084" s="28"/>
      <c r="Q1084" s="28"/>
      <c r="R1084" s="28"/>
      <c r="S1084" s="28"/>
    </row>
    <row r="1085">
      <c r="A1085" s="17">
        <v>45712.0</v>
      </c>
      <c r="B1085" s="18" t="s">
        <v>51</v>
      </c>
      <c r="C1085" s="18" t="s">
        <v>165</v>
      </c>
      <c r="D1085" s="19"/>
      <c r="E1085" s="19"/>
      <c r="F1085" s="20">
        <f t="shared" si="21"/>
        <v>0</v>
      </c>
      <c r="G1085" s="21">
        <f>IFERROR(VLOOKUP(B1085,DADOS!$A$2:$H$252,8,0),"")</f>
        <v>28</v>
      </c>
      <c r="H1085" s="22">
        <v>101.0</v>
      </c>
      <c r="I1085" s="23">
        <f>IFERROR(VLOOKUP(B1085,DADOS!$A$2:$H$252,4,0)*H1085,"")</f>
        <v>11.5072936</v>
      </c>
      <c r="J1085" s="24">
        <v>3.0</v>
      </c>
      <c r="K1085" s="25">
        <f>IFERROR(VLOOKUP(B1085,DADOS!$A$2:$H$252,4,0)*J1085,"")</f>
        <v>0.3418008</v>
      </c>
      <c r="L1085" s="26">
        <f t="shared" si="23"/>
        <v>0</v>
      </c>
      <c r="M1085" s="27"/>
      <c r="N1085" s="30"/>
      <c r="O1085" s="28"/>
      <c r="P1085" s="28"/>
      <c r="Q1085" s="28"/>
      <c r="R1085" s="28"/>
      <c r="S1085" s="28"/>
    </row>
    <row r="1086">
      <c r="A1086" s="17">
        <v>45712.0</v>
      </c>
      <c r="B1086" s="18" t="s">
        <v>137</v>
      </c>
      <c r="C1086" s="18" t="s">
        <v>165</v>
      </c>
      <c r="D1086" s="19"/>
      <c r="E1086" s="19"/>
      <c r="F1086" s="20">
        <f t="shared" si="21"/>
        <v>0</v>
      </c>
      <c r="G1086" s="21">
        <f>IFERROR(VLOOKUP(B1086,DADOS!$A$2:$H$252,8,0),"")</f>
        <v>12</v>
      </c>
      <c r="H1086" s="22">
        <v>2.0</v>
      </c>
      <c r="I1086" s="23">
        <f>IFERROR(VLOOKUP(B1086,DADOS!$A$2:$H$252,4,0)*H1086,"")</f>
        <v>0.2278672</v>
      </c>
      <c r="J1086" s="36"/>
      <c r="K1086" s="25">
        <f>IFERROR(VLOOKUP(B1086,DADOS!$A$2:$H$252,4,0)*J1086,"")</f>
        <v>0</v>
      </c>
      <c r="L1086" s="26">
        <f t="shared" si="23"/>
        <v>0</v>
      </c>
      <c r="M1086" s="27"/>
      <c r="N1086" s="30"/>
      <c r="O1086" s="28"/>
      <c r="P1086" s="28"/>
      <c r="Q1086" s="28"/>
      <c r="R1086" s="28"/>
      <c r="S1086" s="28"/>
    </row>
    <row r="1087">
      <c r="A1087" s="17">
        <v>45713.0</v>
      </c>
      <c r="B1087" s="18" t="s">
        <v>159</v>
      </c>
      <c r="C1087" s="18" t="s">
        <v>166</v>
      </c>
      <c r="D1087" s="19">
        <v>0.3194444444444444</v>
      </c>
      <c r="E1087" s="19">
        <v>0.4965277777777778</v>
      </c>
      <c r="F1087" s="20">
        <f t="shared" si="21"/>
        <v>0.1770833333</v>
      </c>
      <c r="G1087" s="21">
        <f>IFERROR(VLOOKUP(B1087,DADOS!$A$2:$H$252,8,0),"")</f>
        <v>8</v>
      </c>
      <c r="H1087" s="22">
        <v>20.0</v>
      </c>
      <c r="I1087" s="23">
        <f>IFERROR(VLOOKUP(B1087,DADOS!$A$2:$H$252,4,0)*H1087,"")</f>
        <v>29.650556</v>
      </c>
      <c r="J1087" s="36"/>
      <c r="K1087" s="25">
        <f>IFERROR(VLOOKUP(B1087,DADOS!$A$2:$H$252,4,0)*J1087,"")</f>
        <v>0</v>
      </c>
      <c r="L1087" s="26">
        <f t="shared" si="23"/>
        <v>0</v>
      </c>
      <c r="M1087" s="27"/>
      <c r="N1087" s="30"/>
      <c r="O1087" s="28"/>
      <c r="P1087" s="28"/>
      <c r="Q1087" s="28"/>
      <c r="R1087" s="28"/>
      <c r="S1087" s="28"/>
    </row>
    <row r="1088">
      <c r="A1088" s="17">
        <v>45713.0</v>
      </c>
      <c r="B1088" s="18" t="s">
        <v>72</v>
      </c>
      <c r="C1088" s="18" t="s">
        <v>168</v>
      </c>
      <c r="D1088" s="19"/>
      <c r="E1088" s="19"/>
      <c r="F1088" s="20">
        <f t="shared" si="21"/>
        <v>0</v>
      </c>
      <c r="G1088" s="21">
        <f>IFERROR(VLOOKUP(B1088,DADOS!$A$2:$H$252,8,0),"")</f>
        <v>43</v>
      </c>
      <c r="H1088" s="22">
        <v>275.0</v>
      </c>
      <c r="I1088" s="23">
        <f>IFERROR(VLOOKUP(B1088,DADOS!$A$2:$H$252,4,0)*H1088,"")</f>
        <v>4.708</v>
      </c>
      <c r="J1088" s="36"/>
      <c r="K1088" s="25">
        <f>IFERROR(VLOOKUP(B1088,DADOS!$A$2:$H$252,4,0)*J1088,"")</f>
        <v>0</v>
      </c>
      <c r="L1088" s="26">
        <f t="shared" si="23"/>
        <v>0</v>
      </c>
      <c r="M1088" s="27"/>
      <c r="N1088" s="30"/>
      <c r="O1088" s="28"/>
      <c r="P1088" s="28"/>
      <c r="Q1088" s="28"/>
      <c r="R1088" s="28"/>
      <c r="S1088" s="28"/>
    </row>
    <row r="1089">
      <c r="A1089" s="17">
        <v>45713.0</v>
      </c>
      <c r="B1089" s="18" t="s">
        <v>57</v>
      </c>
      <c r="C1089" s="18" t="s">
        <v>168</v>
      </c>
      <c r="D1089" s="19"/>
      <c r="E1089" s="19"/>
      <c r="F1089" s="20">
        <f t="shared" si="21"/>
        <v>0</v>
      </c>
      <c r="G1089" s="21">
        <f>IFERROR(VLOOKUP(B1089,DADOS!$A$2:$H$252,8,0),"")</f>
        <v>100</v>
      </c>
      <c r="H1089" s="22">
        <v>155.0</v>
      </c>
      <c r="I1089" s="23">
        <f>IFERROR(VLOOKUP(B1089,DADOS!$A$2:$H$252,4,0)*H1089,"")</f>
        <v>2.6536</v>
      </c>
      <c r="J1089" s="36"/>
      <c r="K1089" s="25">
        <f>IFERROR(VLOOKUP(B1089,DADOS!$A$2:$H$252,4,0)*J1089,"")</f>
        <v>0</v>
      </c>
      <c r="L1089" s="26">
        <f t="shared" si="23"/>
        <v>0</v>
      </c>
      <c r="M1089" s="27"/>
      <c r="N1089" s="30"/>
      <c r="O1089" s="28"/>
      <c r="P1089" s="28"/>
      <c r="Q1089" s="28"/>
      <c r="R1089" s="28"/>
      <c r="S1089" s="28"/>
    </row>
    <row r="1090">
      <c r="A1090" s="17">
        <v>45713.0</v>
      </c>
      <c r="B1090" s="18" t="s">
        <v>137</v>
      </c>
      <c r="C1090" s="18" t="s">
        <v>165</v>
      </c>
      <c r="D1090" s="19">
        <v>0.3194444444444444</v>
      </c>
      <c r="E1090" s="19">
        <v>0.71875</v>
      </c>
      <c r="F1090" s="20">
        <f t="shared" si="21"/>
        <v>0.3993055556</v>
      </c>
      <c r="G1090" s="21">
        <f>IFERROR(VLOOKUP(B1090,DADOS!$A$2:$H$252,8,0),"")</f>
        <v>12</v>
      </c>
      <c r="H1090" s="22">
        <v>38.0</v>
      </c>
      <c r="I1090" s="23">
        <f>IFERROR(VLOOKUP(B1090,DADOS!$A$2:$H$252,4,0)*H1090,"")</f>
        <v>4.3294768</v>
      </c>
      <c r="J1090" s="24">
        <v>1.0</v>
      </c>
      <c r="K1090" s="25">
        <f>IFERROR(VLOOKUP(B1090,DADOS!$A$2:$H$252,4,0)*J1090,"")</f>
        <v>0.1139336</v>
      </c>
      <c r="L1090" s="26">
        <f t="shared" si="23"/>
        <v>0</v>
      </c>
      <c r="M1090" s="27"/>
      <c r="N1090" s="30"/>
      <c r="O1090" s="28"/>
      <c r="P1090" s="28"/>
      <c r="Q1090" s="28"/>
      <c r="R1090" s="28"/>
      <c r="S1090" s="28"/>
    </row>
    <row r="1091">
      <c r="A1091" s="17">
        <v>45714.0</v>
      </c>
      <c r="B1091" s="18" t="s">
        <v>137</v>
      </c>
      <c r="C1091" s="18" t="s">
        <v>168</v>
      </c>
      <c r="D1091" s="19"/>
      <c r="E1091" s="19"/>
      <c r="F1091" s="20">
        <f t="shared" si="21"/>
        <v>0</v>
      </c>
      <c r="G1091" s="21">
        <f>IFERROR(VLOOKUP(B1091,DADOS!$A$2:$H$252,8,0),"")</f>
        <v>12</v>
      </c>
      <c r="H1091" s="22">
        <v>6.0</v>
      </c>
      <c r="I1091" s="23">
        <f>IFERROR(VLOOKUP(B1091,DADOS!$A$2:$H$252,4,0)*H1091,"")</f>
        <v>0.6836016</v>
      </c>
      <c r="J1091" s="24">
        <v>1.0</v>
      </c>
      <c r="K1091" s="25">
        <f>IFERROR(VLOOKUP(B1091,DADOS!$A$2:$H$252,4,0)*J1091,"")</f>
        <v>0.1139336</v>
      </c>
      <c r="L1091" s="26">
        <f t="shared" si="23"/>
        <v>0</v>
      </c>
      <c r="M1091" s="27"/>
      <c r="N1091" s="30"/>
      <c r="O1091" s="28"/>
      <c r="P1091" s="28"/>
      <c r="Q1091" s="28"/>
      <c r="R1091" s="28"/>
      <c r="S1091" s="28"/>
    </row>
    <row r="1092">
      <c r="A1092" s="17">
        <v>45714.0</v>
      </c>
      <c r="B1092" s="18" t="s">
        <v>57</v>
      </c>
      <c r="C1092" s="18" t="s">
        <v>168</v>
      </c>
      <c r="D1092" s="19"/>
      <c r="E1092" s="19"/>
      <c r="F1092" s="20">
        <f t="shared" si="21"/>
        <v>0</v>
      </c>
      <c r="G1092" s="21">
        <f>IFERROR(VLOOKUP(B1092,DADOS!$A$2:$H$252,8,0),"")</f>
        <v>100</v>
      </c>
      <c r="H1092" s="22">
        <v>142.0</v>
      </c>
      <c r="I1092" s="23">
        <f>IFERROR(VLOOKUP(B1092,DADOS!$A$2:$H$252,4,0)*H1092,"")</f>
        <v>2.43104</v>
      </c>
      <c r="J1092" s="36"/>
      <c r="K1092" s="25">
        <f>IFERROR(VLOOKUP(B1092,DADOS!$A$2:$H$252,4,0)*J1092,"")</f>
        <v>0</v>
      </c>
      <c r="L1092" s="26">
        <f t="shared" si="23"/>
        <v>0</v>
      </c>
      <c r="M1092" s="27"/>
      <c r="N1092" s="30"/>
      <c r="O1092" s="28"/>
      <c r="P1092" s="28"/>
      <c r="Q1092" s="28"/>
      <c r="R1092" s="28"/>
      <c r="S1092" s="28"/>
    </row>
    <row r="1093">
      <c r="A1093" s="17">
        <v>45714.0</v>
      </c>
      <c r="B1093" s="18" t="s">
        <v>92</v>
      </c>
      <c r="C1093" s="18" t="s">
        <v>168</v>
      </c>
      <c r="D1093" s="19"/>
      <c r="E1093" s="19"/>
      <c r="F1093" s="20">
        <f t="shared" si="21"/>
        <v>0</v>
      </c>
      <c r="G1093" s="21">
        <f>IFERROR(VLOOKUP(B1093,DADOS!$A$2:$H$252,8,0),"")</f>
        <v>100</v>
      </c>
      <c r="H1093" s="22">
        <v>297.0</v>
      </c>
      <c r="I1093" s="23">
        <f>IFERROR(VLOOKUP(B1093,DADOS!$A$2:$H$252,4,0)*H1093,"")</f>
        <v>7.5189114</v>
      </c>
      <c r="J1093" s="36"/>
      <c r="K1093" s="25">
        <f>IFERROR(VLOOKUP(B1093,DADOS!$A$2:$H$252,4,0)*J1093,"")</f>
        <v>0</v>
      </c>
      <c r="L1093" s="26">
        <f t="shared" si="23"/>
        <v>0</v>
      </c>
      <c r="M1093" s="27"/>
      <c r="N1093" s="30"/>
      <c r="O1093" s="28"/>
      <c r="P1093" s="28"/>
      <c r="Q1093" s="28"/>
      <c r="R1093" s="28"/>
      <c r="S1093" s="28"/>
    </row>
    <row r="1094">
      <c r="A1094" s="17">
        <v>45714.0</v>
      </c>
      <c r="B1094" s="18" t="s">
        <v>18</v>
      </c>
      <c r="C1094" s="18" t="s">
        <v>165</v>
      </c>
      <c r="D1094" s="19"/>
      <c r="E1094" s="19"/>
      <c r="F1094" s="20">
        <f t="shared" si="21"/>
        <v>0</v>
      </c>
      <c r="G1094" s="21">
        <f>IFERROR(VLOOKUP(B1094,DADOS!$A$2:$H$252,8,0),"")</f>
        <v>21</v>
      </c>
      <c r="H1094" s="22">
        <v>57.0</v>
      </c>
      <c r="I1094" s="23">
        <f>IFERROR(VLOOKUP(B1094,DADOS!$A$2:$H$252,4,0)*H1094,"")</f>
        <v>16.699062</v>
      </c>
      <c r="J1094" s="24">
        <v>1.0</v>
      </c>
      <c r="K1094" s="25">
        <f>IFERROR(VLOOKUP(B1094,DADOS!$A$2:$H$252,4,0)*J1094,"")</f>
        <v>0.292966</v>
      </c>
      <c r="L1094" s="26">
        <f t="shared" si="23"/>
        <v>0</v>
      </c>
      <c r="M1094" s="27"/>
      <c r="N1094" s="30"/>
      <c r="O1094" s="28"/>
      <c r="P1094" s="28"/>
      <c r="Q1094" s="28"/>
      <c r="R1094" s="28"/>
      <c r="S1094" s="28"/>
    </row>
    <row r="1095">
      <c r="A1095" s="17">
        <v>45715.0</v>
      </c>
      <c r="B1095" s="18" t="s">
        <v>75</v>
      </c>
      <c r="C1095" s="18" t="s">
        <v>168</v>
      </c>
      <c r="D1095" s="19"/>
      <c r="E1095" s="19"/>
      <c r="F1095" s="20">
        <f t="shared" si="21"/>
        <v>0</v>
      </c>
      <c r="G1095" s="21">
        <f>IFERROR(VLOOKUP(B1095,DADOS!$A$2:$H$252,8,0),"")</f>
        <v>23</v>
      </c>
      <c r="H1095" s="22">
        <v>55.0</v>
      </c>
      <c r="I1095" s="23">
        <f>IFERROR(VLOOKUP(B1095,DADOS!$A$2:$H$252,4,0)*H1095,"")</f>
        <v>6.266348</v>
      </c>
      <c r="J1095" s="24">
        <v>1.0</v>
      </c>
      <c r="K1095" s="25">
        <f>IFERROR(VLOOKUP(B1095,DADOS!$A$2:$H$252,4,0)*J1095,"")</f>
        <v>0.1139336</v>
      </c>
      <c r="L1095" s="26">
        <f t="shared" si="23"/>
        <v>0</v>
      </c>
      <c r="M1095" s="27"/>
      <c r="N1095" s="30"/>
      <c r="O1095" s="28"/>
      <c r="P1095" s="28"/>
      <c r="Q1095" s="28"/>
      <c r="R1095" s="28"/>
      <c r="S1095" s="28"/>
    </row>
    <row r="1096">
      <c r="A1096" s="17">
        <v>45715.0</v>
      </c>
      <c r="B1096" s="18" t="s">
        <v>171</v>
      </c>
      <c r="C1096" s="18" t="s">
        <v>168</v>
      </c>
      <c r="D1096" s="19"/>
      <c r="E1096" s="19"/>
      <c r="F1096" s="20">
        <f t="shared" si="21"/>
        <v>0</v>
      </c>
      <c r="G1096" s="21">
        <f>IFERROR(VLOOKUP(B1096,DADOS!$A$2:$H$252,8,0),"")</f>
        <v>75</v>
      </c>
      <c r="H1096" s="22">
        <v>38.0</v>
      </c>
      <c r="I1096" s="23">
        <f>IFERROR(VLOOKUP(B1096,DADOS!$A$2:$H$252,4,0)*H1096,"")</f>
        <v>5.85504</v>
      </c>
      <c r="J1096" s="36"/>
      <c r="K1096" s="25">
        <f>IFERROR(VLOOKUP(B1096,DADOS!$A$2:$H$252,4,0)*J1096,"")</f>
        <v>0</v>
      </c>
      <c r="L1096" s="26">
        <f t="shared" si="23"/>
        <v>0</v>
      </c>
      <c r="M1096" s="27"/>
      <c r="N1096" s="30"/>
      <c r="O1096" s="28"/>
      <c r="P1096" s="28"/>
      <c r="Q1096" s="28"/>
      <c r="R1096" s="28"/>
      <c r="S1096" s="28"/>
    </row>
    <row r="1097">
      <c r="A1097" s="17">
        <v>45715.0</v>
      </c>
      <c r="B1097" s="18" t="s">
        <v>18</v>
      </c>
      <c r="C1097" s="18" t="s">
        <v>165</v>
      </c>
      <c r="D1097" s="19"/>
      <c r="E1097" s="19"/>
      <c r="F1097" s="20">
        <f t="shared" si="21"/>
        <v>0</v>
      </c>
      <c r="G1097" s="21">
        <f>IFERROR(VLOOKUP(B1097,DADOS!$A$2:$H$252,8,0),"")</f>
        <v>21</v>
      </c>
      <c r="H1097" s="22">
        <v>53.0</v>
      </c>
      <c r="I1097" s="23">
        <f>IFERROR(VLOOKUP(B1097,DADOS!$A$2:$H$252,4,0)*H1097,"")</f>
        <v>15.527198</v>
      </c>
      <c r="J1097" s="24">
        <v>1.0</v>
      </c>
      <c r="K1097" s="25">
        <f>IFERROR(VLOOKUP(B1097,DADOS!$A$2:$H$252,4,0)*J1097,"")</f>
        <v>0.292966</v>
      </c>
      <c r="L1097" s="26">
        <f t="shared" si="23"/>
        <v>0</v>
      </c>
      <c r="M1097" s="27"/>
      <c r="N1097" s="30"/>
      <c r="O1097" s="28"/>
      <c r="P1097" s="28"/>
      <c r="Q1097" s="28"/>
      <c r="R1097" s="28"/>
      <c r="S1097" s="28"/>
    </row>
    <row r="1098">
      <c r="A1098" s="17">
        <v>45715.0</v>
      </c>
      <c r="B1098" s="18" t="s">
        <v>66</v>
      </c>
      <c r="C1098" s="18" t="s">
        <v>165</v>
      </c>
      <c r="D1098" s="19"/>
      <c r="E1098" s="19"/>
      <c r="F1098" s="20">
        <f t="shared" si="21"/>
        <v>0</v>
      </c>
      <c r="G1098" s="21" t="str">
        <f>IFERROR(VLOOKUP(B1098,DADOS!$A$2:$H$252,8,0),"")</f>
        <v/>
      </c>
      <c r="H1098" s="22">
        <v>15.0</v>
      </c>
      <c r="I1098" s="23">
        <f>IFERROR(VLOOKUP(B1098,DADOS!$A$2:$H$252,4,0)*H1098,"")</f>
        <v>2.00625</v>
      </c>
      <c r="J1098" s="24">
        <v>3.0</v>
      </c>
      <c r="K1098" s="25">
        <f>IFERROR(VLOOKUP(B1098,DADOS!$A$2:$H$252,4,0)*J1098,"")</f>
        <v>0.40125</v>
      </c>
      <c r="L1098" s="26">
        <f t="shared" si="23"/>
        <v>0</v>
      </c>
      <c r="M1098" s="27"/>
      <c r="N1098" s="30"/>
      <c r="O1098" s="28"/>
      <c r="P1098" s="28"/>
      <c r="Q1098" s="28"/>
      <c r="R1098" s="28"/>
      <c r="S1098" s="28"/>
    </row>
    <row r="1099">
      <c r="A1099" s="17">
        <v>45716.0</v>
      </c>
      <c r="B1099" s="18" t="s">
        <v>171</v>
      </c>
      <c r="C1099" s="18" t="s">
        <v>168</v>
      </c>
      <c r="D1099" s="19"/>
      <c r="E1099" s="19"/>
      <c r="F1099" s="20">
        <f t="shared" si="21"/>
        <v>0</v>
      </c>
      <c r="G1099" s="21">
        <f>IFERROR(VLOOKUP(B1099,DADOS!$A$2:$H$252,8,0),"")</f>
        <v>75</v>
      </c>
      <c r="H1099" s="22">
        <v>108.0</v>
      </c>
      <c r="I1099" s="23">
        <f>IFERROR(VLOOKUP(B1099,DADOS!$A$2:$H$252,4,0)*H1099,"")</f>
        <v>16.64064</v>
      </c>
      <c r="J1099" s="36"/>
      <c r="K1099" s="25">
        <f>IFERROR(VLOOKUP(B1099,DADOS!$A$2:$H$252,4,0)*J1099,"")</f>
        <v>0</v>
      </c>
      <c r="L1099" s="26">
        <f t="shared" si="23"/>
        <v>0</v>
      </c>
      <c r="M1099" s="27"/>
      <c r="N1099" s="30"/>
      <c r="O1099" s="28"/>
      <c r="P1099" s="28"/>
      <c r="Q1099" s="28"/>
      <c r="R1099" s="28"/>
      <c r="S1099" s="28"/>
    </row>
    <row r="1100">
      <c r="A1100" s="17">
        <v>45716.0</v>
      </c>
      <c r="B1100" s="18" t="s">
        <v>79</v>
      </c>
      <c r="C1100" s="18" t="s">
        <v>168</v>
      </c>
      <c r="D1100" s="19"/>
      <c r="E1100" s="19"/>
      <c r="F1100" s="20">
        <f t="shared" si="21"/>
        <v>0</v>
      </c>
      <c r="G1100" s="21">
        <f>IFERROR(VLOOKUP(B1100,DADOS!$A$2:$H$252,8,0),"")</f>
        <v>87</v>
      </c>
      <c r="H1100" s="22">
        <v>104.0</v>
      </c>
      <c r="I1100" s="23">
        <f>IFERROR(VLOOKUP(B1100,DADOS!$A$2:$H$252,4,0)*H1100,"")</f>
        <v>1.78048</v>
      </c>
      <c r="J1100" s="36"/>
      <c r="K1100" s="25">
        <f>IFERROR(VLOOKUP(B1100,DADOS!$A$2:$H$252,4,0)*J1100,"")</f>
        <v>0</v>
      </c>
      <c r="L1100" s="26">
        <f t="shared" si="23"/>
        <v>0</v>
      </c>
      <c r="M1100" s="27"/>
      <c r="N1100" s="30"/>
      <c r="O1100" s="28"/>
      <c r="P1100" s="28"/>
      <c r="Q1100" s="28"/>
      <c r="R1100" s="28"/>
      <c r="S1100" s="28"/>
    </row>
    <row r="1101">
      <c r="A1101" s="17">
        <v>45716.0</v>
      </c>
      <c r="B1101" s="18" t="s">
        <v>66</v>
      </c>
      <c r="C1101" s="18" t="s">
        <v>165</v>
      </c>
      <c r="D1101" s="19"/>
      <c r="E1101" s="19"/>
      <c r="F1101" s="20">
        <f t="shared" si="21"/>
        <v>0</v>
      </c>
      <c r="G1101" s="21" t="str">
        <f>IFERROR(VLOOKUP(B1101,DADOS!$A$2:$H$252,8,0),"")</f>
        <v/>
      </c>
      <c r="H1101" s="22">
        <v>39.0</v>
      </c>
      <c r="I1101" s="23">
        <f>IFERROR(VLOOKUP(B1101,DADOS!$A$2:$H$252,4,0)*H1101,"")</f>
        <v>5.21625</v>
      </c>
      <c r="J1101" s="24">
        <v>3.0</v>
      </c>
      <c r="K1101" s="25">
        <f>IFERROR(VLOOKUP(B1101,DADOS!$A$2:$H$252,4,0)*J1101,"")</f>
        <v>0.40125</v>
      </c>
      <c r="L1101" s="26">
        <f t="shared" si="23"/>
        <v>0</v>
      </c>
      <c r="M1101" s="27"/>
      <c r="N1101" s="30"/>
      <c r="O1101" s="28"/>
      <c r="P1101" s="28"/>
      <c r="Q1101" s="28"/>
      <c r="R1101" s="28"/>
      <c r="S1101" s="28"/>
    </row>
    <row r="1102">
      <c r="A1102" s="17">
        <v>45721.0</v>
      </c>
      <c r="B1102" s="18" t="s">
        <v>26</v>
      </c>
      <c r="C1102" s="18" t="s">
        <v>168</v>
      </c>
      <c r="D1102" s="19"/>
      <c r="E1102" s="19"/>
      <c r="F1102" s="20">
        <f t="shared" si="21"/>
        <v>0</v>
      </c>
      <c r="G1102" s="21">
        <f>IFERROR(VLOOKUP(B1102,DADOS!$A$2:$H$252,8,0),"")</f>
        <v>50</v>
      </c>
      <c r="H1102" s="22">
        <v>39.0</v>
      </c>
      <c r="I1102" s="23">
        <f>IFERROR(VLOOKUP(B1102,DADOS!$A$2:$H$252,4,0)*H1102,"")</f>
        <v>4.4434104</v>
      </c>
      <c r="J1102" s="24">
        <v>1.0</v>
      </c>
      <c r="K1102" s="25">
        <f>IFERROR(VLOOKUP(B1102,DADOS!$A$2:$H$252,4,0)*J1102,"")</f>
        <v>0.1139336</v>
      </c>
      <c r="L1102" s="26">
        <f t="shared" si="23"/>
        <v>0</v>
      </c>
      <c r="M1102" s="27"/>
      <c r="N1102" s="30"/>
      <c r="O1102" s="28"/>
      <c r="P1102" s="28"/>
      <c r="Q1102" s="28"/>
      <c r="R1102" s="28"/>
      <c r="S1102" s="28"/>
    </row>
    <row r="1103">
      <c r="A1103" s="17">
        <v>45721.0</v>
      </c>
      <c r="B1103" s="18" t="s">
        <v>79</v>
      </c>
      <c r="C1103" s="18" t="s">
        <v>168</v>
      </c>
      <c r="D1103" s="19"/>
      <c r="E1103" s="19"/>
      <c r="F1103" s="20">
        <f t="shared" si="21"/>
        <v>0</v>
      </c>
      <c r="G1103" s="21">
        <f>IFERROR(VLOOKUP(B1103,DADOS!$A$2:$H$252,8,0),"")</f>
        <v>87</v>
      </c>
      <c r="H1103" s="22">
        <v>240.0</v>
      </c>
      <c r="I1103" s="23">
        <f>IFERROR(VLOOKUP(B1103,DADOS!$A$2:$H$252,4,0)*H1103,"")</f>
        <v>4.1088</v>
      </c>
      <c r="J1103" s="24">
        <v>3.0</v>
      </c>
      <c r="K1103" s="25">
        <f>IFERROR(VLOOKUP(B1103,DADOS!$A$2:$H$252,4,0)*J1103,"")</f>
        <v>0.05136</v>
      </c>
      <c r="L1103" s="26">
        <f t="shared" si="23"/>
        <v>0</v>
      </c>
      <c r="M1103" s="27"/>
      <c r="N1103" s="30"/>
      <c r="O1103" s="28"/>
      <c r="P1103" s="28"/>
      <c r="Q1103" s="28"/>
      <c r="R1103" s="28"/>
      <c r="S1103" s="28"/>
    </row>
    <row r="1104">
      <c r="A1104" s="17">
        <v>45721.0</v>
      </c>
      <c r="B1104" s="18" t="s">
        <v>66</v>
      </c>
      <c r="C1104" s="18" t="s">
        <v>165</v>
      </c>
      <c r="D1104" s="19"/>
      <c r="E1104" s="19"/>
      <c r="F1104" s="20">
        <f t="shared" si="21"/>
        <v>0</v>
      </c>
      <c r="G1104" s="21" t="str">
        <f>IFERROR(VLOOKUP(B1104,DADOS!$A$2:$H$252,8,0),"")</f>
        <v/>
      </c>
      <c r="H1104" s="22">
        <v>40.0</v>
      </c>
      <c r="I1104" s="23">
        <f>IFERROR(VLOOKUP(B1104,DADOS!$A$2:$H$252,4,0)*H1104,"")</f>
        <v>5.35</v>
      </c>
      <c r="J1104" s="24">
        <v>2.0</v>
      </c>
      <c r="K1104" s="25">
        <f>IFERROR(VLOOKUP(B1104,DADOS!$A$2:$H$252,4,0)*J1104,"")</f>
        <v>0.2675</v>
      </c>
      <c r="L1104" s="26">
        <f t="shared" si="23"/>
        <v>0</v>
      </c>
      <c r="M1104" s="27"/>
      <c r="N1104" s="30"/>
      <c r="O1104" s="28"/>
      <c r="P1104" s="28"/>
      <c r="Q1104" s="28"/>
      <c r="R1104" s="28"/>
      <c r="S1104" s="28"/>
    </row>
    <row r="1105">
      <c r="A1105" s="17">
        <v>45721.0</v>
      </c>
      <c r="B1105" s="18" t="s">
        <v>25</v>
      </c>
      <c r="C1105" s="18" t="s">
        <v>165</v>
      </c>
      <c r="D1105" s="19"/>
      <c r="E1105" s="19"/>
      <c r="F1105" s="20">
        <f t="shared" si="21"/>
        <v>0</v>
      </c>
      <c r="G1105" s="21">
        <f>IFERROR(VLOOKUP(B1105,DADOS!$A$2:$H$252,8,0),"")</f>
        <v>40</v>
      </c>
      <c r="H1105" s="22">
        <v>45.0</v>
      </c>
      <c r="I1105" s="23">
        <f>IFERROR(VLOOKUP(B1105,DADOS!$A$2:$H$252,4,0)*H1105,"")</f>
        <v>4.66092</v>
      </c>
      <c r="J1105" s="36"/>
      <c r="K1105" s="25">
        <f>IFERROR(VLOOKUP(B1105,DADOS!$A$2:$H$252,4,0)*J1105,"")</f>
        <v>0</v>
      </c>
      <c r="L1105" s="26">
        <f t="shared" si="23"/>
        <v>0</v>
      </c>
      <c r="M1105" s="27"/>
      <c r="N1105" s="30"/>
      <c r="O1105" s="28"/>
      <c r="P1105" s="28"/>
      <c r="Q1105" s="28"/>
      <c r="R1105" s="28"/>
      <c r="S1105" s="28"/>
    </row>
    <row r="1106">
      <c r="A1106" s="17">
        <v>45722.0</v>
      </c>
      <c r="B1106" s="18" t="s">
        <v>26</v>
      </c>
      <c r="C1106" s="18" t="s">
        <v>168</v>
      </c>
      <c r="D1106" s="19"/>
      <c r="E1106" s="19"/>
      <c r="F1106" s="20">
        <f t="shared" si="21"/>
        <v>0</v>
      </c>
      <c r="G1106" s="21">
        <f>IFERROR(VLOOKUP(B1106,DADOS!$A$2:$H$252,8,0),"")</f>
        <v>50</v>
      </c>
      <c r="H1106" s="22">
        <v>65.0</v>
      </c>
      <c r="I1106" s="23">
        <f>IFERROR(VLOOKUP(B1106,DADOS!$A$2:$H$252,4,0)*H1106,"")</f>
        <v>7.405684</v>
      </c>
      <c r="J1106" s="36"/>
      <c r="K1106" s="25">
        <f>IFERROR(VLOOKUP(B1106,DADOS!$A$2:$H$252,4,0)*J1106,"")</f>
        <v>0</v>
      </c>
      <c r="L1106" s="26">
        <f t="shared" si="23"/>
        <v>0</v>
      </c>
      <c r="M1106" s="27"/>
      <c r="N1106" s="30"/>
      <c r="O1106" s="28"/>
      <c r="P1106" s="28"/>
      <c r="Q1106" s="28"/>
      <c r="R1106" s="28"/>
      <c r="S1106" s="28"/>
    </row>
    <row r="1107">
      <c r="A1107" s="17">
        <v>45722.0</v>
      </c>
      <c r="B1107" s="18" t="s">
        <v>42</v>
      </c>
      <c r="C1107" s="18" t="s">
        <v>168</v>
      </c>
      <c r="D1107" s="19"/>
      <c r="E1107" s="19"/>
      <c r="F1107" s="20">
        <f t="shared" si="21"/>
        <v>0</v>
      </c>
      <c r="G1107" s="21">
        <f>IFERROR(VLOOKUP(B1107,DADOS!$A$2:$H$252,8,0),"")</f>
        <v>100</v>
      </c>
      <c r="H1107" s="22">
        <v>7.0</v>
      </c>
      <c r="I1107" s="23">
        <f>IFERROR(VLOOKUP(B1107,DADOS!$A$2:$H$252,4,0)*H1107,"")</f>
        <v>8.49366</v>
      </c>
      <c r="J1107" s="24">
        <v>1.0</v>
      </c>
      <c r="K1107" s="25">
        <f>IFERROR(VLOOKUP(B1107,DADOS!$A$2:$H$252,4,0)*J1107,"")</f>
        <v>1.21338</v>
      </c>
      <c r="L1107" s="26">
        <f t="shared" si="23"/>
        <v>0</v>
      </c>
      <c r="M1107" s="27"/>
      <c r="N1107" s="30"/>
      <c r="O1107" s="28"/>
      <c r="P1107" s="28"/>
      <c r="Q1107" s="28"/>
      <c r="R1107" s="28"/>
      <c r="S1107" s="28"/>
    </row>
    <row r="1108">
      <c r="A1108" s="17">
        <v>45722.0</v>
      </c>
      <c r="B1108" s="18" t="s">
        <v>64</v>
      </c>
      <c r="C1108" s="18" t="s">
        <v>168</v>
      </c>
      <c r="D1108" s="19"/>
      <c r="E1108" s="19"/>
      <c r="F1108" s="20">
        <f t="shared" si="21"/>
        <v>0</v>
      </c>
      <c r="G1108" s="21">
        <f>IFERROR(VLOOKUP(B1108,DADOS!$A$2:$H$252,8,0),"")</f>
        <v>21</v>
      </c>
      <c r="H1108" s="22">
        <v>10.0</v>
      </c>
      <c r="I1108" s="23">
        <f>IFERROR(VLOOKUP(B1108,DADOS!$A$2:$H$252,4,0)*H1108,"")</f>
        <v>2.33046</v>
      </c>
      <c r="J1108" s="36"/>
      <c r="K1108" s="25">
        <f>IFERROR(VLOOKUP(B1108,DADOS!$A$2:$H$252,4,0)*J1108,"")</f>
        <v>0</v>
      </c>
      <c r="L1108" s="26">
        <f t="shared" si="23"/>
        <v>0</v>
      </c>
      <c r="M1108" s="27"/>
      <c r="N1108" s="30"/>
      <c r="O1108" s="28"/>
      <c r="P1108" s="28"/>
      <c r="Q1108" s="28"/>
      <c r="R1108" s="28"/>
      <c r="S1108" s="28"/>
    </row>
    <row r="1109">
      <c r="A1109" s="17">
        <v>45722.0</v>
      </c>
      <c r="B1109" s="18" t="s">
        <v>25</v>
      </c>
      <c r="C1109" s="18" t="s">
        <v>165</v>
      </c>
      <c r="D1109" s="19"/>
      <c r="E1109" s="19"/>
      <c r="F1109" s="20">
        <f t="shared" si="21"/>
        <v>0</v>
      </c>
      <c r="G1109" s="21">
        <f>IFERROR(VLOOKUP(B1109,DADOS!$A$2:$H$252,8,0),"")</f>
        <v>40</v>
      </c>
      <c r="H1109" s="22">
        <v>60.0</v>
      </c>
      <c r="I1109" s="23">
        <f>IFERROR(VLOOKUP(B1109,DADOS!$A$2:$H$252,4,0)*H1109,"")</f>
        <v>6.21456</v>
      </c>
      <c r="J1109" s="24">
        <v>1.0</v>
      </c>
      <c r="K1109" s="25">
        <f>IFERROR(VLOOKUP(B1109,DADOS!$A$2:$H$252,4,0)*J1109,"")</f>
        <v>0.103576</v>
      </c>
      <c r="L1109" s="26">
        <f t="shared" si="23"/>
        <v>0</v>
      </c>
      <c r="M1109" s="27"/>
      <c r="N1109" s="30"/>
      <c r="O1109" s="28"/>
      <c r="P1109" s="28"/>
      <c r="Q1109" s="28"/>
      <c r="R1109" s="28"/>
      <c r="S1109" s="28"/>
    </row>
    <row r="1110">
      <c r="A1110" s="17">
        <v>45722.0</v>
      </c>
      <c r="B1110" s="18" t="s">
        <v>43</v>
      </c>
      <c r="C1110" s="18" t="s">
        <v>165</v>
      </c>
      <c r="D1110" s="19"/>
      <c r="E1110" s="19"/>
      <c r="F1110" s="20">
        <f t="shared" si="21"/>
        <v>0</v>
      </c>
      <c r="G1110" s="21" t="str">
        <f>IFERROR(VLOOKUP(B1110,DADOS!$A$2:$H$252,8,0),"")</f>
        <v/>
      </c>
      <c r="H1110" s="22">
        <v>42.0</v>
      </c>
      <c r="I1110" s="23" t="str">
        <f>IFERROR(VLOOKUP(B1110,DADOS!$A$2:$H$252,4,0)*H1110,"")</f>
        <v/>
      </c>
      <c r="J1110" s="36"/>
      <c r="K1110" s="25" t="str">
        <f>IFERROR(VLOOKUP(B1110,DADOS!$A$2:$H$252,4,0)*J1110,"")</f>
        <v/>
      </c>
      <c r="L1110" s="26" t="str">
        <f t="shared" si="23"/>
        <v/>
      </c>
      <c r="M1110" s="27"/>
      <c r="N1110" s="30"/>
      <c r="O1110" s="28"/>
      <c r="P1110" s="28"/>
      <c r="Q1110" s="28"/>
      <c r="R1110" s="28"/>
      <c r="S1110" s="28"/>
    </row>
    <row r="1111">
      <c r="A1111" s="17">
        <v>45722.0</v>
      </c>
      <c r="B1111" s="18" t="s">
        <v>42</v>
      </c>
      <c r="C1111" s="18" t="s">
        <v>172</v>
      </c>
      <c r="D1111" s="19"/>
      <c r="E1111" s="19"/>
      <c r="F1111" s="20">
        <f t="shared" si="21"/>
        <v>0</v>
      </c>
      <c r="G1111" s="21">
        <f>IFERROR(VLOOKUP(B1111,DADOS!$A$2:$H$252,8,0),"")</f>
        <v>100</v>
      </c>
      <c r="H1111" s="22">
        <v>66.0</v>
      </c>
      <c r="I1111" s="23">
        <f>IFERROR(VLOOKUP(B1111,DADOS!$A$2:$H$252,4,0)*H1111,"")</f>
        <v>80.08308</v>
      </c>
      <c r="J1111" s="36"/>
      <c r="K1111" s="25">
        <f>IFERROR(VLOOKUP(B1111,DADOS!$A$2:$H$252,4,0)*J1111,"")</f>
        <v>0</v>
      </c>
      <c r="L1111" s="26">
        <f t="shared" si="23"/>
        <v>0</v>
      </c>
      <c r="M1111" s="27"/>
      <c r="N1111" s="30"/>
      <c r="O1111" s="28"/>
      <c r="P1111" s="28"/>
      <c r="Q1111" s="28"/>
      <c r="R1111" s="28"/>
      <c r="S1111" s="28"/>
    </row>
    <row r="1112">
      <c r="A1112" s="17">
        <v>45723.0</v>
      </c>
      <c r="B1112" s="18" t="s">
        <v>79</v>
      </c>
      <c r="C1112" s="18" t="s">
        <v>168</v>
      </c>
      <c r="D1112" s="19"/>
      <c r="E1112" s="19"/>
      <c r="F1112" s="20">
        <f t="shared" si="21"/>
        <v>0</v>
      </c>
      <c r="G1112" s="21">
        <f>IFERROR(VLOOKUP(B1112,DADOS!$A$2:$H$252,8,0),"")</f>
        <v>87</v>
      </c>
      <c r="H1112" s="22">
        <v>213.0</v>
      </c>
      <c r="I1112" s="23">
        <f>IFERROR(VLOOKUP(B1112,DADOS!$A$2:$H$252,4,0)*H1112,"")</f>
        <v>3.64656</v>
      </c>
      <c r="J1112" s="24">
        <v>7.0</v>
      </c>
      <c r="K1112" s="25">
        <f>IFERROR(VLOOKUP(B1112,DADOS!$A$2:$H$252,4,0)*J1112,"")</f>
        <v>0.11984</v>
      </c>
      <c r="L1112" s="26">
        <f t="shared" si="23"/>
        <v>0</v>
      </c>
      <c r="M1112" s="27"/>
      <c r="N1112" s="30"/>
      <c r="O1112" s="28"/>
      <c r="P1112" s="28"/>
      <c r="Q1112" s="28"/>
      <c r="R1112" s="28"/>
      <c r="S1112" s="28"/>
    </row>
    <row r="1113">
      <c r="A1113" s="17">
        <v>45726.0</v>
      </c>
      <c r="B1113" s="18" t="s">
        <v>22</v>
      </c>
      <c r="C1113" s="18" t="s">
        <v>166</v>
      </c>
      <c r="D1113" s="19">
        <v>0.3125</v>
      </c>
      <c r="E1113" s="19">
        <v>0.4930555555555556</v>
      </c>
      <c r="F1113" s="20">
        <f t="shared" si="21"/>
        <v>0.1805555556</v>
      </c>
      <c r="G1113" s="21">
        <f>IFERROR(VLOOKUP(B1113,DADOS!$A$2:$H$252,8,0),"")</f>
        <v>15</v>
      </c>
      <c r="H1113" s="22">
        <v>47.0</v>
      </c>
      <c r="I1113" s="23">
        <f>IFERROR(VLOOKUP(B1113,DADOS!$A$2:$H$252,4,0)*H1113,"")</f>
        <v>28.7769438</v>
      </c>
      <c r="J1113" s="36"/>
      <c r="K1113" s="25">
        <f>IFERROR(VLOOKUP(B1113,DADOS!$A$2:$H$252,4,0)*J1113,"")</f>
        <v>0</v>
      </c>
      <c r="L1113" s="26">
        <f t="shared" si="23"/>
        <v>0</v>
      </c>
      <c r="M1113" s="27"/>
      <c r="N1113" s="30"/>
      <c r="O1113" s="28"/>
      <c r="P1113" s="28"/>
      <c r="Q1113" s="28"/>
      <c r="R1113" s="28"/>
      <c r="S1113" s="28"/>
    </row>
    <row r="1114" ht="14.25" customHeight="1">
      <c r="A1114" s="17">
        <v>45726.0</v>
      </c>
      <c r="B1114" s="18" t="s">
        <v>43</v>
      </c>
      <c r="C1114" s="18" t="s">
        <v>165</v>
      </c>
      <c r="D1114" s="19">
        <v>0.3229166666666667</v>
      </c>
      <c r="E1114" s="19">
        <v>0.3368055555555556</v>
      </c>
      <c r="F1114" s="20">
        <f t="shared" si="21"/>
        <v>0.01388888889</v>
      </c>
      <c r="G1114" s="21" t="str">
        <f>IFERROR(VLOOKUP(B1114,DADOS!$A$2:$H$252,8,0),"")</f>
        <v/>
      </c>
      <c r="H1114" s="22">
        <v>6.0</v>
      </c>
      <c r="I1114" s="23" t="str">
        <f>IFERROR(VLOOKUP(B1114,DADOS!$A$2:$H$252,4,0)*H1114,"")</f>
        <v/>
      </c>
      <c r="J1114" s="36"/>
      <c r="K1114" s="25" t="str">
        <f>IFERROR(VLOOKUP(B1114,DADOS!$A$2:$H$252,4,0)*J1114,"")</f>
        <v/>
      </c>
      <c r="L1114" s="26" t="str">
        <f t="shared" si="23"/>
        <v/>
      </c>
      <c r="M1114" s="27"/>
      <c r="N1114" s="30"/>
      <c r="O1114" s="28"/>
      <c r="P1114" s="28"/>
      <c r="Q1114" s="28"/>
      <c r="R1114" s="28"/>
      <c r="S1114" s="28"/>
    </row>
    <row r="1115">
      <c r="A1115" s="17">
        <v>45726.0</v>
      </c>
      <c r="B1115" s="18" t="s">
        <v>60</v>
      </c>
      <c r="C1115" s="18" t="s">
        <v>165</v>
      </c>
      <c r="D1115" s="19">
        <v>0.3541666666666667</v>
      </c>
      <c r="E1115" s="19">
        <v>0.4965277777777778</v>
      </c>
      <c r="F1115" s="20">
        <f t="shared" si="21"/>
        <v>0.1423611111</v>
      </c>
      <c r="G1115" s="21">
        <f>IFERROR(VLOOKUP(B1115,DADOS!$A$2:$H$252,8,0),"")</f>
        <v>15</v>
      </c>
      <c r="H1115" s="22">
        <v>11.0</v>
      </c>
      <c r="I1115" s="23">
        <f>IFERROR(VLOOKUP(B1115,DADOS!$A$2:$H$252,4,0)*H1115,"")</f>
        <v>3.580434</v>
      </c>
      <c r="J1115" s="36"/>
      <c r="K1115" s="25">
        <f>IFERROR(VLOOKUP(B1115,DADOS!$A$2:$H$252,4,0)*J1115,"")</f>
        <v>0</v>
      </c>
      <c r="L1115" s="26">
        <f t="shared" si="23"/>
        <v>0</v>
      </c>
      <c r="M1115" s="27"/>
      <c r="N1115" s="30"/>
      <c r="O1115" s="28"/>
      <c r="P1115" s="28"/>
      <c r="Q1115" s="28"/>
      <c r="R1115" s="28"/>
      <c r="S1115" s="28"/>
    </row>
    <row r="1116">
      <c r="A1116" s="17">
        <v>45727.0</v>
      </c>
      <c r="B1116" s="18" t="s">
        <v>22</v>
      </c>
      <c r="C1116" s="18" t="s">
        <v>166</v>
      </c>
      <c r="D1116" s="19">
        <v>0.3125</v>
      </c>
      <c r="E1116" s="19">
        <v>0.4895833333333333</v>
      </c>
      <c r="F1116" s="20">
        <f t="shared" si="21"/>
        <v>0.1770833333</v>
      </c>
      <c r="G1116" s="21">
        <f>IFERROR(VLOOKUP(B1116,DADOS!$A$2:$H$252,8,0),"")</f>
        <v>15</v>
      </c>
      <c r="H1116" s="22">
        <v>50.0</v>
      </c>
      <c r="I1116" s="23">
        <f>IFERROR(VLOOKUP(B1116,DADOS!$A$2:$H$252,4,0)*H1116,"")</f>
        <v>30.61377</v>
      </c>
      <c r="J1116" s="36"/>
      <c r="K1116" s="25">
        <f>IFERROR(VLOOKUP(B1116,DADOS!$A$2:$H$252,4,0)*J1116,"")</f>
        <v>0</v>
      </c>
      <c r="L1116" s="26">
        <f t="shared" si="23"/>
        <v>0</v>
      </c>
      <c r="M1116" s="27"/>
      <c r="N1116" s="30"/>
      <c r="O1116" s="28"/>
      <c r="P1116" s="28"/>
      <c r="Q1116" s="28"/>
      <c r="R1116" s="28"/>
      <c r="S1116" s="28"/>
    </row>
    <row r="1117">
      <c r="A1117" s="51">
        <v>45727.0</v>
      </c>
      <c r="B1117" s="52" t="s">
        <v>135</v>
      </c>
      <c r="C1117" s="52" t="s">
        <v>168</v>
      </c>
      <c r="D1117" s="53">
        <v>0.3194444444444444</v>
      </c>
      <c r="E1117" s="53">
        <v>0.71875</v>
      </c>
      <c r="F1117" s="54">
        <f t="shared" si="21"/>
        <v>0.3993055556</v>
      </c>
      <c r="G1117" s="55">
        <f>IFERROR(VLOOKUP(B1117,DADOS!$A$2:$H$252,8,0),"")</f>
        <v>18</v>
      </c>
      <c r="H1117" s="56">
        <v>43.0</v>
      </c>
      <c r="I1117" s="57">
        <f>IFERROR(VLOOKUP(B1117,DADOS!$A$2:$H$252,4,0)*H1117,"")</f>
        <v>13.996242</v>
      </c>
      <c r="J1117" s="58">
        <v>3.0</v>
      </c>
      <c r="K1117" s="59">
        <f>IFERROR(VLOOKUP(B1117,DADOS!$A$2:$H$252,4,0)*J1117,"")</f>
        <v>0.976482</v>
      </c>
      <c r="L1117" s="60">
        <f t="shared" si="23"/>
        <v>0</v>
      </c>
      <c r="M1117" s="61"/>
      <c r="N1117" s="62"/>
    </row>
    <row r="1118">
      <c r="A1118" s="17">
        <v>45727.0</v>
      </c>
      <c r="B1118" s="18" t="s">
        <v>18</v>
      </c>
      <c r="C1118" s="18" t="s">
        <v>165</v>
      </c>
      <c r="D1118" s="19"/>
      <c r="E1118" s="19"/>
      <c r="F1118" s="20">
        <f t="shared" si="21"/>
        <v>0</v>
      </c>
      <c r="G1118" s="21">
        <f>IFERROR(VLOOKUP(B1118,DADOS!$A$2:$H$252,8,0),"")</f>
        <v>21</v>
      </c>
      <c r="H1118" s="22">
        <v>29.0</v>
      </c>
      <c r="I1118" s="23">
        <f>IFERROR(VLOOKUP(B1118,DADOS!$A$2:$H$252,4,0)*H1118,"")</f>
        <v>8.496014</v>
      </c>
      <c r="J1118" s="24">
        <v>2.0</v>
      </c>
      <c r="K1118" s="25">
        <f>IFERROR(VLOOKUP(B1118,DADOS!$A$2:$H$252,4,0)*J1118,"")</f>
        <v>0.585932</v>
      </c>
      <c r="L1118" s="26">
        <f t="shared" si="23"/>
        <v>0</v>
      </c>
      <c r="M1118" s="27"/>
      <c r="N1118" s="30"/>
      <c r="O1118" s="28"/>
      <c r="P1118" s="28"/>
      <c r="Q1118" s="28"/>
      <c r="R1118" s="28"/>
      <c r="S1118" s="28"/>
    </row>
    <row r="1119">
      <c r="A1119" s="17">
        <v>45727.0</v>
      </c>
      <c r="B1119" s="18" t="s">
        <v>60</v>
      </c>
      <c r="C1119" s="18" t="s">
        <v>165</v>
      </c>
      <c r="D1119" s="32"/>
      <c r="E1119" s="19"/>
      <c r="F1119" s="20">
        <f t="shared" si="21"/>
        <v>0</v>
      </c>
      <c r="G1119" s="21">
        <f>IFERROR(VLOOKUP(B1119,DADOS!$A$2:$H$252,8,0),"")</f>
        <v>15</v>
      </c>
      <c r="H1119" s="22">
        <v>18.0</v>
      </c>
      <c r="I1119" s="23">
        <f>IFERROR(VLOOKUP(B1119,DADOS!$A$2:$H$252,4,0)*H1119,"")</f>
        <v>5.858892</v>
      </c>
      <c r="J1119" s="36"/>
      <c r="K1119" s="25">
        <f>IFERROR(VLOOKUP(B1119,DADOS!$A$2:$H$252,4,0)*J1119,"")</f>
        <v>0</v>
      </c>
      <c r="L1119" s="26">
        <f t="shared" si="23"/>
        <v>0</v>
      </c>
      <c r="M1119" s="27"/>
      <c r="N1119" s="30"/>
      <c r="O1119" s="28"/>
      <c r="P1119" s="28"/>
      <c r="Q1119" s="28"/>
      <c r="R1119" s="28"/>
      <c r="S1119" s="28"/>
    </row>
    <row r="1120">
      <c r="A1120" s="17">
        <v>45728.0</v>
      </c>
      <c r="B1120" s="18" t="s">
        <v>59</v>
      </c>
      <c r="C1120" s="18" t="s">
        <v>168</v>
      </c>
      <c r="D1120" s="19">
        <v>0.3333333333333333</v>
      </c>
      <c r="E1120" s="19">
        <v>0.6576388888888889</v>
      </c>
      <c r="F1120" s="20">
        <f t="shared" si="21"/>
        <v>0.3243055556</v>
      </c>
      <c r="G1120" s="21">
        <f>IFERROR(VLOOKUP(B1120,DADOS!$A$2:$H$252,8,0),"")</f>
        <v>50</v>
      </c>
      <c r="H1120" s="22">
        <v>212.0</v>
      </c>
      <c r="I1120" s="23">
        <f>IFERROR(VLOOKUP(B1120,DADOS!$A$2:$H$252,4,0)*H1120,"")</f>
        <v>3.62944</v>
      </c>
      <c r="J1120" s="36"/>
      <c r="K1120" s="25">
        <f>IFERROR(VLOOKUP(B1120,DADOS!$A$2:$H$252,4,0)*J1120,"")</f>
        <v>0</v>
      </c>
      <c r="L1120" s="26">
        <f t="shared" si="23"/>
        <v>0</v>
      </c>
      <c r="M1120" s="27"/>
      <c r="N1120" s="30"/>
      <c r="O1120" s="28"/>
      <c r="P1120" s="28"/>
      <c r="Q1120" s="28"/>
      <c r="R1120" s="28"/>
      <c r="S1120" s="28"/>
    </row>
    <row r="1121">
      <c r="A1121" s="17">
        <v>45728.0</v>
      </c>
      <c r="B1121" s="18" t="s">
        <v>18</v>
      </c>
      <c r="C1121" s="18" t="s">
        <v>165</v>
      </c>
      <c r="D1121" s="19">
        <v>0.3194444444444444</v>
      </c>
      <c r="E1121" s="19">
        <v>0.71875</v>
      </c>
      <c r="F1121" s="20">
        <f t="shared" si="21"/>
        <v>0.3993055556</v>
      </c>
      <c r="G1121" s="21">
        <f>IFERROR(VLOOKUP(B1121,DADOS!$A$2:$H$252,8,0),"")</f>
        <v>21</v>
      </c>
      <c r="H1121" s="22">
        <v>106.0</v>
      </c>
      <c r="I1121" s="23">
        <f>IFERROR(VLOOKUP(B1121,DADOS!$A$2:$H$252,4,0)*H1121,"")</f>
        <v>31.054396</v>
      </c>
      <c r="J1121" s="36"/>
      <c r="K1121" s="25">
        <f>IFERROR(VLOOKUP(B1121,DADOS!$A$2:$H$252,4,0)*J1121,"")</f>
        <v>0</v>
      </c>
      <c r="L1121" s="26">
        <f t="shared" si="23"/>
        <v>0</v>
      </c>
      <c r="M1121" s="27"/>
      <c r="N1121" s="30"/>
      <c r="O1121" s="28"/>
      <c r="P1121" s="28"/>
      <c r="Q1121" s="28"/>
      <c r="R1121" s="28"/>
      <c r="S1121" s="28"/>
    </row>
    <row r="1122">
      <c r="A1122" s="17">
        <v>45729.0</v>
      </c>
      <c r="B1122" s="18" t="s">
        <v>71</v>
      </c>
      <c r="C1122" s="18" t="s">
        <v>166</v>
      </c>
      <c r="D1122" s="19">
        <v>0.3125</v>
      </c>
      <c r="E1122" s="19">
        <v>0.5</v>
      </c>
      <c r="F1122" s="20">
        <f t="shared" si="21"/>
        <v>0.1875</v>
      </c>
      <c r="G1122" s="21">
        <f>IFERROR(VLOOKUP(B1122,DADOS!$A$2:$H$252,8,0),"")</f>
        <v>7</v>
      </c>
      <c r="H1122" s="22">
        <v>30.0</v>
      </c>
      <c r="I1122" s="23">
        <f>IFERROR(VLOOKUP(B1122,DADOS!$A$2:$H$252,4,0)*H1122,"")</f>
        <v>42.072186</v>
      </c>
      <c r="J1122" s="36"/>
      <c r="K1122" s="25">
        <f>IFERROR(VLOOKUP(B1122,DADOS!$A$2:$H$252,4,0)*J1122,"")</f>
        <v>0</v>
      </c>
      <c r="L1122" s="26">
        <f t="shared" si="23"/>
        <v>0</v>
      </c>
      <c r="M1122" s="27"/>
      <c r="N1122" s="30"/>
      <c r="O1122" s="28"/>
      <c r="P1122" s="28"/>
      <c r="Q1122" s="28"/>
      <c r="R1122" s="28"/>
      <c r="S1122" s="28"/>
    </row>
    <row r="1123">
      <c r="A1123" s="17">
        <v>45729.0</v>
      </c>
      <c r="B1123" s="18" t="s">
        <v>122</v>
      </c>
      <c r="C1123" s="18" t="s">
        <v>168</v>
      </c>
      <c r="D1123" s="19">
        <v>0.4479166666666667</v>
      </c>
      <c r="E1123" s="19">
        <v>0.6631944444444444</v>
      </c>
      <c r="F1123" s="20">
        <f t="shared" si="21"/>
        <v>0.2152777778</v>
      </c>
      <c r="G1123" s="21">
        <f>IFERROR(VLOOKUP(B1123,DADOS!$A$2:$H$252,8,0),"")</f>
        <v>17</v>
      </c>
      <c r="H1123" s="22">
        <v>50.0</v>
      </c>
      <c r="I1123" s="23">
        <f>IFERROR(VLOOKUP(B1123,DADOS!$A$2:$H$252,4,0)*H1123,"")</f>
        <v>8.58033</v>
      </c>
      <c r="J1123" s="24">
        <v>6.0</v>
      </c>
      <c r="K1123" s="25">
        <f>IFERROR(VLOOKUP(B1123,DADOS!$A$2:$H$252,4,0)*J1123,"")</f>
        <v>1.0296396</v>
      </c>
      <c r="L1123" s="26">
        <f t="shared" si="23"/>
        <v>0</v>
      </c>
      <c r="M1123" s="27"/>
      <c r="N1123" s="30"/>
      <c r="O1123" s="28"/>
      <c r="P1123" s="28"/>
      <c r="Q1123" s="28"/>
      <c r="R1123" s="28"/>
      <c r="S1123" s="28"/>
    </row>
    <row r="1124">
      <c r="A1124" s="17">
        <v>45729.0</v>
      </c>
      <c r="B1124" s="18" t="s">
        <v>26</v>
      </c>
      <c r="C1124" s="18" t="s">
        <v>168</v>
      </c>
      <c r="D1124" s="19">
        <v>0.7048611111111112</v>
      </c>
      <c r="E1124" s="19">
        <v>0.71875</v>
      </c>
      <c r="F1124" s="20">
        <f t="shared" si="21"/>
        <v>0.01388888889</v>
      </c>
      <c r="G1124" s="21">
        <f>IFERROR(VLOOKUP(B1124,DADOS!$A$2:$H$252,8,0),"")</f>
        <v>50</v>
      </c>
      <c r="H1124" s="22">
        <v>3.0</v>
      </c>
      <c r="I1124" s="23">
        <f>IFERROR(VLOOKUP(B1124,DADOS!$A$2:$H$252,4,0)*H1124,"")</f>
        <v>0.3418008</v>
      </c>
      <c r="J1124" s="36"/>
      <c r="K1124" s="25">
        <f>IFERROR(VLOOKUP(B1124,DADOS!$A$2:$H$252,4,0)*J1124,"")</f>
        <v>0</v>
      </c>
      <c r="L1124" s="26">
        <f t="shared" si="23"/>
        <v>0</v>
      </c>
      <c r="M1124" s="27"/>
      <c r="N1124" s="30"/>
      <c r="O1124" s="28"/>
      <c r="P1124" s="28"/>
      <c r="Q1124" s="28"/>
      <c r="R1124" s="28"/>
      <c r="S1124" s="28"/>
    </row>
    <row r="1125">
      <c r="A1125" s="17">
        <v>45729.0</v>
      </c>
      <c r="B1125" s="18" t="s">
        <v>18</v>
      </c>
      <c r="C1125" s="18" t="s">
        <v>165</v>
      </c>
      <c r="D1125" s="19">
        <v>0.3229166666666667</v>
      </c>
      <c r="E1125" s="19">
        <v>0.5972222222222222</v>
      </c>
      <c r="F1125" s="20">
        <f t="shared" si="21"/>
        <v>0.2743055556</v>
      </c>
      <c r="G1125" s="21">
        <f>IFERROR(VLOOKUP(B1125,DADOS!$A$2:$H$252,8,0),"")</f>
        <v>21</v>
      </c>
      <c r="H1125" s="22">
        <v>69.0</v>
      </c>
      <c r="I1125" s="23">
        <f>IFERROR(VLOOKUP(B1125,DADOS!$A$2:$H$252,4,0)*H1125,"")</f>
        <v>20.214654</v>
      </c>
      <c r="J1125" s="36"/>
      <c r="K1125" s="25">
        <f>IFERROR(VLOOKUP(B1125,DADOS!$A$2:$H$252,4,0)*J1125,"")</f>
        <v>0</v>
      </c>
      <c r="L1125" s="26">
        <f t="shared" si="23"/>
        <v>0</v>
      </c>
      <c r="M1125" s="27"/>
      <c r="N1125" s="30"/>
      <c r="O1125" s="28"/>
      <c r="P1125" s="28"/>
      <c r="Q1125" s="28"/>
      <c r="R1125" s="28"/>
      <c r="S1125" s="28"/>
    </row>
    <row r="1126">
      <c r="A1126" s="17">
        <v>45729.0</v>
      </c>
      <c r="B1126" s="18" t="s">
        <v>25</v>
      </c>
      <c r="C1126" s="18" t="s">
        <v>165</v>
      </c>
      <c r="D1126" s="19">
        <v>0.6388888888888888</v>
      </c>
      <c r="E1126" s="19">
        <v>0.7152777777777778</v>
      </c>
      <c r="F1126" s="20">
        <f t="shared" si="21"/>
        <v>0.07638888889</v>
      </c>
      <c r="G1126" s="21">
        <f>IFERROR(VLOOKUP(B1126,DADOS!$A$2:$H$252,8,0),"")</f>
        <v>40</v>
      </c>
      <c r="H1126" s="22">
        <v>23.0</v>
      </c>
      <c r="I1126" s="23">
        <f>IFERROR(VLOOKUP(B1126,DADOS!$A$2:$H$252,4,0)*H1126,"")</f>
        <v>2.382248</v>
      </c>
      <c r="J1126" s="24">
        <v>2.0</v>
      </c>
      <c r="K1126" s="25">
        <f>IFERROR(VLOOKUP(B1126,DADOS!$A$2:$H$252,4,0)*J1126,"")</f>
        <v>0.207152</v>
      </c>
      <c r="L1126" s="26">
        <f t="shared" si="23"/>
        <v>0</v>
      </c>
      <c r="M1126" s="27"/>
      <c r="N1126" s="30"/>
      <c r="O1126" s="28"/>
      <c r="P1126" s="28"/>
      <c r="Q1126" s="28"/>
      <c r="R1126" s="28"/>
      <c r="S1126" s="28"/>
    </row>
    <row r="1127">
      <c r="A1127" s="17">
        <v>45730.0</v>
      </c>
      <c r="B1127" s="18" t="s">
        <v>71</v>
      </c>
      <c r="C1127" s="18" t="s">
        <v>166</v>
      </c>
      <c r="D1127" s="19">
        <v>0.3125</v>
      </c>
      <c r="E1127" s="19">
        <v>0.4930555555555556</v>
      </c>
      <c r="F1127" s="20">
        <f t="shared" si="21"/>
        <v>0.1805555556</v>
      </c>
      <c r="G1127" s="21">
        <f>IFERROR(VLOOKUP(B1127,DADOS!$A$2:$H$252,8,0),"")</f>
        <v>7</v>
      </c>
      <c r="H1127" s="22">
        <v>30.0</v>
      </c>
      <c r="I1127" s="23">
        <f>IFERROR(VLOOKUP(B1127,DADOS!$A$2:$H$252,4,0)*H1127,"")</f>
        <v>42.072186</v>
      </c>
      <c r="J1127" s="36"/>
      <c r="K1127" s="25">
        <f>IFERROR(VLOOKUP(B1127,DADOS!$A$2:$H$252,4,0)*J1127,"")</f>
        <v>0</v>
      </c>
      <c r="L1127" s="26">
        <f t="shared" si="23"/>
        <v>0</v>
      </c>
      <c r="M1127" s="27"/>
      <c r="N1127" s="30"/>
      <c r="O1127" s="28"/>
      <c r="P1127" s="28"/>
      <c r="Q1127" s="28"/>
      <c r="R1127" s="28"/>
      <c r="S1127" s="28"/>
    </row>
    <row r="1128">
      <c r="A1128" s="17">
        <v>45730.0</v>
      </c>
      <c r="B1128" s="18" t="s">
        <v>44</v>
      </c>
      <c r="C1128" s="18" t="s">
        <v>168</v>
      </c>
      <c r="D1128" s="19">
        <v>0.3402777777777778</v>
      </c>
      <c r="E1128" s="19">
        <v>0.4965277777777778</v>
      </c>
      <c r="F1128" s="20">
        <f t="shared" si="21"/>
        <v>0.15625</v>
      </c>
      <c r="G1128" s="21">
        <f>IFERROR(VLOOKUP(B1128,DADOS!$A$2:$H$252,8,0),"")</f>
        <v>15</v>
      </c>
      <c r="H1128" s="22">
        <v>25.0</v>
      </c>
      <c r="I1128" s="23">
        <f>IFERROR(VLOOKUP(B1128,DADOS!$A$2:$H$252,4,0)*H1128,"")</f>
        <v>4.61384</v>
      </c>
      <c r="J1128" s="24">
        <v>9.0</v>
      </c>
      <c r="K1128" s="25">
        <f>IFERROR(VLOOKUP(B1128,DADOS!$A$2:$H$252,4,0)*J1128,"")</f>
        <v>1.6609824</v>
      </c>
      <c r="L1128" s="26">
        <f t="shared" si="23"/>
        <v>0</v>
      </c>
      <c r="M1128" s="27"/>
      <c r="N1128" s="30"/>
      <c r="O1128" s="28"/>
      <c r="P1128" s="28"/>
      <c r="Q1128" s="28"/>
      <c r="R1128" s="28"/>
      <c r="S1128" s="28"/>
    </row>
    <row r="1129">
      <c r="A1129" s="17">
        <v>45730.0</v>
      </c>
      <c r="B1129" s="18" t="s">
        <v>122</v>
      </c>
      <c r="C1129" s="18" t="s">
        <v>168</v>
      </c>
      <c r="D1129" s="19">
        <v>0.5486111111111112</v>
      </c>
      <c r="E1129" s="19">
        <v>0.5833333333333334</v>
      </c>
      <c r="F1129" s="20">
        <f t="shared" si="21"/>
        <v>0.03472222222</v>
      </c>
      <c r="G1129" s="21">
        <f>IFERROR(VLOOKUP(B1129,DADOS!$A$2:$H$252,8,0),"")</f>
        <v>17</v>
      </c>
      <c r="H1129" s="22">
        <v>9.0</v>
      </c>
      <c r="I1129" s="23">
        <f>IFERROR(VLOOKUP(B1129,DADOS!$A$2:$H$252,4,0)*H1129,"")</f>
        <v>1.5444594</v>
      </c>
      <c r="J1129" s="24">
        <v>2.0</v>
      </c>
      <c r="K1129" s="25">
        <f>IFERROR(VLOOKUP(B1129,DADOS!$A$2:$H$252,4,0)*J1129,"")</f>
        <v>0.3432132</v>
      </c>
      <c r="L1129" s="26">
        <f t="shared" si="23"/>
        <v>0</v>
      </c>
      <c r="M1129" s="27"/>
      <c r="N1129" s="30"/>
      <c r="O1129" s="28"/>
      <c r="P1129" s="28"/>
      <c r="Q1129" s="28"/>
      <c r="R1129" s="28"/>
      <c r="S1129" s="28"/>
    </row>
    <row r="1130">
      <c r="A1130" s="17">
        <v>45730.0</v>
      </c>
      <c r="B1130" s="18" t="s">
        <v>26</v>
      </c>
      <c r="C1130" s="18" t="s">
        <v>168</v>
      </c>
      <c r="D1130" s="19">
        <v>0.5902777777777778</v>
      </c>
      <c r="E1130" s="19">
        <v>0.6770833333333334</v>
      </c>
      <c r="F1130" s="20">
        <f t="shared" si="21"/>
        <v>0.08680555556</v>
      </c>
      <c r="G1130" s="21">
        <f>IFERROR(VLOOKUP(B1130,DADOS!$A$2:$H$252,8,0),"")</f>
        <v>50</v>
      </c>
      <c r="H1130" s="22">
        <v>40.0</v>
      </c>
      <c r="I1130" s="23">
        <f>IFERROR(VLOOKUP(B1130,DADOS!$A$2:$H$252,4,0)*H1130,"")</f>
        <v>4.557344</v>
      </c>
      <c r="J1130" s="24">
        <v>1.0</v>
      </c>
      <c r="K1130" s="25">
        <f>IFERROR(VLOOKUP(B1130,DADOS!$A$2:$H$252,4,0)*J1130,"")</f>
        <v>0.1139336</v>
      </c>
      <c r="L1130" s="26">
        <f t="shared" si="23"/>
        <v>0</v>
      </c>
      <c r="M1130" s="27"/>
      <c r="N1130" s="30"/>
      <c r="O1130" s="28"/>
      <c r="P1130" s="28"/>
      <c r="Q1130" s="28"/>
      <c r="R1130" s="28"/>
      <c r="S1130" s="28"/>
    </row>
    <row r="1131">
      <c r="A1131" s="17">
        <v>45730.0</v>
      </c>
      <c r="B1131" s="18" t="s">
        <v>25</v>
      </c>
      <c r="C1131" s="18" t="s">
        <v>165</v>
      </c>
      <c r="D1131" s="19">
        <v>0.3194444444444444</v>
      </c>
      <c r="E1131" s="19">
        <v>0.6736111111111112</v>
      </c>
      <c r="F1131" s="20">
        <f t="shared" si="21"/>
        <v>0.3541666667</v>
      </c>
      <c r="G1131" s="21">
        <f>IFERROR(VLOOKUP(B1131,DADOS!$A$2:$H$252,8,0),"")</f>
        <v>40</v>
      </c>
      <c r="H1131" s="22">
        <v>141.0</v>
      </c>
      <c r="I1131" s="23">
        <f>IFERROR(VLOOKUP(B1131,DADOS!$A$2:$H$252,4,0)*H1131,"")</f>
        <v>14.604216</v>
      </c>
      <c r="J1131" s="24">
        <v>1.0</v>
      </c>
      <c r="K1131" s="25">
        <f>IFERROR(VLOOKUP(B1131,DADOS!$A$2:$H$252,4,0)*J1131,"")</f>
        <v>0.103576</v>
      </c>
      <c r="L1131" s="26">
        <f t="shared" si="23"/>
        <v>0</v>
      </c>
      <c r="M1131" s="27"/>
      <c r="N1131" s="30"/>
      <c r="O1131" s="28"/>
      <c r="P1131" s="28"/>
      <c r="Q1131" s="28"/>
      <c r="R1131" s="28"/>
      <c r="S1131" s="28"/>
    </row>
    <row r="1132">
      <c r="A1132" s="17">
        <v>45733.0</v>
      </c>
      <c r="B1132" s="18" t="s">
        <v>26</v>
      </c>
      <c r="C1132" s="18" t="s">
        <v>168</v>
      </c>
      <c r="D1132" s="19">
        <v>0.3194444444444444</v>
      </c>
      <c r="E1132" s="19">
        <v>0.71875</v>
      </c>
      <c r="F1132" s="20">
        <f t="shared" si="21"/>
        <v>0.3993055556</v>
      </c>
      <c r="G1132" s="21">
        <f>IFERROR(VLOOKUP(B1132,DADOS!$A$2:$H$252,8,0),"")</f>
        <v>50</v>
      </c>
      <c r="H1132" s="22">
        <v>145.0</v>
      </c>
      <c r="I1132" s="23">
        <f>IFERROR(VLOOKUP(B1132,DADOS!$A$2:$H$252,4,0)*H1132,"")</f>
        <v>16.520372</v>
      </c>
      <c r="J1132" s="24">
        <v>2.0</v>
      </c>
      <c r="K1132" s="25">
        <f>IFERROR(VLOOKUP(B1132,DADOS!$A$2:$H$252,4,0)*J1132,"")</f>
        <v>0.2278672</v>
      </c>
      <c r="L1132" s="26">
        <f t="shared" si="23"/>
        <v>0</v>
      </c>
      <c r="M1132" s="27"/>
      <c r="N1132" s="30"/>
      <c r="O1132" s="28"/>
      <c r="P1132" s="28"/>
      <c r="Q1132" s="28"/>
      <c r="R1132" s="28"/>
      <c r="S1132" s="28"/>
    </row>
    <row r="1133">
      <c r="A1133" s="17">
        <v>45733.0</v>
      </c>
      <c r="B1133" s="18" t="s">
        <v>44</v>
      </c>
      <c r="C1133" s="18" t="s">
        <v>168</v>
      </c>
      <c r="D1133" s="19">
        <v>0.3194444444444444</v>
      </c>
      <c r="E1133" s="19">
        <v>0.71875</v>
      </c>
      <c r="F1133" s="20">
        <f t="shared" si="21"/>
        <v>0.3993055556</v>
      </c>
      <c r="G1133" s="21">
        <f>IFERROR(VLOOKUP(B1133,DADOS!$A$2:$H$252,8,0),"")</f>
        <v>15</v>
      </c>
      <c r="H1133" s="22">
        <v>2.0</v>
      </c>
      <c r="I1133" s="23">
        <f>IFERROR(VLOOKUP(B1133,DADOS!$A$2:$H$252,4,0)*H1133,"")</f>
        <v>0.3691072</v>
      </c>
      <c r="J1133" s="36"/>
      <c r="K1133" s="25">
        <f>IFERROR(VLOOKUP(B1133,DADOS!$A$2:$H$252,4,0)*J1133,"")</f>
        <v>0</v>
      </c>
      <c r="L1133" s="26">
        <f t="shared" si="23"/>
        <v>0</v>
      </c>
      <c r="M1133" s="27"/>
      <c r="N1133" s="30"/>
      <c r="O1133" s="28"/>
      <c r="P1133" s="28"/>
      <c r="Q1133" s="28"/>
      <c r="R1133" s="28"/>
      <c r="S1133" s="28"/>
    </row>
    <row r="1134">
      <c r="A1134" s="17">
        <v>45733.0</v>
      </c>
      <c r="B1134" s="18" t="s">
        <v>31</v>
      </c>
      <c r="C1134" s="18" t="s">
        <v>168</v>
      </c>
      <c r="D1134" s="19">
        <v>0.3194444444444444</v>
      </c>
      <c r="E1134" s="19">
        <v>0.71875</v>
      </c>
      <c r="F1134" s="20">
        <f t="shared" si="21"/>
        <v>0.3993055556</v>
      </c>
      <c r="G1134" s="21">
        <f>IFERROR(VLOOKUP(B1134,DADOS!$A$2:$H$252,8,0),"")</f>
        <v>10</v>
      </c>
      <c r="H1134" s="22">
        <v>1.0</v>
      </c>
      <c r="I1134" s="23">
        <f>IFERROR(VLOOKUP(B1134,DADOS!$A$2:$H$252,4,0)*H1134,"")</f>
        <v>0.1355904</v>
      </c>
      <c r="J1134" s="36"/>
      <c r="K1134" s="25">
        <f>IFERROR(VLOOKUP(B1134,DADOS!$A$2:$H$252,4,0)*J1134,"")</f>
        <v>0</v>
      </c>
      <c r="L1134" s="26">
        <f t="shared" si="23"/>
        <v>0</v>
      </c>
      <c r="M1134" s="27"/>
      <c r="N1134" s="30"/>
      <c r="O1134" s="28"/>
      <c r="P1134" s="28"/>
      <c r="Q1134" s="28"/>
      <c r="R1134" s="28"/>
      <c r="S1134" s="28"/>
    </row>
    <row r="1135">
      <c r="A1135" s="17">
        <v>45733.0</v>
      </c>
      <c r="B1135" s="18" t="s">
        <v>44</v>
      </c>
      <c r="C1135" s="18" t="s">
        <v>19</v>
      </c>
      <c r="D1135" s="19"/>
      <c r="E1135" s="19"/>
      <c r="F1135" s="20">
        <f t="shared" si="21"/>
        <v>0</v>
      </c>
      <c r="G1135" s="21">
        <f>IFERROR(VLOOKUP(B1135,DADOS!$A$2:$H$252,8,0),"")</f>
        <v>15</v>
      </c>
      <c r="H1135" s="22">
        <v>6.0</v>
      </c>
      <c r="I1135" s="23">
        <f>IFERROR(VLOOKUP(B1135,DADOS!$A$2:$H$252,4,0)*H1135,"")</f>
        <v>1.1073216</v>
      </c>
      <c r="J1135" s="36"/>
      <c r="K1135" s="25">
        <f>IFERROR(VLOOKUP(B1135,DADOS!$A$2:$H$252,4,0)*J1135,"")</f>
        <v>0</v>
      </c>
      <c r="L1135" s="26">
        <f t="shared" si="23"/>
        <v>0</v>
      </c>
      <c r="M1135" s="27"/>
      <c r="N1135" s="30"/>
      <c r="O1135" s="28"/>
      <c r="P1135" s="28"/>
      <c r="Q1135" s="28"/>
      <c r="R1135" s="28"/>
      <c r="S1135" s="28"/>
    </row>
    <row r="1136">
      <c r="A1136" s="17">
        <v>45733.0</v>
      </c>
      <c r="B1136" s="18" t="s">
        <v>31</v>
      </c>
      <c r="C1136" s="18" t="s">
        <v>19</v>
      </c>
      <c r="D1136" s="19"/>
      <c r="E1136" s="19"/>
      <c r="F1136" s="20">
        <f t="shared" si="21"/>
        <v>0</v>
      </c>
      <c r="G1136" s="21">
        <f>IFERROR(VLOOKUP(B1136,DADOS!$A$2:$H$252,8,0),"")</f>
        <v>10</v>
      </c>
      <c r="H1136" s="22">
        <v>1.0</v>
      </c>
      <c r="I1136" s="23">
        <f>IFERROR(VLOOKUP(B1136,DADOS!$A$2:$H$252,4,0)*H1136,"")</f>
        <v>0.1355904</v>
      </c>
      <c r="J1136" s="36"/>
      <c r="K1136" s="25">
        <f>IFERROR(VLOOKUP(B1136,DADOS!$A$2:$H$252,4,0)*J1136,"")</f>
        <v>0</v>
      </c>
      <c r="L1136" s="26">
        <f t="shared" si="23"/>
        <v>0</v>
      </c>
      <c r="M1136" s="27"/>
      <c r="N1136" s="30"/>
      <c r="O1136" s="28"/>
      <c r="P1136" s="28"/>
      <c r="Q1136" s="28"/>
      <c r="R1136" s="28"/>
      <c r="S1136" s="28"/>
    </row>
    <row r="1137">
      <c r="A1137" s="17">
        <v>45733.0</v>
      </c>
      <c r="B1137" s="18" t="s">
        <v>116</v>
      </c>
      <c r="C1137" s="18" t="s">
        <v>165</v>
      </c>
      <c r="D1137" s="19">
        <v>0.3263888888888889</v>
      </c>
      <c r="E1137" s="19">
        <v>0.4618055555555556</v>
      </c>
      <c r="F1137" s="20">
        <f t="shared" si="21"/>
        <v>0.1354166667</v>
      </c>
      <c r="G1137" s="21">
        <f>IFERROR(VLOOKUP(B1137,DADOS!$A$2:$H$252,8,0),"")</f>
        <v>15</v>
      </c>
      <c r="H1137" s="22">
        <v>5.0</v>
      </c>
      <c r="I1137" s="23">
        <f>IFERROR(VLOOKUP(B1137,DADOS!$A$2:$H$252,4,0)*H1137,"")</f>
        <v>1.38672</v>
      </c>
      <c r="J1137" s="36"/>
      <c r="K1137" s="25">
        <f>IFERROR(VLOOKUP(B1137,DADOS!$A$2:$H$252,4,0)*J1137,"")</f>
        <v>0</v>
      </c>
      <c r="L1137" s="26">
        <f t="shared" si="23"/>
        <v>0</v>
      </c>
      <c r="M1137" s="27"/>
      <c r="N1137" s="30"/>
      <c r="O1137" s="28"/>
      <c r="P1137" s="28"/>
      <c r="Q1137" s="28"/>
      <c r="R1137" s="28"/>
      <c r="S1137" s="28"/>
    </row>
    <row r="1138">
      <c r="A1138" s="17">
        <v>45733.0</v>
      </c>
      <c r="B1138" s="18" t="s">
        <v>115</v>
      </c>
      <c r="C1138" s="18" t="s">
        <v>165</v>
      </c>
      <c r="D1138" s="19">
        <v>0.3263888888888889</v>
      </c>
      <c r="E1138" s="19">
        <v>0.4618055555555556</v>
      </c>
      <c r="F1138" s="20">
        <f t="shared" si="21"/>
        <v>0.1354166667</v>
      </c>
      <c r="G1138" s="21">
        <f>IFERROR(VLOOKUP(B1138,DADOS!$A$2:$H$252,8,0),"")</f>
        <v>12</v>
      </c>
      <c r="H1138" s="22">
        <v>15.0</v>
      </c>
      <c r="I1138" s="23">
        <f>IFERROR(VLOOKUP(B1138,DADOS!$A$2:$H$252,4,0)*H1138,"")</f>
        <v>4.39449</v>
      </c>
      <c r="J1138" s="36"/>
      <c r="K1138" s="25">
        <f>IFERROR(VLOOKUP(B1138,DADOS!$A$2:$H$252,4,0)*J1138,"")</f>
        <v>0</v>
      </c>
      <c r="L1138" s="26">
        <f t="shared" si="23"/>
        <v>0</v>
      </c>
      <c r="M1138" s="27"/>
      <c r="N1138" s="30"/>
      <c r="O1138" s="28"/>
      <c r="P1138" s="28"/>
      <c r="Q1138" s="28"/>
      <c r="R1138" s="28"/>
      <c r="S1138" s="28"/>
    </row>
    <row r="1139">
      <c r="A1139" s="17">
        <v>45733.0</v>
      </c>
      <c r="B1139" s="18" t="s">
        <v>25</v>
      </c>
      <c r="C1139" s="18" t="s">
        <v>165</v>
      </c>
      <c r="D1139" s="19">
        <v>0.46875</v>
      </c>
      <c r="E1139" s="19">
        <v>0.7152777777777778</v>
      </c>
      <c r="F1139" s="20">
        <f t="shared" si="21"/>
        <v>0.2465277778</v>
      </c>
      <c r="G1139" s="21">
        <f>IFERROR(VLOOKUP(B1139,DADOS!$A$2:$H$252,8,0),"")</f>
        <v>40</v>
      </c>
      <c r="H1139" s="22">
        <v>73.0</v>
      </c>
      <c r="I1139" s="23">
        <f>IFERROR(VLOOKUP(B1139,DADOS!$A$2:$H$252,4,0)*H1139,"")</f>
        <v>7.561048</v>
      </c>
      <c r="J1139" s="24">
        <v>1.0</v>
      </c>
      <c r="K1139" s="25">
        <f>IFERROR(VLOOKUP(B1139,DADOS!$A$2:$H$252,4,0)*J1139,"")</f>
        <v>0.103576</v>
      </c>
      <c r="L1139" s="26">
        <f t="shared" si="23"/>
        <v>0</v>
      </c>
      <c r="M1139" s="27"/>
      <c r="N1139" s="30"/>
      <c r="O1139" s="28"/>
      <c r="P1139" s="28"/>
      <c r="Q1139" s="28"/>
      <c r="R1139" s="28"/>
      <c r="S1139" s="28"/>
    </row>
    <row r="1140">
      <c r="A1140" s="17">
        <v>45734.0</v>
      </c>
      <c r="B1140" s="18" t="s">
        <v>22</v>
      </c>
      <c r="C1140" s="18" t="s">
        <v>166</v>
      </c>
      <c r="D1140" s="19">
        <v>0.3194444444444444</v>
      </c>
      <c r="E1140" s="19">
        <v>0.4930555555555556</v>
      </c>
      <c r="F1140" s="20">
        <f t="shared" si="21"/>
        <v>0.1736111111</v>
      </c>
      <c r="G1140" s="21">
        <f>IFERROR(VLOOKUP(B1140,DADOS!$A$2:$H$252,8,0),"")</f>
        <v>15</v>
      </c>
      <c r="H1140" s="22">
        <v>50.0</v>
      </c>
      <c r="I1140" s="23">
        <f>IFERROR(VLOOKUP(B1140,DADOS!$A$2:$H$252,4,0)*H1140,"")</f>
        <v>30.61377</v>
      </c>
      <c r="J1140" s="36"/>
      <c r="K1140" s="25">
        <f>IFERROR(VLOOKUP(B1140,DADOS!$A$2:$H$252,4,0)*J1140,"")</f>
        <v>0</v>
      </c>
      <c r="L1140" s="26">
        <f t="shared" si="23"/>
        <v>0</v>
      </c>
      <c r="M1140" s="27"/>
      <c r="N1140" s="30"/>
      <c r="O1140" s="28"/>
      <c r="P1140" s="28"/>
      <c r="Q1140" s="28"/>
      <c r="R1140" s="28"/>
      <c r="S1140" s="28"/>
    </row>
    <row r="1141">
      <c r="A1141" s="17">
        <v>45734.0</v>
      </c>
      <c r="B1141" s="18" t="s">
        <v>31</v>
      </c>
      <c r="C1141" s="18" t="s">
        <v>168</v>
      </c>
      <c r="D1141" s="19"/>
      <c r="E1141" s="19"/>
      <c r="F1141" s="20"/>
      <c r="G1141" s="21">
        <f>IFERROR(VLOOKUP(B1141,DADOS!$A$2:$H$252,8,0),"")</f>
        <v>10</v>
      </c>
      <c r="H1141" s="22">
        <v>48.0</v>
      </c>
      <c r="I1141" s="23">
        <f>IFERROR(VLOOKUP(B1141,DADOS!$A$2:$H$252,4,0)*H1141,"")</f>
        <v>6.5083392</v>
      </c>
      <c r="J1141" s="24">
        <v>2.0</v>
      </c>
      <c r="K1141" s="25">
        <f>IFERROR(VLOOKUP(B1141,DADOS!$A$2:$H$252,4,0)*J1141,"")</f>
        <v>0.2711808</v>
      </c>
      <c r="L1141" s="26">
        <f t="shared" si="23"/>
        <v>0</v>
      </c>
      <c r="M1141" s="27"/>
      <c r="N1141" s="30"/>
      <c r="O1141" s="28"/>
      <c r="P1141" s="28"/>
      <c r="Q1141" s="28"/>
      <c r="R1141" s="28"/>
      <c r="S1141" s="28"/>
    </row>
    <row r="1142">
      <c r="A1142" s="17">
        <v>45734.0</v>
      </c>
      <c r="B1142" s="18" t="s">
        <v>25</v>
      </c>
      <c r="C1142" s="18" t="s">
        <v>165</v>
      </c>
      <c r="D1142" s="19">
        <v>0.3333333333333333</v>
      </c>
      <c r="E1142" s="19">
        <v>0.4166666666666667</v>
      </c>
      <c r="F1142" s="20">
        <f t="shared" ref="F1142:F2524" si="24">E1142-D1142</f>
        <v>0.08333333333</v>
      </c>
      <c r="G1142" s="21">
        <f>IFERROR(VLOOKUP(B1142,DADOS!$A$2:$H$252,8,0),"")</f>
        <v>40</v>
      </c>
      <c r="H1142" s="22">
        <v>25.0</v>
      </c>
      <c r="I1142" s="23">
        <f>IFERROR(VLOOKUP(B1142,DADOS!$A$2:$H$252,4,0)*H1142,"")</f>
        <v>2.5894</v>
      </c>
      <c r="J1142" s="36"/>
      <c r="K1142" s="25">
        <f>IFERROR(VLOOKUP(B1142,DADOS!$A$2:$H$252,4,0)*J1142,"")</f>
        <v>0</v>
      </c>
      <c r="L1142" s="26">
        <f t="shared" si="23"/>
        <v>0</v>
      </c>
      <c r="M1142" s="27"/>
      <c r="N1142" s="30"/>
      <c r="O1142" s="28"/>
      <c r="P1142" s="28"/>
      <c r="Q1142" s="28"/>
      <c r="R1142" s="28"/>
      <c r="S1142" s="28"/>
    </row>
    <row r="1143">
      <c r="A1143" s="17">
        <v>45734.0</v>
      </c>
      <c r="B1143" s="18" t="s">
        <v>96</v>
      </c>
      <c r="C1143" s="18" t="s">
        <v>165</v>
      </c>
      <c r="D1143" s="19">
        <v>0.4791666666666667</v>
      </c>
      <c r="E1143" s="19">
        <v>0.7118055555555556</v>
      </c>
      <c r="F1143" s="20">
        <f t="shared" si="24"/>
        <v>0.2326388889</v>
      </c>
      <c r="G1143" s="21">
        <f>IFERROR(VLOOKUP(B1143,DADOS!$A$2:$H$252,8,0),"")</f>
        <v>27</v>
      </c>
      <c r="H1143" s="22">
        <v>116.0</v>
      </c>
      <c r="I1143" s="23">
        <f>IFERROR(VLOOKUP(B1143,DADOS!$A$2:$H$252,4,0)*H1143,"")</f>
        <v>10.92256</v>
      </c>
      <c r="J1143" s="24">
        <v>3.0</v>
      </c>
      <c r="K1143" s="25">
        <f>IFERROR(VLOOKUP(B1143,DADOS!$A$2:$H$252,4,0)*J1143,"")</f>
        <v>0.28248</v>
      </c>
      <c r="L1143" s="26">
        <f t="shared" si="23"/>
        <v>0</v>
      </c>
      <c r="M1143" s="27"/>
      <c r="N1143" s="30"/>
      <c r="O1143" s="28"/>
      <c r="P1143" s="28"/>
      <c r="Q1143" s="28"/>
      <c r="R1143" s="28"/>
      <c r="S1143" s="28"/>
    </row>
    <row r="1144">
      <c r="A1144" s="17">
        <v>45735.0</v>
      </c>
      <c r="B1144" s="18" t="s">
        <v>26</v>
      </c>
      <c r="C1144" s="18" t="s">
        <v>168</v>
      </c>
      <c r="D1144" s="19">
        <v>0.3194444444444444</v>
      </c>
      <c r="E1144" s="19">
        <v>0.4673611111111111</v>
      </c>
      <c r="F1144" s="20">
        <f t="shared" si="24"/>
        <v>0.1479166667</v>
      </c>
      <c r="G1144" s="21">
        <f>IFERROR(VLOOKUP(B1144,DADOS!$A$2:$H$252,8,0),"")</f>
        <v>50</v>
      </c>
      <c r="H1144" s="22">
        <v>61.0</v>
      </c>
      <c r="I1144" s="23">
        <f>IFERROR(VLOOKUP(B1144,DADOS!$A$2:$H$252,4,0)*H1144,"")</f>
        <v>6.9499496</v>
      </c>
      <c r="J1144" s="24">
        <v>1.0</v>
      </c>
      <c r="K1144" s="25">
        <f>IFERROR(VLOOKUP(B1144,DADOS!$A$2:$H$252,4,0)*J1144,"")</f>
        <v>0.1139336</v>
      </c>
      <c r="L1144" s="26">
        <f t="shared" si="23"/>
        <v>0</v>
      </c>
      <c r="M1144" s="27"/>
      <c r="N1144" s="30"/>
      <c r="O1144" s="28"/>
      <c r="P1144" s="28"/>
      <c r="Q1144" s="28"/>
      <c r="R1144" s="28"/>
      <c r="S1144" s="28"/>
    </row>
    <row r="1145">
      <c r="A1145" s="17">
        <v>45735.0</v>
      </c>
      <c r="B1145" s="18" t="s">
        <v>49</v>
      </c>
      <c r="C1145" s="18" t="s">
        <v>168</v>
      </c>
      <c r="D1145" s="19">
        <v>0.6666666666666666</v>
      </c>
      <c r="E1145" s="19">
        <v>0.7201388888888889</v>
      </c>
      <c r="F1145" s="20">
        <f t="shared" si="24"/>
        <v>0.05347222222</v>
      </c>
      <c r="G1145" s="21">
        <f>IFERROR(VLOOKUP(B1145,DADOS!$A$2:$H$252,8,0),"")</f>
        <v>42</v>
      </c>
      <c r="H1145" s="22">
        <v>18.0</v>
      </c>
      <c r="I1145" s="23">
        <f>IFERROR(VLOOKUP(B1145,DADOS!$A$2:$H$252,4,0)*H1145,"")</f>
        <v>1.2245508</v>
      </c>
      <c r="J1145" s="36"/>
      <c r="K1145" s="25">
        <f>IFERROR(VLOOKUP(B1145,DADOS!$A$2:$H$252,4,0)*J1145,"")</f>
        <v>0</v>
      </c>
      <c r="L1145" s="26">
        <f t="shared" si="23"/>
        <v>0</v>
      </c>
      <c r="M1145" s="27"/>
      <c r="N1145" s="30"/>
      <c r="O1145" s="28"/>
      <c r="P1145" s="28"/>
      <c r="Q1145" s="28"/>
      <c r="R1145" s="28"/>
      <c r="S1145" s="28"/>
    </row>
    <row r="1146">
      <c r="A1146" s="17">
        <v>45735.0</v>
      </c>
      <c r="B1146" s="18" t="s">
        <v>93</v>
      </c>
      <c r="C1146" s="18" t="s">
        <v>165</v>
      </c>
      <c r="D1146" s="19">
        <v>0.3590277777777778</v>
      </c>
      <c r="E1146" s="19">
        <v>0.6666666666666666</v>
      </c>
      <c r="F1146" s="20">
        <f t="shared" si="24"/>
        <v>0.3076388889</v>
      </c>
      <c r="G1146" s="21" t="str">
        <f>IFERROR(VLOOKUP(B1146,DADOS!$A$2:$H$252,8,0),"")</f>
        <v/>
      </c>
      <c r="H1146" s="22">
        <v>82.0</v>
      </c>
      <c r="I1146" s="23" t="str">
        <f>IFERROR(VLOOKUP(B1146,DADOS!$A$2:$H$252,4,0)*H1146,"")</f>
        <v/>
      </c>
      <c r="J1146" s="36"/>
      <c r="K1146" s="25" t="str">
        <f>IFERROR(VLOOKUP(B1146,DADOS!$A$2:$H$252,4,0)*J1146,"")</f>
        <v/>
      </c>
      <c r="L1146" s="26" t="str">
        <f t="shared" si="23"/>
        <v/>
      </c>
      <c r="M1146" s="27"/>
      <c r="N1146" s="30"/>
      <c r="O1146" s="28"/>
      <c r="P1146" s="28"/>
      <c r="Q1146" s="28"/>
      <c r="R1146" s="28"/>
      <c r="S1146" s="28"/>
    </row>
    <row r="1147">
      <c r="A1147" s="17">
        <v>45735.0</v>
      </c>
      <c r="B1147" s="18" t="s">
        <v>93</v>
      </c>
      <c r="C1147" s="18" t="s">
        <v>165</v>
      </c>
      <c r="D1147" s="19">
        <v>0.6944444444444444</v>
      </c>
      <c r="E1147" s="19">
        <v>0.71875</v>
      </c>
      <c r="F1147" s="20">
        <f t="shared" si="24"/>
        <v>0.02430555556</v>
      </c>
      <c r="G1147" s="21" t="str">
        <f>IFERROR(VLOOKUP(B1147,DADOS!$A$2:$H$252,8,0),"")</f>
        <v/>
      </c>
      <c r="H1147" s="22">
        <v>9.0</v>
      </c>
      <c r="I1147" s="23" t="str">
        <f>IFERROR(VLOOKUP(B1147,DADOS!$A$2:$H$252,4,0)*H1147,"")</f>
        <v/>
      </c>
      <c r="J1147" s="36"/>
      <c r="K1147" s="25" t="str">
        <f>IFERROR(VLOOKUP(B1147,DADOS!$A$2:$H$252,4,0)*J1147,"")</f>
        <v/>
      </c>
      <c r="L1147" s="26" t="str">
        <f t="shared" si="23"/>
        <v/>
      </c>
      <c r="M1147" s="27"/>
      <c r="N1147" s="30"/>
      <c r="O1147" s="28"/>
      <c r="P1147" s="28"/>
      <c r="Q1147" s="28"/>
      <c r="R1147" s="28"/>
      <c r="S1147" s="28"/>
    </row>
    <row r="1148">
      <c r="A1148" s="17">
        <v>45736.0</v>
      </c>
      <c r="B1148" s="18" t="s">
        <v>96</v>
      </c>
      <c r="C1148" s="18" t="s">
        <v>165</v>
      </c>
      <c r="D1148" s="19">
        <v>0.3333333333333333</v>
      </c>
      <c r="E1148" s="19">
        <v>0.36180555555555555</v>
      </c>
      <c r="F1148" s="20">
        <f t="shared" si="24"/>
        <v>0.02847222222</v>
      </c>
      <c r="G1148" s="21">
        <f>IFERROR(VLOOKUP(B1148,DADOS!$A$2:$H$252,8,0),"")</f>
        <v>27</v>
      </c>
      <c r="H1148" s="22">
        <v>9.0</v>
      </c>
      <c r="I1148" s="23">
        <f>IFERROR(VLOOKUP(B1148,DADOS!$A$2:$H$252,4,0)*H1148,"")</f>
        <v>0.84744</v>
      </c>
      <c r="J1148" s="36"/>
      <c r="K1148" s="25">
        <f>IFERROR(VLOOKUP(B1148,DADOS!$A$2:$H$252,4,0)*J1148,"")</f>
        <v>0</v>
      </c>
      <c r="L1148" s="26">
        <f t="shared" si="23"/>
        <v>0</v>
      </c>
      <c r="M1148" s="27"/>
      <c r="N1148" s="30"/>
      <c r="O1148" s="28"/>
      <c r="P1148" s="28"/>
      <c r="Q1148" s="28"/>
      <c r="R1148" s="28"/>
      <c r="S1148" s="28"/>
    </row>
    <row r="1149">
      <c r="A1149" s="17">
        <v>45736.0</v>
      </c>
      <c r="B1149" s="18" t="s">
        <v>101</v>
      </c>
      <c r="C1149" s="18" t="s">
        <v>165</v>
      </c>
      <c r="D1149" s="19">
        <v>0.375</v>
      </c>
      <c r="E1149" s="19">
        <v>0.5555555555555556</v>
      </c>
      <c r="F1149" s="20">
        <f t="shared" si="24"/>
        <v>0.1805555556</v>
      </c>
      <c r="G1149" s="21" t="str">
        <f>IFERROR(VLOOKUP(B1149,DADOS!$A$2:$H$252,8,0),"")</f>
        <v/>
      </c>
      <c r="H1149" s="22">
        <v>6.0</v>
      </c>
      <c r="I1149" s="23">
        <f>IFERROR(VLOOKUP(B1149,DADOS!$A$2:$H$252,4,0)*H1149,"")</f>
        <v>0.9547824</v>
      </c>
      <c r="J1149" s="36"/>
      <c r="K1149" s="25">
        <f>IFERROR(VLOOKUP(B1149,DADOS!$A$2:$H$252,4,0)*J1149,"")</f>
        <v>0</v>
      </c>
      <c r="L1149" s="26">
        <f t="shared" si="23"/>
        <v>0</v>
      </c>
      <c r="M1149" s="27"/>
      <c r="N1149" s="30"/>
      <c r="O1149" s="28"/>
      <c r="P1149" s="28"/>
      <c r="Q1149" s="28"/>
      <c r="R1149" s="28"/>
      <c r="S1149" s="28"/>
    </row>
    <row r="1150">
      <c r="A1150" s="17">
        <v>45736.0</v>
      </c>
      <c r="B1150" s="18" t="s">
        <v>49</v>
      </c>
      <c r="C1150" s="18" t="s">
        <v>165</v>
      </c>
      <c r="D1150" s="19">
        <v>0.5625</v>
      </c>
      <c r="E1150" s="19">
        <v>0.71875</v>
      </c>
      <c r="F1150" s="20">
        <f t="shared" si="24"/>
        <v>0.15625</v>
      </c>
      <c r="G1150" s="21">
        <f>IFERROR(VLOOKUP(B1150,DADOS!$A$2:$H$252,8,0),"")</f>
        <v>42</v>
      </c>
      <c r="H1150" s="22">
        <v>40.0</v>
      </c>
      <c r="I1150" s="23">
        <f>IFERROR(VLOOKUP(B1150,DADOS!$A$2:$H$252,4,0)*H1150,"")</f>
        <v>2.721224</v>
      </c>
      <c r="J1150" s="24">
        <v>2.0</v>
      </c>
      <c r="K1150" s="25">
        <f>IFERROR(VLOOKUP(B1150,DADOS!$A$2:$H$252,4,0)*J1150,"")</f>
        <v>0.1360612</v>
      </c>
      <c r="L1150" s="26">
        <f t="shared" si="23"/>
        <v>0</v>
      </c>
      <c r="M1150" s="27"/>
      <c r="N1150" s="30"/>
      <c r="O1150" s="28"/>
      <c r="P1150" s="28"/>
      <c r="Q1150" s="28"/>
      <c r="R1150" s="28"/>
      <c r="S1150" s="28"/>
    </row>
    <row r="1151">
      <c r="A1151" s="17">
        <v>45737.0</v>
      </c>
      <c r="B1151" s="18" t="s">
        <v>48</v>
      </c>
      <c r="C1151" s="18" t="s">
        <v>19</v>
      </c>
      <c r="D1151" s="19"/>
      <c r="E1151" s="19"/>
      <c r="F1151" s="20">
        <f t="shared" si="24"/>
        <v>0</v>
      </c>
      <c r="G1151" s="21">
        <f>IFERROR(VLOOKUP(B1151,DADOS!$A$2:$H$252,8,0),"")</f>
        <v>6</v>
      </c>
      <c r="H1151" s="22">
        <v>17.0</v>
      </c>
      <c r="I1151" s="23">
        <f>IFERROR(VLOOKUP(B1151,DADOS!$A$2:$H$252,4,0)*H1151,"")</f>
        <v>1.9368712</v>
      </c>
      <c r="J1151" s="36"/>
      <c r="K1151" s="25">
        <f>IFERROR(VLOOKUP(B1151,DADOS!$A$2:$H$252,4,0)*J1151,"")</f>
        <v>0</v>
      </c>
      <c r="L1151" s="26">
        <f t="shared" si="23"/>
        <v>0</v>
      </c>
      <c r="M1151" s="27"/>
      <c r="N1151" s="30"/>
      <c r="O1151" s="28"/>
      <c r="P1151" s="28"/>
      <c r="Q1151" s="28"/>
      <c r="R1151" s="28"/>
      <c r="S1151" s="28"/>
    </row>
    <row r="1152">
      <c r="A1152" s="17">
        <v>45737.0</v>
      </c>
      <c r="B1152" s="18" t="s">
        <v>49</v>
      </c>
      <c r="C1152" s="18" t="s">
        <v>165</v>
      </c>
      <c r="D1152" s="19"/>
      <c r="E1152" s="19"/>
      <c r="F1152" s="20">
        <f t="shared" si="24"/>
        <v>0</v>
      </c>
      <c r="G1152" s="21">
        <f>IFERROR(VLOOKUP(B1152,DADOS!$A$2:$H$252,8,0),"")</f>
        <v>42</v>
      </c>
      <c r="H1152" s="22">
        <v>21.0</v>
      </c>
      <c r="I1152" s="23">
        <f>IFERROR(VLOOKUP(B1152,DADOS!$A$2:$H$252,4,0)*H1152,"")</f>
        <v>1.4286426</v>
      </c>
      <c r="J1152" s="24">
        <v>2.0</v>
      </c>
      <c r="K1152" s="25">
        <f>IFERROR(VLOOKUP(B1152,DADOS!$A$2:$H$252,4,0)*J1152,"")</f>
        <v>0.1360612</v>
      </c>
      <c r="L1152" s="26">
        <f t="shared" si="23"/>
        <v>0</v>
      </c>
      <c r="M1152" s="27"/>
      <c r="N1152" s="30"/>
      <c r="O1152" s="28"/>
      <c r="P1152" s="28"/>
      <c r="Q1152" s="28"/>
      <c r="R1152" s="28"/>
      <c r="S1152" s="28"/>
    </row>
    <row r="1153">
      <c r="A1153" s="43">
        <v>45737.0</v>
      </c>
      <c r="B1153" s="18" t="s">
        <v>22</v>
      </c>
      <c r="C1153" s="18"/>
      <c r="D1153" s="19"/>
      <c r="E1153" s="19"/>
      <c r="F1153" s="20">
        <f t="shared" si="24"/>
        <v>0</v>
      </c>
      <c r="G1153" s="21">
        <f>IFERROR(VLOOKUP(B1153,DADOS!$A$2:$H$252,8,0),"")</f>
        <v>15</v>
      </c>
      <c r="H1153" s="35"/>
      <c r="I1153" s="23">
        <f>IFERROR(VLOOKUP(B1153,DADOS!$A$2:$H$252,4,0)*H1153,"")</f>
        <v>0</v>
      </c>
      <c r="J1153" s="24">
        <v>1.0</v>
      </c>
      <c r="K1153" s="25">
        <f>IFERROR(VLOOKUP(B1153,DADOS!$A$2:$H$252,4,0)*J1153,"")</f>
        <v>0.6122754</v>
      </c>
      <c r="L1153" s="26" t="str">
        <f t="shared" si="23"/>
        <v/>
      </c>
      <c r="M1153" s="30" t="s">
        <v>83</v>
      </c>
      <c r="N1153" s="30" t="s">
        <v>88</v>
      </c>
      <c r="O1153" s="28"/>
      <c r="P1153" s="28"/>
      <c r="Q1153" s="28"/>
      <c r="R1153" s="28"/>
      <c r="S1153" s="28"/>
    </row>
    <row r="1154">
      <c r="A1154" s="43">
        <v>45737.0</v>
      </c>
      <c r="B1154" s="18" t="s">
        <v>75</v>
      </c>
      <c r="C1154" s="18"/>
      <c r="D1154" s="19"/>
      <c r="E1154" s="19"/>
      <c r="F1154" s="20">
        <f t="shared" si="24"/>
        <v>0</v>
      </c>
      <c r="G1154" s="21">
        <f>IFERROR(VLOOKUP(B1154,DADOS!$A$2:$H$252,8,0),"")</f>
        <v>23</v>
      </c>
      <c r="H1154" s="35"/>
      <c r="I1154" s="23">
        <f>IFERROR(VLOOKUP(B1154,DADOS!$A$2:$H$252,4,0)*H1154,"")</f>
        <v>0</v>
      </c>
      <c r="J1154" s="24">
        <v>1.0</v>
      </c>
      <c r="K1154" s="25">
        <f>IFERROR(VLOOKUP(B1154,DADOS!$A$2:$H$252,4,0)*J1154,"")</f>
        <v>0.1139336</v>
      </c>
      <c r="L1154" s="26" t="str">
        <f t="shared" si="23"/>
        <v/>
      </c>
      <c r="M1154" s="30" t="s">
        <v>83</v>
      </c>
      <c r="N1154" s="30" t="s">
        <v>88</v>
      </c>
      <c r="O1154" s="28"/>
      <c r="P1154" s="28"/>
      <c r="Q1154" s="28"/>
      <c r="R1154" s="28"/>
      <c r="S1154" s="28"/>
    </row>
    <row r="1155">
      <c r="A1155" s="43">
        <v>45737.0</v>
      </c>
      <c r="B1155" s="18" t="s">
        <v>62</v>
      </c>
      <c r="C1155" s="18"/>
      <c r="D1155" s="19"/>
      <c r="E1155" s="19"/>
      <c r="F1155" s="20">
        <f t="shared" si="24"/>
        <v>0</v>
      </c>
      <c r="G1155" s="21">
        <f>IFERROR(VLOOKUP(B1155,DADOS!$A$2:$H$252,8,0),"")</f>
        <v>14</v>
      </c>
      <c r="H1155" s="35"/>
      <c r="I1155" s="23">
        <f>IFERROR(VLOOKUP(B1155,DADOS!$A$2:$H$252,4,0)*H1155,"")</f>
        <v>0</v>
      </c>
      <c r="J1155" s="24">
        <v>1.0</v>
      </c>
      <c r="K1155" s="25">
        <f>IFERROR(VLOOKUP(B1155,DADOS!$A$2:$H$252,4,0)*J1155,"")</f>
        <v>0.0849794</v>
      </c>
      <c r="L1155" s="26" t="str">
        <f t="shared" si="23"/>
        <v/>
      </c>
      <c r="M1155" s="30" t="s">
        <v>83</v>
      </c>
      <c r="N1155" s="30" t="s">
        <v>88</v>
      </c>
      <c r="O1155" s="28"/>
      <c r="P1155" s="28"/>
      <c r="Q1155" s="28"/>
      <c r="R1155" s="28"/>
      <c r="S1155" s="28"/>
    </row>
    <row r="1156">
      <c r="A1156" s="43">
        <v>45737.0</v>
      </c>
      <c r="B1156" s="18" t="s">
        <v>99</v>
      </c>
      <c r="C1156" s="18"/>
      <c r="D1156" s="19"/>
      <c r="E1156" s="19"/>
      <c r="F1156" s="20">
        <f t="shared" si="24"/>
        <v>0</v>
      </c>
      <c r="G1156" s="21">
        <f>IFERROR(VLOOKUP(B1156,DADOS!$A$2:$H$252,8,0),"")</f>
        <v>26</v>
      </c>
      <c r="H1156" s="35"/>
      <c r="I1156" s="23">
        <f>IFERROR(VLOOKUP(B1156,DADOS!$A$2:$H$252,4,0)*H1156,"")</f>
        <v>0</v>
      </c>
      <c r="J1156" s="24">
        <v>1.0</v>
      </c>
      <c r="K1156" s="25">
        <f>IFERROR(VLOOKUP(B1156,DADOS!$A$2:$H$252,4,0)*J1156,"")</f>
        <v>0.09416</v>
      </c>
      <c r="L1156" s="26" t="str">
        <f t="shared" si="23"/>
        <v/>
      </c>
      <c r="M1156" s="30" t="s">
        <v>83</v>
      </c>
      <c r="N1156" s="30" t="s">
        <v>88</v>
      </c>
      <c r="O1156" s="28"/>
      <c r="P1156" s="28"/>
      <c r="Q1156" s="28"/>
      <c r="R1156" s="28"/>
      <c r="S1156" s="28"/>
    </row>
    <row r="1157">
      <c r="A1157" s="43">
        <v>45737.0</v>
      </c>
      <c r="B1157" s="18" t="s">
        <v>26</v>
      </c>
      <c r="C1157" s="18"/>
      <c r="D1157" s="19"/>
      <c r="E1157" s="19"/>
      <c r="F1157" s="20">
        <f t="shared" si="24"/>
        <v>0</v>
      </c>
      <c r="G1157" s="21">
        <f>IFERROR(VLOOKUP(B1157,DADOS!$A$2:$H$252,8,0),"")</f>
        <v>50</v>
      </c>
      <c r="H1157" s="35"/>
      <c r="I1157" s="23">
        <f>IFERROR(VLOOKUP(B1157,DADOS!$A$2:$H$252,4,0)*H1157,"")</f>
        <v>0</v>
      </c>
      <c r="J1157" s="24">
        <v>2.0</v>
      </c>
      <c r="K1157" s="25">
        <f>IFERROR(VLOOKUP(B1157,DADOS!$A$2:$H$252,4,0)*J1157,"")</f>
        <v>0.2278672</v>
      </c>
      <c r="L1157" s="26" t="str">
        <f t="shared" si="23"/>
        <v/>
      </c>
      <c r="M1157" s="30" t="s">
        <v>83</v>
      </c>
      <c r="N1157" s="30" t="s">
        <v>88</v>
      </c>
      <c r="O1157" s="28"/>
      <c r="P1157" s="28"/>
      <c r="Q1157" s="28"/>
      <c r="R1157" s="28"/>
      <c r="S1157" s="28"/>
    </row>
    <row r="1158">
      <c r="A1158" s="43">
        <v>45737.0</v>
      </c>
      <c r="B1158" s="18" t="s">
        <v>16</v>
      </c>
      <c r="C1158" s="18"/>
      <c r="D1158" s="19"/>
      <c r="E1158" s="19"/>
      <c r="F1158" s="20">
        <f t="shared" si="24"/>
        <v>0</v>
      </c>
      <c r="G1158" s="21">
        <f>IFERROR(VLOOKUP(B1158,DADOS!$A$2:$H$252,8,0),"")</f>
        <v>150</v>
      </c>
      <c r="H1158" s="35"/>
      <c r="I1158" s="23">
        <f>IFERROR(VLOOKUP(B1158,DADOS!$A$2:$H$252,4,0)*H1158,"")</f>
        <v>0</v>
      </c>
      <c r="J1158" s="24">
        <v>5.0</v>
      </c>
      <c r="K1158" s="25">
        <f>IFERROR(VLOOKUP(B1158,DADOS!$A$2:$H$252,4,0)*J1158,"")</f>
        <v>0.144664</v>
      </c>
      <c r="L1158" s="26" t="str">
        <f t="shared" si="23"/>
        <v/>
      </c>
      <c r="M1158" s="30" t="s">
        <v>83</v>
      </c>
      <c r="N1158" s="30" t="s">
        <v>88</v>
      </c>
      <c r="O1158" s="28"/>
      <c r="P1158" s="28"/>
      <c r="Q1158" s="28"/>
      <c r="R1158" s="28"/>
      <c r="S1158" s="28"/>
    </row>
    <row r="1159">
      <c r="A1159" s="43">
        <v>45737.0</v>
      </c>
      <c r="B1159" s="18" t="s">
        <v>96</v>
      </c>
      <c r="C1159" s="18"/>
      <c r="D1159" s="19"/>
      <c r="E1159" s="19"/>
      <c r="F1159" s="20">
        <f t="shared" si="24"/>
        <v>0</v>
      </c>
      <c r="G1159" s="21">
        <f>IFERROR(VLOOKUP(B1159,DADOS!$A$2:$H$252,8,0),"")</f>
        <v>27</v>
      </c>
      <c r="H1159" s="35"/>
      <c r="I1159" s="23">
        <f>IFERROR(VLOOKUP(B1159,DADOS!$A$2:$H$252,4,0)*H1159,"")</f>
        <v>0</v>
      </c>
      <c r="J1159" s="24">
        <v>1.0</v>
      </c>
      <c r="K1159" s="25">
        <f>IFERROR(VLOOKUP(B1159,DADOS!$A$2:$H$252,4,0)*J1159,"")</f>
        <v>0.09416</v>
      </c>
      <c r="L1159" s="26" t="str">
        <f t="shared" si="23"/>
        <v/>
      </c>
      <c r="M1159" s="30" t="s">
        <v>83</v>
      </c>
      <c r="N1159" s="30" t="s">
        <v>88</v>
      </c>
      <c r="O1159" s="28"/>
      <c r="P1159" s="28"/>
      <c r="Q1159" s="28"/>
      <c r="R1159" s="28"/>
      <c r="S1159" s="28"/>
    </row>
    <row r="1160">
      <c r="A1160" s="43">
        <v>45737.0</v>
      </c>
      <c r="B1160" s="18" t="s">
        <v>94</v>
      </c>
      <c r="C1160" s="18"/>
      <c r="D1160" s="19"/>
      <c r="E1160" s="19"/>
      <c r="F1160" s="20">
        <f t="shared" si="24"/>
        <v>0</v>
      </c>
      <c r="G1160" s="21">
        <f>IFERROR(VLOOKUP(B1160,DADOS!$A$2:$H$252,8,0),"")</f>
        <v>100</v>
      </c>
      <c r="H1160" s="35"/>
      <c r="I1160" s="23">
        <f>IFERROR(VLOOKUP(B1160,DADOS!$A$2:$H$252,4,0)*H1160,"")</f>
        <v>0</v>
      </c>
      <c r="J1160" s="24">
        <v>1.0</v>
      </c>
      <c r="K1160" s="25">
        <f>IFERROR(VLOOKUP(B1160,DADOS!$A$2:$H$252,4,0)*J1160,"")</f>
        <v>0.0377496</v>
      </c>
      <c r="L1160" s="26" t="str">
        <f t="shared" si="23"/>
        <v/>
      </c>
      <c r="M1160" s="30" t="s">
        <v>83</v>
      </c>
      <c r="N1160" s="30" t="s">
        <v>88</v>
      </c>
      <c r="O1160" s="28"/>
      <c r="P1160" s="28"/>
      <c r="Q1160" s="28"/>
      <c r="R1160" s="28"/>
      <c r="S1160" s="28"/>
    </row>
    <row r="1161">
      <c r="A1161" s="43">
        <v>45737.0</v>
      </c>
      <c r="B1161" s="18" t="s">
        <v>26</v>
      </c>
      <c r="C1161" s="18"/>
      <c r="D1161" s="19"/>
      <c r="E1161" s="19"/>
      <c r="F1161" s="20">
        <f t="shared" si="24"/>
        <v>0</v>
      </c>
      <c r="G1161" s="21">
        <f>IFERROR(VLOOKUP(B1161,DADOS!$A$2:$H$252,8,0),"")</f>
        <v>50</v>
      </c>
      <c r="H1161" s="35"/>
      <c r="I1161" s="23">
        <f>IFERROR(VLOOKUP(B1161,DADOS!$A$2:$H$252,4,0)*H1161,"")</f>
        <v>0</v>
      </c>
      <c r="J1161" s="24">
        <v>1.0</v>
      </c>
      <c r="K1161" s="25">
        <f>IFERROR(VLOOKUP(B1161,DADOS!$A$2:$H$252,4,0)*J1161,"")</f>
        <v>0.1139336</v>
      </c>
      <c r="L1161" s="26" t="str">
        <f t="shared" si="23"/>
        <v/>
      </c>
      <c r="M1161" s="27"/>
      <c r="N1161" s="30" t="s">
        <v>173</v>
      </c>
      <c r="O1161" s="28"/>
      <c r="P1161" s="28"/>
      <c r="Q1161" s="28"/>
      <c r="R1161" s="28"/>
      <c r="S1161" s="28"/>
    </row>
    <row r="1162">
      <c r="A1162" s="43">
        <v>45737.0</v>
      </c>
      <c r="B1162" s="18" t="s">
        <v>122</v>
      </c>
      <c r="C1162" s="18"/>
      <c r="D1162" s="19"/>
      <c r="E1162" s="19"/>
      <c r="F1162" s="20">
        <f t="shared" si="24"/>
        <v>0</v>
      </c>
      <c r="G1162" s="21">
        <f>IFERROR(VLOOKUP(B1162,DADOS!$A$2:$H$252,8,0),"")</f>
        <v>17</v>
      </c>
      <c r="H1162" s="35"/>
      <c r="I1162" s="23">
        <f>IFERROR(VLOOKUP(B1162,DADOS!$A$2:$H$252,4,0)*H1162,"")</f>
        <v>0</v>
      </c>
      <c r="J1162" s="24">
        <v>6.0</v>
      </c>
      <c r="K1162" s="25">
        <f>IFERROR(VLOOKUP(B1162,DADOS!$A$2:$H$252,4,0)*J1162,"")</f>
        <v>1.0296396</v>
      </c>
      <c r="L1162" s="26" t="str">
        <f t="shared" si="23"/>
        <v/>
      </c>
      <c r="M1162" s="30" t="s">
        <v>39</v>
      </c>
      <c r="N1162" s="30" t="s">
        <v>86</v>
      </c>
      <c r="O1162" s="28"/>
      <c r="P1162" s="28"/>
      <c r="Q1162" s="28"/>
      <c r="R1162" s="28"/>
      <c r="S1162" s="28"/>
    </row>
    <row r="1163">
      <c r="A1163" s="43">
        <v>45737.0</v>
      </c>
      <c r="B1163" s="18" t="s">
        <v>18</v>
      </c>
      <c r="C1163" s="18"/>
      <c r="D1163" s="19"/>
      <c r="E1163" s="19"/>
      <c r="F1163" s="20">
        <f t="shared" si="24"/>
        <v>0</v>
      </c>
      <c r="G1163" s="21">
        <f>IFERROR(VLOOKUP(B1163,DADOS!$A$2:$H$252,8,0),"")</f>
        <v>21</v>
      </c>
      <c r="H1163" s="35"/>
      <c r="I1163" s="23">
        <f>IFERROR(VLOOKUP(B1163,DADOS!$A$2:$H$252,4,0)*H1163,"")</f>
        <v>0</v>
      </c>
      <c r="J1163" s="24">
        <v>3.0</v>
      </c>
      <c r="K1163" s="25">
        <f>IFERROR(VLOOKUP(B1163,DADOS!$A$2:$H$252,4,0)*J1163,"")</f>
        <v>0.878898</v>
      </c>
      <c r="L1163" s="26" t="str">
        <f t="shared" si="23"/>
        <v/>
      </c>
      <c r="M1163" s="30" t="s">
        <v>39</v>
      </c>
      <c r="N1163" s="30" t="s">
        <v>86</v>
      </c>
      <c r="O1163" s="28"/>
      <c r="P1163" s="28"/>
      <c r="Q1163" s="28"/>
      <c r="R1163" s="28"/>
      <c r="S1163" s="28"/>
    </row>
    <row r="1164">
      <c r="A1164" s="43">
        <v>45737.0</v>
      </c>
      <c r="B1164" s="18" t="s">
        <v>137</v>
      </c>
      <c r="C1164" s="18"/>
      <c r="D1164" s="19"/>
      <c r="E1164" s="19"/>
      <c r="F1164" s="20">
        <f t="shared" si="24"/>
        <v>0</v>
      </c>
      <c r="G1164" s="21">
        <f>IFERROR(VLOOKUP(B1164,DADOS!$A$2:$H$252,8,0),"")</f>
        <v>12</v>
      </c>
      <c r="H1164" s="35"/>
      <c r="I1164" s="23">
        <f>IFERROR(VLOOKUP(B1164,DADOS!$A$2:$H$252,4,0)*H1164,"")</f>
        <v>0</v>
      </c>
      <c r="J1164" s="24">
        <v>1.0</v>
      </c>
      <c r="K1164" s="25">
        <f>IFERROR(VLOOKUP(B1164,DADOS!$A$2:$H$252,4,0)*J1164,"")</f>
        <v>0.1139336</v>
      </c>
      <c r="L1164" s="26" t="str">
        <f t="shared" si="23"/>
        <v/>
      </c>
      <c r="M1164" s="30" t="s">
        <v>39</v>
      </c>
      <c r="N1164" s="30" t="s">
        <v>86</v>
      </c>
      <c r="O1164" s="28"/>
      <c r="P1164" s="28"/>
      <c r="Q1164" s="28"/>
      <c r="R1164" s="28"/>
      <c r="S1164" s="28"/>
    </row>
    <row r="1165">
      <c r="A1165" s="43">
        <v>45737.0</v>
      </c>
      <c r="B1165" s="18" t="s">
        <v>48</v>
      </c>
      <c r="C1165" s="18"/>
      <c r="D1165" s="19"/>
      <c r="E1165" s="19"/>
      <c r="F1165" s="20">
        <f t="shared" si="24"/>
        <v>0</v>
      </c>
      <c r="G1165" s="21">
        <f>IFERROR(VLOOKUP(B1165,DADOS!$A$2:$H$252,8,0),"")</f>
        <v>6</v>
      </c>
      <c r="H1165" s="35"/>
      <c r="I1165" s="23">
        <f>IFERROR(VLOOKUP(B1165,DADOS!$A$2:$H$252,4,0)*H1165,"")</f>
        <v>0</v>
      </c>
      <c r="J1165" s="24">
        <v>2.0</v>
      </c>
      <c r="K1165" s="25">
        <f>IFERROR(VLOOKUP(B1165,DADOS!$A$2:$H$252,4,0)*J1165,"")</f>
        <v>0.2278672</v>
      </c>
      <c r="L1165" s="26" t="str">
        <f t="shared" si="23"/>
        <v/>
      </c>
      <c r="M1165" s="30" t="s">
        <v>39</v>
      </c>
      <c r="N1165" s="30" t="s">
        <v>86</v>
      </c>
      <c r="O1165" s="28"/>
      <c r="P1165" s="28"/>
      <c r="Q1165" s="28"/>
      <c r="R1165" s="28"/>
      <c r="S1165" s="28"/>
    </row>
    <row r="1166">
      <c r="A1166" s="43">
        <v>45737.0</v>
      </c>
      <c r="B1166" s="18" t="s">
        <v>26</v>
      </c>
      <c r="C1166" s="18"/>
      <c r="D1166" s="19"/>
      <c r="E1166" s="19"/>
      <c r="F1166" s="20">
        <f t="shared" si="24"/>
        <v>0</v>
      </c>
      <c r="G1166" s="21">
        <f>IFERROR(VLOOKUP(B1166,DADOS!$A$2:$H$252,8,0),"")</f>
        <v>50</v>
      </c>
      <c r="H1166" s="35"/>
      <c r="I1166" s="23">
        <f>IFERROR(VLOOKUP(B1166,DADOS!$A$2:$H$252,4,0)*H1166,"")</f>
        <v>0</v>
      </c>
      <c r="J1166" s="24">
        <v>2.0</v>
      </c>
      <c r="K1166" s="25">
        <f>IFERROR(VLOOKUP(B1166,DADOS!$A$2:$H$252,4,0)*J1166,"")</f>
        <v>0.2278672</v>
      </c>
      <c r="L1166" s="26" t="str">
        <f t="shared" si="23"/>
        <v/>
      </c>
      <c r="M1166" s="30" t="s">
        <v>83</v>
      </c>
      <c r="N1166" s="30" t="s">
        <v>85</v>
      </c>
      <c r="O1166" s="28"/>
      <c r="P1166" s="28"/>
      <c r="Q1166" s="28"/>
      <c r="R1166" s="28"/>
      <c r="S1166" s="28"/>
    </row>
    <row r="1167">
      <c r="A1167" s="43">
        <v>45737.0</v>
      </c>
      <c r="B1167" s="18" t="s">
        <v>26</v>
      </c>
      <c r="C1167" s="18"/>
      <c r="D1167" s="19"/>
      <c r="E1167" s="19"/>
      <c r="F1167" s="20">
        <f t="shared" si="24"/>
        <v>0</v>
      </c>
      <c r="G1167" s="21">
        <f>IFERROR(VLOOKUP(B1167,DADOS!$A$2:$H$252,8,0),"")</f>
        <v>50</v>
      </c>
      <c r="H1167" s="35"/>
      <c r="I1167" s="23">
        <f>IFERROR(VLOOKUP(B1167,DADOS!$A$2:$H$252,4,0)*H1167,"")</f>
        <v>0</v>
      </c>
      <c r="J1167" s="24">
        <v>1.0</v>
      </c>
      <c r="K1167" s="25">
        <f>IFERROR(VLOOKUP(B1167,DADOS!$A$2:$H$252,4,0)*J1167,"")</f>
        <v>0.1139336</v>
      </c>
      <c r="L1167" s="26" t="str">
        <f t="shared" si="23"/>
        <v/>
      </c>
      <c r="M1167" s="30" t="s">
        <v>83</v>
      </c>
      <c r="N1167" s="30" t="s">
        <v>87</v>
      </c>
      <c r="O1167" s="28"/>
      <c r="P1167" s="28"/>
      <c r="Q1167" s="28"/>
      <c r="R1167" s="28"/>
      <c r="S1167" s="28"/>
    </row>
    <row r="1168">
      <c r="A1168" s="43">
        <v>45737.0</v>
      </c>
      <c r="B1168" s="18" t="s">
        <v>18</v>
      </c>
      <c r="C1168" s="18"/>
      <c r="D1168" s="19"/>
      <c r="E1168" s="19"/>
      <c r="F1168" s="20">
        <f t="shared" si="24"/>
        <v>0</v>
      </c>
      <c r="G1168" s="21">
        <f>IFERROR(VLOOKUP(B1168,DADOS!$A$2:$H$252,8,0),"")</f>
        <v>21</v>
      </c>
      <c r="H1168" s="35"/>
      <c r="I1168" s="23">
        <f>IFERROR(VLOOKUP(B1168,DADOS!$A$2:$H$252,4,0)*H1168,"")</f>
        <v>0</v>
      </c>
      <c r="J1168" s="24">
        <v>2.0</v>
      </c>
      <c r="K1168" s="25">
        <f>IFERROR(VLOOKUP(B1168,DADOS!$A$2:$H$252,4,0)*J1168,"")</f>
        <v>0.585932</v>
      </c>
      <c r="L1168" s="26" t="str">
        <f t="shared" si="23"/>
        <v/>
      </c>
      <c r="M1168" s="27"/>
      <c r="N1168" s="30" t="s">
        <v>120</v>
      </c>
      <c r="O1168" s="28"/>
      <c r="P1168" s="28"/>
      <c r="Q1168" s="28"/>
      <c r="R1168" s="28"/>
      <c r="S1168" s="28"/>
    </row>
    <row r="1169">
      <c r="A1169" s="43">
        <v>45737.0</v>
      </c>
      <c r="B1169" s="18" t="s">
        <v>22</v>
      </c>
      <c r="C1169" s="18"/>
      <c r="D1169" s="19"/>
      <c r="E1169" s="19"/>
      <c r="F1169" s="20">
        <f t="shared" si="24"/>
        <v>0</v>
      </c>
      <c r="G1169" s="21">
        <f>IFERROR(VLOOKUP(B1169,DADOS!$A$2:$H$252,8,0),"")</f>
        <v>15</v>
      </c>
      <c r="H1169" s="35"/>
      <c r="I1169" s="23">
        <f>IFERROR(VLOOKUP(B1169,DADOS!$A$2:$H$252,4,0)*H1169,"")</f>
        <v>0</v>
      </c>
      <c r="J1169" s="24">
        <v>2.0</v>
      </c>
      <c r="K1169" s="25">
        <f>IFERROR(VLOOKUP(B1169,DADOS!$A$2:$H$252,4,0)*J1169,"")</f>
        <v>1.2245508</v>
      </c>
      <c r="L1169" s="26" t="str">
        <f t="shared" si="23"/>
        <v/>
      </c>
      <c r="M1169" s="27"/>
      <c r="N1169" s="30" t="s">
        <v>120</v>
      </c>
      <c r="O1169" s="28"/>
      <c r="P1169" s="28"/>
      <c r="Q1169" s="28"/>
      <c r="R1169" s="28"/>
      <c r="S1169" s="28"/>
    </row>
    <row r="1170">
      <c r="A1170" s="43">
        <v>45737.0</v>
      </c>
      <c r="B1170" s="18" t="s">
        <v>109</v>
      </c>
      <c r="C1170" s="18"/>
      <c r="D1170" s="19"/>
      <c r="E1170" s="19"/>
      <c r="F1170" s="20">
        <f t="shared" si="24"/>
        <v>0</v>
      </c>
      <c r="G1170" s="21" t="str">
        <f>IFERROR(VLOOKUP(B1170,DADOS!$A$2:$H$252,8,0),"")</f>
        <v/>
      </c>
      <c r="H1170" s="35"/>
      <c r="I1170" s="23" t="str">
        <f>IFERROR(VLOOKUP(B1170,DADOS!$A$2:$H$252,4,0)*H1170,"")</f>
        <v/>
      </c>
      <c r="J1170" s="24">
        <v>2.0</v>
      </c>
      <c r="K1170" s="25" t="str">
        <f>IFERROR(VLOOKUP(B1170,DADOS!$A$2:$H$252,4,0)*J1170,"")</f>
        <v/>
      </c>
      <c r="L1170" s="26" t="str">
        <f t="shared" si="23"/>
        <v/>
      </c>
      <c r="M1170" s="30" t="s">
        <v>39</v>
      </c>
      <c r="N1170" s="30" t="s">
        <v>174</v>
      </c>
      <c r="O1170" s="28"/>
      <c r="P1170" s="28"/>
      <c r="Q1170" s="28"/>
      <c r="R1170" s="28"/>
      <c r="S1170" s="28"/>
    </row>
    <row r="1171">
      <c r="A1171" s="43">
        <v>45737.0</v>
      </c>
      <c r="B1171" s="18" t="s">
        <v>175</v>
      </c>
      <c r="C1171" s="18"/>
      <c r="D1171" s="19"/>
      <c r="E1171" s="19"/>
      <c r="F1171" s="20">
        <f t="shared" si="24"/>
        <v>0</v>
      </c>
      <c r="G1171" s="21" t="str">
        <f>IFERROR(VLOOKUP(B1171,DADOS!$A$2:$H$252,8,0),"")</f>
        <v/>
      </c>
      <c r="H1171" s="35"/>
      <c r="I1171" s="23" t="str">
        <f>IFERROR(VLOOKUP(B1171,DADOS!$A$2:$H$252,4,0)*H1171,"")</f>
        <v/>
      </c>
      <c r="J1171" s="24">
        <v>1.0</v>
      </c>
      <c r="K1171" s="25" t="str">
        <f>IFERROR(VLOOKUP(B1171,DADOS!$A$2:$H$252,4,0)*J1171,"")</f>
        <v/>
      </c>
      <c r="L1171" s="26" t="str">
        <f t="shared" si="23"/>
        <v/>
      </c>
      <c r="M1171" s="30" t="s">
        <v>39</v>
      </c>
      <c r="N1171" s="30" t="s">
        <v>174</v>
      </c>
      <c r="O1171" s="28"/>
      <c r="P1171" s="28"/>
      <c r="Q1171" s="28"/>
      <c r="R1171" s="28"/>
      <c r="S1171" s="28"/>
    </row>
    <row r="1172">
      <c r="A1172" s="43">
        <v>45737.0</v>
      </c>
      <c r="B1172" s="18" t="s">
        <v>58</v>
      </c>
      <c r="C1172" s="18"/>
      <c r="D1172" s="19"/>
      <c r="E1172" s="19"/>
      <c r="F1172" s="20">
        <f t="shared" si="24"/>
        <v>0</v>
      </c>
      <c r="G1172" s="21">
        <f>IFERROR(VLOOKUP(B1172,DADOS!$A$2:$H$252,8,0),"")</f>
        <v>31</v>
      </c>
      <c r="H1172" s="35"/>
      <c r="I1172" s="23">
        <f>IFERROR(VLOOKUP(B1172,DADOS!$A$2:$H$252,4,0)*H1172,"")</f>
        <v>0</v>
      </c>
      <c r="J1172" s="24">
        <v>1.0</v>
      </c>
      <c r="K1172" s="25">
        <f>IFERROR(VLOOKUP(B1172,DADOS!$A$2:$H$252,4,0)*J1172,"")</f>
        <v>0.1139336</v>
      </c>
      <c r="L1172" s="26" t="str">
        <f t="shared" si="23"/>
        <v/>
      </c>
      <c r="M1172" s="30" t="s">
        <v>39</v>
      </c>
      <c r="N1172" s="30" t="s">
        <v>174</v>
      </c>
      <c r="O1172" s="28"/>
      <c r="P1172" s="28"/>
      <c r="Q1172" s="28"/>
      <c r="R1172" s="28"/>
      <c r="S1172" s="28"/>
    </row>
    <row r="1173">
      <c r="A1173" s="17">
        <v>45740.0</v>
      </c>
      <c r="B1173" s="18" t="s">
        <v>101</v>
      </c>
      <c r="C1173" s="18" t="s">
        <v>19</v>
      </c>
      <c r="D1173" s="19"/>
      <c r="E1173" s="19"/>
      <c r="F1173" s="20">
        <f t="shared" si="24"/>
        <v>0</v>
      </c>
      <c r="G1173" s="21" t="str">
        <f>IFERROR(VLOOKUP(B1173,DADOS!$A$2:$H$252,8,0),"")</f>
        <v/>
      </c>
      <c r="H1173" s="22">
        <v>10.0</v>
      </c>
      <c r="I1173" s="23">
        <f>IFERROR(VLOOKUP(B1173,DADOS!$A$2:$H$252,4,0)*H1173,"")</f>
        <v>1.591304</v>
      </c>
      <c r="J1173" s="36"/>
      <c r="K1173" s="25">
        <f>IFERROR(VLOOKUP(B1173,DADOS!$A$2:$H$252,4,0)*J1173,"")</f>
        <v>0</v>
      </c>
      <c r="L1173" s="26">
        <f t="shared" si="23"/>
        <v>0</v>
      </c>
      <c r="M1173" s="27"/>
      <c r="N1173" s="30"/>
      <c r="O1173" s="28"/>
      <c r="P1173" s="28"/>
      <c r="Q1173" s="28"/>
      <c r="R1173" s="28"/>
      <c r="S1173" s="28"/>
    </row>
    <row r="1174">
      <c r="A1174" s="17">
        <v>45740.0</v>
      </c>
      <c r="B1174" s="18" t="s">
        <v>27</v>
      </c>
      <c r="C1174" s="18" t="s">
        <v>165</v>
      </c>
      <c r="D1174" s="19"/>
      <c r="E1174" s="19"/>
      <c r="F1174" s="20">
        <f t="shared" si="24"/>
        <v>0</v>
      </c>
      <c r="G1174" s="21">
        <f>IFERROR(VLOOKUP(B1174,DADOS!$A$2:$H$252,8,0),"")</f>
        <v>30</v>
      </c>
      <c r="H1174" s="22">
        <v>313.0</v>
      </c>
      <c r="I1174" s="23">
        <f>IFERROR(VLOOKUP(B1174,DADOS!$A$2:$H$252,4,0)*H1174,"")</f>
        <v>5.35856</v>
      </c>
      <c r="J1174" s="24">
        <v>12.0</v>
      </c>
      <c r="K1174" s="25">
        <f>IFERROR(VLOOKUP(B1174,DADOS!$A$2:$H$252,4,0)*J1174,"")</f>
        <v>0.20544</v>
      </c>
      <c r="L1174" s="26">
        <f t="shared" si="23"/>
        <v>0</v>
      </c>
      <c r="M1174" s="27"/>
      <c r="N1174" s="30"/>
      <c r="O1174" s="28"/>
      <c r="P1174" s="28"/>
      <c r="Q1174" s="28"/>
      <c r="R1174" s="28"/>
      <c r="S1174" s="28"/>
    </row>
    <row r="1175">
      <c r="A1175" s="17">
        <v>45741.0</v>
      </c>
      <c r="B1175" s="18" t="s">
        <v>27</v>
      </c>
      <c r="C1175" s="18" t="s">
        <v>165</v>
      </c>
      <c r="D1175" s="19">
        <v>0.3368055555555556</v>
      </c>
      <c r="E1175" s="19">
        <v>0.4479166666666667</v>
      </c>
      <c r="F1175" s="20">
        <f t="shared" si="24"/>
        <v>0.1111111111</v>
      </c>
      <c r="G1175" s="21">
        <f>IFERROR(VLOOKUP(B1175,DADOS!$A$2:$H$252,8,0),"")</f>
        <v>30</v>
      </c>
      <c r="H1175" s="22">
        <v>77.0</v>
      </c>
      <c r="I1175" s="23">
        <f>IFERROR(VLOOKUP(B1175,DADOS!$A$2:$H$252,4,0)*H1175,"")</f>
        <v>1.31824</v>
      </c>
      <c r="J1175" s="24">
        <v>2.0</v>
      </c>
      <c r="K1175" s="25">
        <f>IFERROR(VLOOKUP(B1175,DADOS!$A$2:$H$252,4,0)*J1175,"")</f>
        <v>0.03424</v>
      </c>
      <c r="L1175" s="26">
        <f t="shared" si="23"/>
        <v>0</v>
      </c>
      <c r="M1175" s="27"/>
      <c r="N1175" s="30"/>
      <c r="O1175" s="28"/>
      <c r="P1175" s="28"/>
      <c r="Q1175" s="28"/>
      <c r="R1175" s="28"/>
      <c r="S1175" s="28"/>
    </row>
    <row r="1176">
      <c r="A1176" s="17">
        <v>45741.0</v>
      </c>
      <c r="B1176" s="18" t="s">
        <v>16</v>
      </c>
      <c r="C1176" s="18" t="s">
        <v>165</v>
      </c>
      <c r="D1176" s="19">
        <v>0.46875</v>
      </c>
      <c r="E1176" s="19">
        <v>0.7013888888888888</v>
      </c>
      <c r="F1176" s="20">
        <f t="shared" si="24"/>
        <v>0.2326388889</v>
      </c>
      <c r="G1176" s="21">
        <f>IFERROR(VLOOKUP(B1176,DADOS!$A$2:$H$252,8,0),"")</f>
        <v>150</v>
      </c>
      <c r="H1176" s="22">
        <v>366.0</v>
      </c>
      <c r="I1176" s="23">
        <f>IFERROR(VLOOKUP(B1176,DADOS!$A$2:$H$252,4,0)*H1176,"")</f>
        <v>10.5894048</v>
      </c>
      <c r="J1176" s="24">
        <v>3.0</v>
      </c>
      <c r="K1176" s="25">
        <f>IFERROR(VLOOKUP(B1176,DADOS!$A$2:$H$252,4,0)*J1176,"")</f>
        <v>0.0867984</v>
      </c>
      <c r="L1176" s="26">
        <f t="shared" si="23"/>
        <v>0</v>
      </c>
      <c r="M1176" s="27"/>
      <c r="N1176" s="30"/>
      <c r="O1176" s="28"/>
      <c r="P1176" s="28"/>
      <c r="Q1176" s="28"/>
      <c r="R1176" s="28"/>
      <c r="S1176" s="28"/>
    </row>
    <row r="1177">
      <c r="A1177" s="17">
        <v>45742.0</v>
      </c>
      <c r="B1177" s="18" t="s">
        <v>16</v>
      </c>
      <c r="C1177" s="18" t="s">
        <v>165</v>
      </c>
      <c r="D1177" s="19">
        <v>0.3194444444444444</v>
      </c>
      <c r="E1177" s="19">
        <v>0.6354166666666666</v>
      </c>
      <c r="F1177" s="20">
        <f t="shared" si="24"/>
        <v>0.3159722222</v>
      </c>
      <c r="G1177" s="21">
        <f>IFERROR(VLOOKUP(B1177,DADOS!$A$2:$H$252,8,0),"")</f>
        <v>150</v>
      </c>
      <c r="H1177" s="22">
        <v>1000.0</v>
      </c>
      <c r="I1177" s="23">
        <f>IFERROR(VLOOKUP(B1177,DADOS!$A$2:$H$252,4,0)*H1177,"")</f>
        <v>28.9328</v>
      </c>
      <c r="J1177" s="24">
        <v>10.0</v>
      </c>
      <c r="K1177" s="25">
        <f>IFERROR(VLOOKUP(B1177,DADOS!$A$2:$H$252,4,0)*J1177,"")</f>
        <v>0.289328</v>
      </c>
      <c r="L1177" s="26">
        <f t="shared" si="23"/>
        <v>0</v>
      </c>
      <c r="M1177" s="27"/>
      <c r="N1177" s="30"/>
      <c r="O1177" s="28"/>
      <c r="P1177" s="28"/>
      <c r="Q1177" s="28"/>
      <c r="R1177" s="28"/>
      <c r="S1177" s="28"/>
    </row>
    <row r="1178">
      <c r="A1178" s="17">
        <v>45743.0</v>
      </c>
      <c r="B1178" s="18" t="s">
        <v>16</v>
      </c>
      <c r="C1178" s="18" t="s">
        <v>168</v>
      </c>
      <c r="D1178" s="19">
        <v>0.3333333333333333</v>
      </c>
      <c r="E1178" s="19">
        <v>0.71875</v>
      </c>
      <c r="F1178" s="20">
        <f t="shared" si="24"/>
        <v>0.3854166667</v>
      </c>
      <c r="G1178" s="21">
        <f>IFERROR(VLOOKUP(B1178,DADOS!$A$2:$H$252,8,0),"")</f>
        <v>150</v>
      </c>
      <c r="H1178" s="22">
        <v>1228.0</v>
      </c>
      <c r="I1178" s="23">
        <f>IFERROR(VLOOKUP(B1178,DADOS!$A$2:$H$252,4,0)*H1178,"")</f>
        <v>35.5294784</v>
      </c>
      <c r="J1178" s="24">
        <v>2.0</v>
      </c>
      <c r="K1178" s="25">
        <f>IFERROR(VLOOKUP(B1178,DADOS!$A$2:$H$252,4,0)*J1178,"")</f>
        <v>0.0578656</v>
      </c>
      <c r="L1178" s="26">
        <f t="shared" si="23"/>
        <v>0</v>
      </c>
      <c r="M1178" s="27"/>
      <c r="N1178" s="30"/>
      <c r="O1178" s="28"/>
      <c r="P1178" s="28"/>
      <c r="Q1178" s="28"/>
      <c r="R1178" s="28"/>
      <c r="S1178" s="28"/>
    </row>
    <row r="1179">
      <c r="A1179" s="17">
        <v>45744.0</v>
      </c>
      <c r="B1179" s="18" t="s">
        <v>16</v>
      </c>
      <c r="C1179" s="18" t="s">
        <v>168</v>
      </c>
      <c r="D1179" s="19">
        <v>0.3194444444444444</v>
      </c>
      <c r="E1179" s="19">
        <v>0.4166666666666667</v>
      </c>
      <c r="F1179" s="20">
        <f t="shared" si="24"/>
        <v>0.09722222222</v>
      </c>
      <c r="G1179" s="21">
        <f>IFERROR(VLOOKUP(B1179,DADOS!$A$2:$H$252,8,0),"")</f>
        <v>150</v>
      </c>
      <c r="H1179" s="22">
        <v>33.0</v>
      </c>
      <c r="I1179" s="23">
        <f>IFERROR(VLOOKUP(B1179,DADOS!$A$2:$H$252,4,0)*H1179,"")</f>
        <v>0.9547824</v>
      </c>
      <c r="J1179" s="36"/>
      <c r="K1179" s="25">
        <f>IFERROR(VLOOKUP(B1179,DADOS!$A$2:$H$252,4,0)*J1179,"")</f>
        <v>0</v>
      </c>
      <c r="L1179" s="26">
        <f t="shared" si="23"/>
        <v>0</v>
      </c>
      <c r="M1179" s="27"/>
      <c r="N1179" s="30"/>
      <c r="O1179" s="28"/>
      <c r="P1179" s="28"/>
      <c r="Q1179" s="28"/>
      <c r="R1179" s="28"/>
      <c r="S1179" s="28"/>
    </row>
    <row r="1180">
      <c r="A1180" s="17">
        <v>45744.0</v>
      </c>
      <c r="B1180" s="18" t="s">
        <v>48</v>
      </c>
      <c r="C1180" s="18" t="s">
        <v>168</v>
      </c>
      <c r="D1180" s="19">
        <v>0.4270833333333333</v>
      </c>
      <c r="E1180" s="19">
        <v>0.6770833333333334</v>
      </c>
      <c r="F1180" s="20">
        <f t="shared" si="24"/>
        <v>0.25</v>
      </c>
      <c r="G1180" s="21">
        <f>IFERROR(VLOOKUP(B1180,DADOS!$A$2:$H$252,8,0),"")</f>
        <v>6</v>
      </c>
      <c r="H1180" s="22">
        <v>13.0</v>
      </c>
      <c r="I1180" s="23">
        <f>IFERROR(VLOOKUP(B1180,DADOS!$A$2:$H$252,4,0)*H1180,"")</f>
        <v>1.4811368</v>
      </c>
      <c r="J1180" s="24">
        <v>3.0</v>
      </c>
      <c r="K1180" s="25">
        <f>IFERROR(VLOOKUP(B1180,DADOS!$A$2:$H$252,4,0)*J1180,"")</f>
        <v>0.3418008</v>
      </c>
      <c r="L1180" s="26">
        <f t="shared" si="23"/>
        <v>0</v>
      </c>
      <c r="M1180" s="27"/>
      <c r="N1180" s="30"/>
      <c r="O1180" s="28"/>
      <c r="P1180" s="28"/>
      <c r="Q1180" s="28"/>
      <c r="R1180" s="28"/>
      <c r="S1180" s="28"/>
    </row>
    <row r="1181">
      <c r="A1181" s="17">
        <v>45747.0</v>
      </c>
      <c r="B1181" s="18" t="s">
        <v>48</v>
      </c>
      <c r="C1181" s="18" t="s">
        <v>168</v>
      </c>
      <c r="D1181" s="19">
        <v>0.3194444444444444</v>
      </c>
      <c r="E1181" s="19">
        <v>0.5743055555555555</v>
      </c>
      <c r="F1181" s="20">
        <f t="shared" si="24"/>
        <v>0.2548611111</v>
      </c>
      <c r="G1181" s="21">
        <f>IFERROR(VLOOKUP(B1181,DADOS!$A$2:$H$252,8,0),"")</f>
        <v>6</v>
      </c>
      <c r="H1181" s="22">
        <v>15.0</v>
      </c>
      <c r="I1181" s="23">
        <f>IFERROR(VLOOKUP(B1181,DADOS!$A$2:$H$252,4,0)*H1181,"")</f>
        <v>1.709004</v>
      </c>
      <c r="J1181" s="24">
        <v>2.0</v>
      </c>
      <c r="K1181" s="25">
        <f>IFERROR(VLOOKUP(B1181,DADOS!$A$2:$H$252,4,0)*J1181,"")</f>
        <v>0.2278672</v>
      </c>
      <c r="L1181" s="26">
        <f t="shared" si="23"/>
        <v>0</v>
      </c>
      <c r="M1181" s="27"/>
      <c r="N1181" s="30"/>
      <c r="O1181" s="28"/>
      <c r="P1181" s="28"/>
      <c r="Q1181" s="28"/>
      <c r="R1181" s="28"/>
      <c r="S1181" s="28"/>
    </row>
    <row r="1182">
      <c r="A1182" s="17">
        <v>45747.0</v>
      </c>
      <c r="B1182" s="18" t="s">
        <v>109</v>
      </c>
      <c r="C1182" s="18" t="s">
        <v>168</v>
      </c>
      <c r="D1182" s="19">
        <v>0.5763888888888888</v>
      </c>
      <c r="E1182" s="19">
        <v>0.6805555555555556</v>
      </c>
      <c r="F1182" s="20">
        <f t="shared" si="24"/>
        <v>0.1041666667</v>
      </c>
      <c r="G1182" s="21" t="str">
        <f>IFERROR(VLOOKUP(B1182,DADOS!$A$2:$H$252,8,0),"")</f>
        <v/>
      </c>
      <c r="H1182" s="22">
        <v>18.0</v>
      </c>
      <c r="I1182" s="23" t="str">
        <f>IFERROR(VLOOKUP(B1182,DADOS!$A$2:$H$252,4,0)*H1182,"")</f>
        <v/>
      </c>
      <c r="J1182" s="24">
        <v>3.0</v>
      </c>
      <c r="K1182" s="25" t="str">
        <f>IFERROR(VLOOKUP(B1182,DADOS!$A$2:$H$252,4,0)*J1182,"")</f>
        <v/>
      </c>
      <c r="L1182" s="26" t="str">
        <f t="shared" si="23"/>
        <v/>
      </c>
      <c r="M1182" s="27"/>
      <c r="N1182" s="30"/>
      <c r="O1182" s="28"/>
      <c r="P1182" s="28"/>
      <c r="Q1182" s="28"/>
      <c r="R1182" s="28"/>
      <c r="S1182" s="28"/>
    </row>
    <row r="1183">
      <c r="A1183" s="17">
        <v>45747.0</v>
      </c>
      <c r="B1183" s="18" t="s">
        <v>48</v>
      </c>
      <c r="C1183" s="18" t="s">
        <v>168</v>
      </c>
      <c r="D1183" s="19">
        <v>0.6826388888888889</v>
      </c>
      <c r="E1183" s="19">
        <v>0.71875</v>
      </c>
      <c r="F1183" s="20">
        <f t="shared" si="24"/>
        <v>0.03611111111</v>
      </c>
      <c r="G1183" s="21">
        <f>IFERROR(VLOOKUP(B1183,DADOS!$A$2:$H$252,8,0),"")</f>
        <v>6</v>
      </c>
      <c r="H1183" s="22">
        <v>3.0</v>
      </c>
      <c r="I1183" s="23">
        <f>IFERROR(VLOOKUP(B1183,DADOS!$A$2:$H$252,4,0)*H1183,"")</f>
        <v>0.3418008</v>
      </c>
      <c r="J1183" s="36"/>
      <c r="K1183" s="25">
        <f>IFERROR(VLOOKUP(B1183,DADOS!$A$2:$H$252,4,0)*J1183,"")</f>
        <v>0</v>
      </c>
      <c r="L1183" s="26">
        <f t="shared" si="23"/>
        <v>0</v>
      </c>
      <c r="M1183" s="27"/>
      <c r="N1183" s="30"/>
      <c r="O1183" s="28"/>
      <c r="P1183" s="28"/>
      <c r="Q1183" s="28"/>
      <c r="R1183" s="28"/>
      <c r="S1183" s="28"/>
    </row>
    <row r="1184">
      <c r="A1184" s="17">
        <v>45748.0</v>
      </c>
      <c r="B1184" s="18" t="s">
        <v>68</v>
      </c>
      <c r="C1184" s="18" t="s">
        <v>172</v>
      </c>
      <c r="D1184" s="19"/>
      <c r="E1184" s="19"/>
      <c r="F1184" s="20">
        <f t="shared" si="24"/>
        <v>0</v>
      </c>
      <c r="G1184" s="21">
        <f>IFERROR(VLOOKUP(B1184,DADOS!$A$2:$H$252,8,0),"")</f>
        <v>170</v>
      </c>
      <c r="H1184" s="22">
        <v>299.0</v>
      </c>
      <c r="I1184" s="23">
        <f>IFERROR(VLOOKUP(B1184,DADOS!$A$2:$H$252,4,0)*H1184,"")</f>
        <v>2.87937</v>
      </c>
      <c r="J1184" s="24">
        <v>1.0</v>
      </c>
      <c r="K1184" s="25">
        <f>IFERROR(VLOOKUP(B1184,DADOS!$A$2:$H$252,4,0)*J1184,"")</f>
        <v>0.00963</v>
      </c>
      <c r="L1184" s="26">
        <f t="shared" si="23"/>
        <v>0</v>
      </c>
      <c r="M1184" s="27"/>
      <c r="N1184" s="30"/>
      <c r="O1184" s="28"/>
      <c r="P1184" s="28"/>
      <c r="Q1184" s="28"/>
      <c r="R1184" s="28"/>
      <c r="S1184" s="28"/>
    </row>
    <row r="1185">
      <c r="A1185" s="17">
        <v>45748.0</v>
      </c>
      <c r="B1185" s="18" t="s">
        <v>37</v>
      </c>
      <c r="C1185" s="18" t="s">
        <v>172</v>
      </c>
      <c r="D1185" s="19"/>
      <c r="E1185" s="19"/>
      <c r="F1185" s="20">
        <f t="shared" si="24"/>
        <v>0</v>
      </c>
      <c r="G1185" s="21" t="str">
        <f>IFERROR(VLOOKUP(B1185,DADOS!$A$2:$H$252,8,0),"")</f>
        <v/>
      </c>
      <c r="H1185" s="22">
        <v>201.0</v>
      </c>
      <c r="I1185" s="23" t="str">
        <f>IFERROR(VLOOKUP(B1185,DADOS!$A$2:$H$252,4,0)*H1185,"")</f>
        <v/>
      </c>
      <c r="J1185" s="24"/>
      <c r="K1185" s="25" t="str">
        <f>IFERROR(VLOOKUP(B1185,DADOS!$A$2:$H$252,4,0)*J1185,"")</f>
        <v/>
      </c>
      <c r="L1185" s="26" t="str">
        <f t="shared" si="23"/>
        <v/>
      </c>
      <c r="M1185" s="27"/>
      <c r="N1185" s="30"/>
      <c r="O1185" s="28"/>
      <c r="P1185" s="28"/>
      <c r="Q1185" s="28"/>
      <c r="R1185" s="28"/>
      <c r="S1185" s="28"/>
    </row>
    <row r="1186">
      <c r="A1186" s="43">
        <v>45748.0</v>
      </c>
      <c r="B1186" s="44" t="s">
        <v>60</v>
      </c>
      <c r="C1186" s="44"/>
      <c r="D1186" s="45"/>
      <c r="E1186" s="45"/>
      <c r="F1186" s="20">
        <f t="shared" si="24"/>
        <v>0</v>
      </c>
      <c r="G1186" s="46">
        <f>IFERROR(VLOOKUP(B1186,DADOS!$A$2:$H$252,8,0),"")</f>
        <v>15</v>
      </c>
      <c r="H1186" s="47"/>
      <c r="I1186" s="48">
        <f>IFERROR(VLOOKUP(B1186,DADOS!$A$2:$H$252,4,0)*H1186,"")</f>
        <v>0</v>
      </c>
      <c r="J1186" s="46">
        <v>1.0</v>
      </c>
      <c r="K1186" s="49">
        <f>IFERROR(VLOOKUP(B1186,DADOS!$A$2:$H$252,4,0)*J1186,"")</f>
        <v>0.325494</v>
      </c>
      <c r="L1186" s="50" t="str">
        <f t="shared" si="23"/>
        <v/>
      </c>
      <c r="M1186" s="33" t="s">
        <v>83</v>
      </c>
      <c r="N1186" s="33" t="s">
        <v>84</v>
      </c>
      <c r="O1186" s="63"/>
      <c r="P1186" s="63"/>
      <c r="Q1186" s="63"/>
      <c r="R1186" s="63"/>
      <c r="S1186" s="63"/>
      <c r="T1186" s="64"/>
      <c r="U1186" s="64"/>
      <c r="V1186" s="64"/>
      <c r="W1186" s="64"/>
      <c r="X1186" s="64"/>
      <c r="Y1186" s="64"/>
      <c r="Z1186" s="64"/>
      <c r="AA1186" s="64"/>
      <c r="AB1186" s="64"/>
      <c r="AC1186" s="64"/>
      <c r="AD1186" s="64"/>
      <c r="AE1186" s="64"/>
      <c r="AF1186" s="64"/>
      <c r="AG1186" s="64"/>
      <c r="AH1186" s="64"/>
      <c r="AI1186" s="64"/>
      <c r="AJ1186" s="64"/>
    </row>
    <row r="1187">
      <c r="A1187" s="43">
        <v>45748.0</v>
      </c>
      <c r="B1187" s="44" t="s">
        <v>18</v>
      </c>
      <c r="C1187" s="44"/>
      <c r="D1187" s="45"/>
      <c r="E1187" s="45"/>
      <c r="F1187" s="20">
        <f t="shared" si="24"/>
        <v>0</v>
      </c>
      <c r="G1187" s="46">
        <f>IFERROR(VLOOKUP(B1187,DADOS!$A$2:$H$252,8,0),"")</f>
        <v>21</v>
      </c>
      <c r="H1187" s="47"/>
      <c r="I1187" s="48">
        <f>IFERROR(VLOOKUP(B1187,DADOS!$A$2:$H$252,4,0)*H1187,"")</f>
        <v>0</v>
      </c>
      <c r="J1187" s="46">
        <v>2.0</v>
      </c>
      <c r="K1187" s="49">
        <f>IFERROR(VLOOKUP(B1187,DADOS!$A$2:$H$252,4,0)*J1187,"")</f>
        <v>0.585932</v>
      </c>
      <c r="L1187" s="50" t="str">
        <f t="shared" si="23"/>
        <v/>
      </c>
      <c r="M1187" s="33" t="s">
        <v>39</v>
      </c>
      <c r="N1187" s="33" t="s">
        <v>86</v>
      </c>
      <c r="O1187" s="63"/>
      <c r="P1187" s="63"/>
      <c r="Q1187" s="63"/>
      <c r="R1187" s="63"/>
      <c r="S1187" s="63"/>
      <c r="T1187" s="64"/>
      <c r="U1187" s="64"/>
      <c r="V1187" s="64"/>
      <c r="W1187" s="64"/>
      <c r="X1187" s="64"/>
      <c r="Y1187" s="64"/>
      <c r="Z1187" s="64"/>
      <c r="AA1187" s="64"/>
      <c r="AB1187" s="64"/>
      <c r="AC1187" s="64"/>
      <c r="AD1187" s="64"/>
      <c r="AE1187" s="64"/>
      <c r="AF1187" s="64"/>
      <c r="AG1187" s="64"/>
      <c r="AH1187" s="64"/>
      <c r="AI1187" s="64"/>
      <c r="AJ1187" s="64"/>
    </row>
    <row r="1188">
      <c r="A1188" s="43">
        <v>45748.0</v>
      </c>
      <c r="B1188" s="44" t="s">
        <v>49</v>
      </c>
      <c r="C1188" s="44"/>
      <c r="D1188" s="45"/>
      <c r="E1188" s="45"/>
      <c r="F1188" s="20">
        <f t="shared" si="24"/>
        <v>0</v>
      </c>
      <c r="G1188" s="46">
        <f>IFERROR(VLOOKUP(B1188,DADOS!$A$2:$H$252,8,0),"")</f>
        <v>42</v>
      </c>
      <c r="H1188" s="47"/>
      <c r="I1188" s="48">
        <f>IFERROR(VLOOKUP(B1188,DADOS!$A$2:$H$252,4,0)*H1188,"")</f>
        <v>0</v>
      </c>
      <c r="J1188" s="46">
        <v>2.0</v>
      </c>
      <c r="K1188" s="49">
        <f>IFERROR(VLOOKUP(B1188,DADOS!$A$2:$H$252,4,0)*J1188,"")</f>
        <v>0.1360612</v>
      </c>
      <c r="L1188" s="50" t="str">
        <f t="shared" si="23"/>
        <v/>
      </c>
      <c r="M1188" s="33" t="s">
        <v>83</v>
      </c>
      <c r="N1188" s="33" t="s">
        <v>88</v>
      </c>
      <c r="O1188" s="63"/>
      <c r="P1188" s="63"/>
      <c r="Q1188" s="63"/>
      <c r="R1188" s="63"/>
      <c r="S1188" s="63"/>
      <c r="T1188" s="64"/>
      <c r="U1188" s="64"/>
      <c r="V1188" s="64"/>
      <c r="W1188" s="64"/>
      <c r="X1188" s="64"/>
      <c r="Y1188" s="64"/>
      <c r="Z1188" s="64"/>
      <c r="AA1188" s="64"/>
      <c r="AB1188" s="64"/>
      <c r="AC1188" s="64"/>
      <c r="AD1188" s="64"/>
      <c r="AE1188" s="64"/>
      <c r="AF1188" s="64"/>
      <c r="AG1188" s="64"/>
      <c r="AH1188" s="64"/>
      <c r="AI1188" s="64"/>
      <c r="AJ1188" s="64"/>
    </row>
    <row r="1189">
      <c r="A1189" s="43">
        <v>45748.0</v>
      </c>
      <c r="B1189" s="44" t="s">
        <v>22</v>
      </c>
      <c r="C1189" s="44"/>
      <c r="D1189" s="45"/>
      <c r="E1189" s="45"/>
      <c r="F1189" s="20">
        <f t="shared" si="24"/>
        <v>0</v>
      </c>
      <c r="G1189" s="46">
        <f>IFERROR(VLOOKUP(B1189,DADOS!$A$2:$H$252,8,0),"")</f>
        <v>15</v>
      </c>
      <c r="H1189" s="47"/>
      <c r="I1189" s="48">
        <f>IFERROR(VLOOKUP(B1189,DADOS!$A$2:$H$252,4,0)*H1189,"")</f>
        <v>0</v>
      </c>
      <c r="J1189" s="46">
        <v>1.0</v>
      </c>
      <c r="K1189" s="49">
        <f>IFERROR(VLOOKUP(B1189,DADOS!$A$2:$H$252,4,0)*J1189,"")</f>
        <v>0.6122754</v>
      </c>
      <c r="L1189" s="50" t="str">
        <f t="shared" si="23"/>
        <v/>
      </c>
      <c r="M1189" s="33" t="s">
        <v>83</v>
      </c>
      <c r="N1189" s="33" t="s">
        <v>88</v>
      </c>
      <c r="O1189" s="63"/>
      <c r="P1189" s="63"/>
      <c r="Q1189" s="63"/>
      <c r="R1189" s="63"/>
      <c r="S1189" s="63"/>
      <c r="T1189" s="64"/>
      <c r="U1189" s="64"/>
      <c r="V1189" s="64"/>
      <c r="W1189" s="64"/>
      <c r="X1189" s="64"/>
      <c r="Y1189" s="64"/>
      <c r="Z1189" s="64"/>
      <c r="AA1189" s="64"/>
      <c r="AB1189" s="64"/>
      <c r="AC1189" s="64"/>
      <c r="AD1189" s="64"/>
      <c r="AE1189" s="64"/>
      <c r="AF1189" s="64"/>
      <c r="AG1189" s="64"/>
      <c r="AH1189" s="64"/>
      <c r="AI1189" s="64"/>
      <c r="AJ1189" s="64"/>
    </row>
    <row r="1190">
      <c r="A1190" s="43">
        <v>45748.0</v>
      </c>
      <c r="B1190" s="44" t="s">
        <v>27</v>
      </c>
      <c r="C1190" s="44"/>
      <c r="D1190" s="45"/>
      <c r="E1190" s="45"/>
      <c r="F1190" s="20">
        <f t="shared" si="24"/>
        <v>0</v>
      </c>
      <c r="G1190" s="46">
        <f>IFERROR(VLOOKUP(B1190,DADOS!$A$2:$H$252,8,0),"")</f>
        <v>30</v>
      </c>
      <c r="H1190" s="47"/>
      <c r="I1190" s="48">
        <f>IFERROR(VLOOKUP(B1190,DADOS!$A$2:$H$252,4,0)*H1190,"")</f>
        <v>0</v>
      </c>
      <c r="J1190" s="46">
        <v>2.0</v>
      </c>
      <c r="K1190" s="49">
        <f>IFERROR(VLOOKUP(B1190,DADOS!$A$2:$H$252,4,0)*J1190,"")</f>
        <v>0.03424</v>
      </c>
      <c r="L1190" s="50" t="str">
        <f t="shared" si="23"/>
        <v/>
      </c>
      <c r="M1190" s="33" t="s">
        <v>83</v>
      </c>
      <c r="N1190" s="33" t="s">
        <v>88</v>
      </c>
      <c r="O1190" s="63"/>
      <c r="P1190" s="63"/>
      <c r="Q1190" s="63"/>
      <c r="R1190" s="63"/>
      <c r="S1190" s="63"/>
      <c r="T1190" s="64"/>
      <c r="U1190" s="64"/>
      <c r="V1190" s="64"/>
      <c r="W1190" s="64"/>
      <c r="X1190" s="64"/>
      <c r="Y1190" s="64"/>
      <c r="Z1190" s="64"/>
      <c r="AA1190" s="64"/>
      <c r="AB1190" s="64"/>
      <c r="AC1190" s="64"/>
      <c r="AD1190" s="64"/>
      <c r="AE1190" s="64"/>
      <c r="AF1190" s="64"/>
      <c r="AG1190" s="64"/>
      <c r="AH1190" s="64"/>
      <c r="AI1190" s="64"/>
      <c r="AJ1190" s="64"/>
    </row>
    <row r="1191">
      <c r="A1191" s="43">
        <v>45748.0</v>
      </c>
      <c r="B1191" s="44" t="s">
        <v>176</v>
      </c>
      <c r="C1191" s="44"/>
      <c r="D1191" s="45"/>
      <c r="E1191" s="45"/>
      <c r="F1191" s="20">
        <f t="shared" si="24"/>
        <v>0</v>
      </c>
      <c r="G1191" s="46" t="str">
        <f>IFERROR(VLOOKUP(B1191,DADOS!$A$2:$H$252,8,0),"")</f>
        <v/>
      </c>
      <c r="H1191" s="47"/>
      <c r="I1191" s="48">
        <f>IFERROR(VLOOKUP(B1191,DADOS!$A$2:$H$252,4,0)*H1191,"")</f>
        <v>0</v>
      </c>
      <c r="J1191" s="46">
        <v>2.0</v>
      </c>
      <c r="K1191" s="49">
        <f>IFERROR(VLOOKUP(B1191,DADOS!$A$2:$H$252,4,0)*J1191,"")</f>
        <v>0</v>
      </c>
      <c r="L1191" s="50" t="str">
        <f t="shared" si="23"/>
        <v/>
      </c>
      <c r="M1191" s="33" t="s">
        <v>83</v>
      </c>
      <c r="N1191" s="33" t="s">
        <v>177</v>
      </c>
      <c r="O1191" s="63"/>
      <c r="P1191" s="63"/>
      <c r="Q1191" s="63"/>
      <c r="R1191" s="63"/>
      <c r="S1191" s="63"/>
      <c r="T1191" s="64"/>
      <c r="U1191" s="64"/>
      <c r="V1191" s="64"/>
      <c r="W1191" s="64"/>
      <c r="X1191" s="64"/>
      <c r="Y1191" s="64"/>
      <c r="Z1191" s="64"/>
      <c r="AA1191" s="64"/>
      <c r="AB1191" s="64"/>
      <c r="AC1191" s="64"/>
      <c r="AD1191" s="64"/>
      <c r="AE1191" s="64"/>
      <c r="AF1191" s="64"/>
      <c r="AG1191" s="64"/>
      <c r="AH1191" s="64"/>
      <c r="AI1191" s="64"/>
      <c r="AJ1191" s="64"/>
    </row>
    <row r="1192">
      <c r="A1192" s="17">
        <v>45749.0</v>
      </c>
      <c r="B1192" s="18" t="s">
        <v>71</v>
      </c>
      <c r="C1192" s="18" t="s">
        <v>166</v>
      </c>
      <c r="D1192" s="19">
        <v>0.3125</v>
      </c>
      <c r="E1192" s="19">
        <v>0.4930555555555556</v>
      </c>
      <c r="F1192" s="20">
        <f t="shared" si="24"/>
        <v>0.1805555556</v>
      </c>
      <c r="G1192" s="21">
        <f>IFERROR(VLOOKUP(B1192,DADOS!$A$2:$H$252,8,0),"")</f>
        <v>7</v>
      </c>
      <c r="H1192" s="22">
        <v>30.0</v>
      </c>
      <c r="I1192" s="23">
        <f>IFERROR(VLOOKUP(B1192,DADOS!$A$2:$H$252,4,0)*H1192,"")</f>
        <v>42.072186</v>
      </c>
      <c r="J1192" s="36"/>
      <c r="K1192" s="25">
        <f>IFERROR(VLOOKUP(B1192,DADOS!$A$2:$H$252,4,0)*J1192,"")</f>
        <v>0</v>
      </c>
      <c r="L1192" s="26">
        <f t="shared" si="23"/>
        <v>0</v>
      </c>
      <c r="M1192" s="27"/>
      <c r="N1192" s="30"/>
      <c r="O1192" s="28"/>
      <c r="P1192" s="28"/>
      <c r="Q1192" s="28"/>
      <c r="R1192" s="28"/>
      <c r="S1192" s="28"/>
    </row>
    <row r="1193">
      <c r="A1193" s="17">
        <v>45749.0</v>
      </c>
      <c r="B1193" s="18" t="s">
        <v>58</v>
      </c>
      <c r="C1193" s="18" t="s">
        <v>168</v>
      </c>
      <c r="D1193" s="19"/>
      <c r="E1193" s="19"/>
      <c r="F1193" s="20">
        <f t="shared" si="24"/>
        <v>0</v>
      </c>
      <c r="G1193" s="21">
        <f>IFERROR(VLOOKUP(B1193,DADOS!$A$2:$H$252,8,0),"")</f>
        <v>31</v>
      </c>
      <c r="H1193" s="22">
        <v>71.0</v>
      </c>
      <c r="I1193" s="23">
        <f>IFERROR(VLOOKUP(B1193,DADOS!$A$2:$H$252,4,0)*H1193,"")</f>
        <v>8.0892856</v>
      </c>
      <c r="J1193" s="24">
        <v>2.0</v>
      </c>
      <c r="K1193" s="25">
        <f>IFERROR(VLOOKUP(B1193,DADOS!$A$2:$H$252,4,0)*J1193,"")</f>
        <v>0.2278672</v>
      </c>
      <c r="L1193" s="26">
        <f t="shared" si="23"/>
        <v>0</v>
      </c>
      <c r="M1193" s="27"/>
      <c r="N1193" s="30"/>
      <c r="O1193" s="28"/>
      <c r="P1193" s="28"/>
      <c r="Q1193" s="28"/>
      <c r="R1193" s="28"/>
      <c r="S1193" s="28"/>
    </row>
    <row r="1194">
      <c r="A1194" s="17">
        <v>45749.0</v>
      </c>
      <c r="B1194" s="18" t="s">
        <v>61</v>
      </c>
      <c r="C1194" s="18" t="s">
        <v>172</v>
      </c>
      <c r="D1194" s="19"/>
      <c r="E1194" s="19"/>
      <c r="F1194" s="20">
        <f t="shared" si="24"/>
        <v>0</v>
      </c>
      <c r="G1194" s="21">
        <f>IFERROR(VLOOKUP(B1194,DADOS!$A$2:$H$252,8,0),"")</f>
        <v>112</v>
      </c>
      <c r="H1194" s="22">
        <v>200.0</v>
      </c>
      <c r="I1194" s="23">
        <f>IFERROR(VLOOKUP(B1194,DADOS!$A$2:$H$252,4,0)*H1194,"")</f>
        <v>2.996</v>
      </c>
      <c r="J1194" s="36"/>
      <c r="K1194" s="25">
        <f>IFERROR(VLOOKUP(B1194,DADOS!$A$2:$H$252,4,0)*J1194,"")</f>
        <v>0</v>
      </c>
      <c r="L1194" s="26">
        <f t="shared" si="23"/>
        <v>0</v>
      </c>
      <c r="M1194" s="27"/>
      <c r="N1194" s="30"/>
      <c r="O1194" s="28"/>
      <c r="P1194" s="28"/>
      <c r="Q1194" s="28"/>
      <c r="R1194" s="28"/>
      <c r="S1194" s="28"/>
    </row>
    <row r="1195">
      <c r="A1195" s="17">
        <v>45750.0</v>
      </c>
      <c r="B1195" s="18" t="s">
        <v>58</v>
      </c>
      <c r="C1195" s="18" t="s">
        <v>168</v>
      </c>
      <c r="D1195" s="19">
        <v>0.3333333333333333</v>
      </c>
      <c r="E1195" s="19">
        <v>0.71875</v>
      </c>
      <c r="F1195" s="20">
        <f t="shared" si="24"/>
        <v>0.3854166667</v>
      </c>
      <c r="G1195" s="21">
        <f>IFERROR(VLOOKUP(B1195,DADOS!$A$2:$H$252,8,0),"")</f>
        <v>31</v>
      </c>
      <c r="H1195" s="22">
        <v>77.0</v>
      </c>
      <c r="I1195" s="23">
        <f>IFERROR(VLOOKUP(B1195,DADOS!$A$2:$H$252,4,0)*H1195,"")</f>
        <v>8.7728872</v>
      </c>
      <c r="J1195" s="36"/>
      <c r="K1195" s="25">
        <f>IFERROR(VLOOKUP(B1195,DADOS!$A$2:$H$252,4,0)*J1195,"")</f>
        <v>0</v>
      </c>
      <c r="L1195" s="26">
        <f t="shared" si="23"/>
        <v>0</v>
      </c>
      <c r="M1195" s="27"/>
      <c r="N1195" s="30"/>
      <c r="O1195" s="28"/>
      <c r="P1195" s="28"/>
      <c r="Q1195" s="28"/>
      <c r="R1195" s="28"/>
      <c r="S1195" s="28"/>
    </row>
    <row r="1196">
      <c r="A1196" s="17">
        <v>45751.0</v>
      </c>
      <c r="B1196" s="18" t="s">
        <v>71</v>
      </c>
      <c r="C1196" s="18" t="s">
        <v>166</v>
      </c>
      <c r="D1196" s="19">
        <v>0.3125</v>
      </c>
      <c r="E1196" s="29">
        <v>0.4965277777777778</v>
      </c>
      <c r="F1196" s="20">
        <f t="shared" si="24"/>
        <v>0.1840277778</v>
      </c>
      <c r="G1196" s="21">
        <f>IFERROR(VLOOKUP(B1196,DADOS!$A$2:$H$252,8,0),"")</f>
        <v>7</v>
      </c>
      <c r="H1196" s="22">
        <v>30.0</v>
      </c>
      <c r="I1196" s="23">
        <f>IFERROR(VLOOKUP(B1196,DADOS!$A$2:$H$252,4,0)*H1196,"")</f>
        <v>42.072186</v>
      </c>
      <c r="J1196" s="36"/>
      <c r="K1196" s="25">
        <f>IFERROR(VLOOKUP(B1196,DADOS!$A$2:$H$252,4,0)*J1196,"")</f>
        <v>0</v>
      </c>
      <c r="L1196" s="26">
        <f t="shared" si="23"/>
        <v>0</v>
      </c>
      <c r="M1196" s="27"/>
      <c r="N1196" s="30"/>
      <c r="O1196" s="28"/>
      <c r="P1196" s="28"/>
      <c r="Q1196" s="28"/>
      <c r="R1196" s="28"/>
      <c r="S1196" s="28"/>
    </row>
    <row r="1197">
      <c r="A1197" s="17">
        <v>45751.0</v>
      </c>
      <c r="B1197" s="18" t="s">
        <v>58</v>
      </c>
      <c r="C1197" s="18" t="s">
        <v>168</v>
      </c>
      <c r="D1197" s="19">
        <v>0.3159722222222222</v>
      </c>
      <c r="E1197" s="19">
        <v>0.3798611111111111</v>
      </c>
      <c r="F1197" s="20">
        <f t="shared" si="24"/>
        <v>0.06388888889</v>
      </c>
      <c r="G1197" s="21">
        <f>IFERROR(VLOOKUP(B1197,DADOS!$A$2:$H$252,8,0),"")</f>
        <v>31</v>
      </c>
      <c r="H1197" s="22">
        <v>14.0</v>
      </c>
      <c r="I1197" s="23">
        <f>IFERROR(VLOOKUP(B1197,DADOS!$A$2:$H$252,4,0)*H1197,"")</f>
        <v>1.5950704</v>
      </c>
      <c r="J1197" s="24">
        <v>1.0</v>
      </c>
      <c r="K1197" s="25">
        <f>IFERROR(VLOOKUP(B1197,DADOS!$A$2:$H$252,4,0)*J1197,"")</f>
        <v>0.1139336</v>
      </c>
      <c r="L1197" s="26">
        <f t="shared" si="23"/>
        <v>0</v>
      </c>
      <c r="M1197" s="27"/>
      <c r="N1197" s="30"/>
      <c r="O1197" s="28"/>
      <c r="P1197" s="28"/>
      <c r="Q1197" s="28"/>
      <c r="R1197" s="28"/>
      <c r="S1197" s="28"/>
    </row>
    <row r="1198">
      <c r="A1198" s="17">
        <v>45751.0</v>
      </c>
      <c r="B1198" s="18" t="s">
        <v>75</v>
      </c>
      <c r="C1198" s="18" t="s">
        <v>168</v>
      </c>
      <c r="D1198" s="19">
        <v>0.3819444444444444</v>
      </c>
      <c r="E1198" s="19">
        <v>0.5555555555555556</v>
      </c>
      <c r="F1198" s="20">
        <f t="shared" si="24"/>
        <v>0.1736111111</v>
      </c>
      <c r="G1198" s="21">
        <f>IFERROR(VLOOKUP(B1198,DADOS!$A$2:$H$252,8,0),"")</f>
        <v>23</v>
      </c>
      <c r="H1198" s="22">
        <v>45.0</v>
      </c>
      <c r="I1198" s="23">
        <f>IFERROR(VLOOKUP(B1198,DADOS!$A$2:$H$252,4,0)*H1198,"")</f>
        <v>5.127012</v>
      </c>
      <c r="J1198" s="36"/>
      <c r="K1198" s="25">
        <f>IFERROR(VLOOKUP(B1198,DADOS!$A$2:$H$252,4,0)*J1198,"")</f>
        <v>0</v>
      </c>
      <c r="L1198" s="26">
        <f t="shared" si="23"/>
        <v>0</v>
      </c>
      <c r="M1198" s="27"/>
      <c r="N1198" s="30"/>
      <c r="O1198" s="28"/>
      <c r="P1198" s="28"/>
      <c r="Q1198" s="28"/>
      <c r="R1198" s="28"/>
      <c r="S1198" s="28"/>
    </row>
    <row r="1199">
      <c r="A1199" s="17">
        <v>45751.0</v>
      </c>
      <c r="B1199" s="18" t="s">
        <v>72</v>
      </c>
      <c r="C1199" s="18" t="s">
        <v>172</v>
      </c>
      <c r="D1199" s="19">
        <v>0.5555555555555556</v>
      </c>
      <c r="E1199" s="19">
        <v>0.6458333333333334</v>
      </c>
      <c r="F1199" s="20">
        <f t="shared" si="24"/>
        <v>0.09027777778</v>
      </c>
      <c r="G1199" s="21">
        <f>IFERROR(VLOOKUP(B1199,DADOS!$A$2:$H$252,8,0),"")</f>
        <v>43</v>
      </c>
      <c r="H1199" s="22">
        <v>109.0</v>
      </c>
      <c r="I1199" s="23">
        <f>IFERROR(VLOOKUP(B1199,DADOS!$A$2:$H$252,4,0)*H1199,"")</f>
        <v>1.86608</v>
      </c>
      <c r="J1199" s="24">
        <v>8.0</v>
      </c>
      <c r="K1199" s="25">
        <f>IFERROR(VLOOKUP(B1199,DADOS!$A$2:$H$252,4,0)*J1199,"")</f>
        <v>0.13696</v>
      </c>
      <c r="L1199" s="26">
        <f t="shared" si="23"/>
        <v>0</v>
      </c>
      <c r="M1199" s="27"/>
      <c r="N1199" s="30"/>
      <c r="O1199" s="28"/>
      <c r="P1199" s="28"/>
      <c r="Q1199" s="28"/>
      <c r="R1199" s="28"/>
      <c r="S1199" s="28"/>
    </row>
    <row r="1200">
      <c r="A1200" s="17">
        <v>45754.0</v>
      </c>
      <c r="B1200" s="18" t="s">
        <v>51</v>
      </c>
      <c r="C1200" s="18" t="s">
        <v>165</v>
      </c>
      <c r="D1200" s="19">
        <v>0.3333333333333333</v>
      </c>
      <c r="E1200" s="19">
        <v>0.71875</v>
      </c>
      <c r="F1200" s="20">
        <f t="shared" si="24"/>
        <v>0.3854166667</v>
      </c>
      <c r="G1200" s="21">
        <f>IFERROR(VLOOKUP(B1200,DADOS!$A$2:$H$252,8,0),"")</f>
        <v>28</v>
      </c>
      <c r="H1200" s="22">
        <v>90.0</v>
      </c>
      <c r="I1200" s="23">
        <f>IFERROR(VLOOKUP(B1200,DADOS!$A$2:$H$252,4,0)*H1200,"")</f>
        <v>10.254024</v>
      </c>
      <c r="J1200" s="24">
        <v>2.0</v>
      </c>
      <c r="K1200" s="25">
        <f>IFERROR(VLOOKUP(B1200,DADOS!$A$2:$H$252,4,0)*J1200,"")</f>
        <v>0.2278672</v>
      </c>
      <c r="L1200" s="26">
        <f t="shared" si="23"/>
        <v>0</v>
      </c>
      <c r="M1200" s="27"/>
      <c r="N1200" s="30"/>
      <c r="O1200" s="28"/>
      <c r="P1200" s="28"/>
      <c r="Q1200" s="28"/>
      <c r="R1200" s="28"/>
      <c r="S1200" s="28"/>
    </row>
    <row r="1201">
      <c r="A1201" s="17">
        <v>45754.0</v>
      </c>
      <c r="B1201" s="18" t="s">
        <v>72</v>
      </c>
      <c r="C1201" s="18" t="s">
        <v>172</v>
      </c>
      <c r="D1201" s="19">
        <v>0.3194444444444444</v>
      </c>
      <c r="E1201" s="19">
        <v>0.4166666666666667</v>
      </c>
      <c r="F1201" s="20">
        <f t="shared" si="24"/>
        <v>0.09722222222</v>
      </c>
      <c r="G1201" s="21">
        <f>IFERROR(VLOOKUP(B1201,DADOS!$A$2:$H$252,8,0),"")</f>
        <v>43</v>
      </c>
      <c r="H1201" s="22">
        <v>144.0</v>
      </c>
      <c r="I1201" s="23">
        <f>IFERROR(VLOOKUP(B1201,DADOS!$A$2:$H$252,4,0)*H1201,"")</f>
        <v>2.46528</v>
      </c>
      <c r="J1201" s="36"/>
      <c r="K1201" s="25">
        <f>IFERROR(VLOOKUP(B1201,DADOS!$A$2:$H$252,4,0)*J1201,"")</f>
        <v>0</v>
      </c>
      <c r="L1201" s="26">
        <f t="shared" si="23"/>
        <v>0</v>
      </c>
      <c r="M1201" s="27"/>
      <c r="N1201" s="30"/>
      <c r="O1201" s="28"/>
      <c r="P1201" s="28"/>
      <c r="Q1201" s="28"/>
      <c r="R1201" s="28"/>
      <c r="S1201" s="28"/>
    </row>
    <row r="1202">
      <c r="A1202" s="17">
        <v>45755.0</v>
      </c>
      <c r="B1202" s="18" t="s">
        <v>75</v>
      </c>
      <c r="C1202" s="18" t="s">
        <v>168</v>
      </c>
      <c r="D1202" s="19">
        <v>0.3333333333333333</v>
      </c>
      <c r="E1202" s="19">
        <v>0.7083333333333334</v>
      </c>
      <c r="F1202" s="20">
        <f t="shared" si="24"/>
        <v>0.375</v>
      </c>
      <c r="G1202" s="21">
        <f>IFERROR(VLOOKUP(B1202,DADOS!$A$2:$H$252,8,0),"")</f>
        <v>23</v>
      </c>
      <c r="H1202" s="22">
        <v>74.0</v>
      </c>
      <c r="I1202" s="23">
        <f>IFERROR(VLOOKUP(B1202,DADOS!$A$2:$H$252,4,0)*H1202,"")</f>
        <v>8.4310864</v>
      </c>
      <c r="J1202" s="24">
        <v>4.0</v>
      </c>
      <c r="K1202" s="25">
        <f>IFERROR(VLOOKUP(B1202,DADOS!$A$2:$H$252,4,0)*J1202,"")</f>
        <v>0.4557344</v>
      </c>
      <c r="L1202" s="26">
        <f t="shared" si="23"/>
        <v>0</v>
      </c>
      <c r="M1202" s="27"/>
      <c r="N1202" s="30"/>
      <c r="O1202" s="28"/>
      <c r="P1202" s="28"/>
      <c r="Q1202" s="28"/>
      <c r="R1202" s="28"/>
      <c r="S1202" s="28"/>
    </row>
    <row r="1203">
      <c r="A1203" s="17">
        <v>45755.0</v>
      </c>
      <c r="B1203" s="18" t="s">
        <v>51</v>
      </c>
      <c r="C1203" s="18" t="s">
        <v>165</v>
      </c>
      <c r="D1203" s="19">
        <v>0.3402777777777778</v>
      </c>
      <c r="E1203" s="19">
        <v>0.4444444444444444</v>
      </c>
      <c r="F1203" s="20">
        <f t="shared" si="24"/>
        <v>0.1041666667</v>
      </c>
      <c r="G1203" s="21">
        <f>IFERROR(VLOOKUP(B1203,DADOS!$A$2:$H$252,8,0),"")</f>
        <v>28</v>
      </c>
      <c r="H1203" s="22">
        <v>58.0</v>
      </c>
      <c r="I1203" s="23">
        <f>IFERROR(VLOOKUP(B1203,DADOS!$A$2:$H$252,4,0)*H1203,"")</f>
        <v>6.6081488</v>
      </c>
      <c r="J1203" s="36"/>
      <c r="K1203" s="25">
        <f>IFERROR(VLOOKUP(B1203,DADOS!$A$2:$H$252,4,0)*J1203,"")</f>
        <v>0</v>
      </c>
      <c r="L1203" s="26">
        <f t="shared" si="23"/>
        <v>0</v>
      </c>
      <c r="M1203" s="27"/>
      <c r="N1203" s="30"/>
      <c r="O1203" s="28"/>
      <c r="P1203" s="28"/>
      <c r="Q1203" s="28"/>
      <c r="R1203" s="28"/>
      <c r="S1203" s="28"/>
    </row>
    <row r="1204">
      <c r="A1204" s="17">
        <v>45755.0</v>
      </c>
      <c r="B1204" s="18" t="s">
        <v>112</v>
      </c>
      <c r="C1204" s="18" t="s">
        <v>165</v>
      </c>
      <c r="D1204" s="19">
        <v>0.46875</v>
      </c>
      <c r="E1204" s="19">
        <v>0.71875</v>
      </c>
      <c r="F1204" s="20">
        <f t="shared" si="24"/>
        <v>0.25</v>
      </c>
      <c r="G1204" s="21">
        <f>IFERROR(VLOOKUP(B1204,DADOS!$A$2:$H$252,8,0),"")</f>
        <v>35</v>
      </c>
      <c r="H1204" s="22">
        <v>94.0</v>
      </c>
      <c r="I1204" s="23">
        <f>IFERROR(VLOOKUP(B1204,DADOS!$A$2:$H$252,4,0)*H1204,"")</f>
        <v>10.7097584</v>
      </c>
      <c r="J1204" s="24">
        <v>1.0</v>
      </c>
      <c r="K1204" s="25">
        <f>IFERROR(VLOOKUP(B1204,DADOS!$A$2:$H$252,4,0)*J1204,"")</f>
        <v>0.1139336</v>
      </c>
      <c r="L1204" s="26">
        <f t="shared" si="23"/>
        <v>0</v>
      </c>
      <c r="M1204" s="27"/>
      <c r="N1204" s="30"/>
      <c r="O1204" s="28"/>
      <c r="P1204" s="28"/>
      <c r="Q1204" s="28"/>
      <c r="R1204" s="28"/>
      <c r="S1204" s="28"/>
    </row>
    <row r="1205">
      <c r="A1205" s="17">
        <v>45755.0</v>
      </c>
      <c r="B1205" s="18" t="s">
        <v>72</v>
      </c>
      <c r="C1205" s="18" t="s">
        <v>172</v>
      </c>
      <c r="D1205" s="19">
        <v>0.5694444444444444</v>
      </c>
      <c r="E1205" s="19">
        <v>0.6458333333333334</v>
      </c>
      <c r="F1205" s="20">
        <f t="shared" si="24"/>
        <v>0.07638888889</v>
      </c>
      <c r="G1205" s="21">
        <f>IFERROR(VLOOKUP(B1205,DADOS!$A$2:$H$252,8,0),"")</f>
        <v>43</v>
      </c>
      <c r="H1205" s="22">
        <v>112.0</v>
      </c>
      <c r="I1205" s="23">
        <f>IFERROR(VLOOKUP(B1205,DADOS!$A$2:$H$252,4,0)*H1205,"")</f>
        <v>1.91744</v>
      </c>
      <c r="J1205" s="36"/>
      <c r="K1205" s="25">
        <f>IFERROR(VLOOKUP(B1205,DADOS!$A$2:$H$252,4,0)*J1205,"")</f>
        <v>0</v>
      </c>
      <c r="L1205" s="26">
        <f t="shared" si="23"/>
        <v>0</v>
      </c>
      <c r="M1205" s="27"/>
      <c r="N1205" s="30"/>
      <c r="O1205" s="28"/>
      <c r="P1205" s="28"/>
      <c r="Q1205" s="28"/>
      <c r="R1205" s="28"/>
      <c r="S1205" s="28"/>
    </row>
    <row r="1206">
      <c r="A1206" s="17">
        <v>45756.0</v>
      </c>
      <c r="B1206" s="18" t="s">
        <v>22</v>
      </c>
      <c r="C1206" s="18" t="s">
        <v>166</v>
      </c>
      <c r="D1206" s="19">
        <v>0.3125</v>
      </c>
      <c r="E1206" s="29">
        <v>0.4930555555555556</v>
      </c>
      <c r="F1206" s="20">
        <f t="shared" si="24"/>
        <v>0.1805555556</v>
      </c>
      <c r="G1206" s="21">
        <f>IFERROR(VLOOKUP(B1206,DADOS!$A$2:$H$252,8,0),"")</f>
        <v>15</v>
      </c>
      <c r="H1206" s="22">
        <v>50.0</v>
      </c>
      <c r="I1206" s="23">
        <f>IFERROR(VLOOKUP(B1206,DADOS!$A$2:$H$252,4,0)*H1206,"")</f>
        <v>30.61377</v>
      </c>
      <c r="J1206" s="36"/>
      <c r="K1206" s="25">
        <f>IFERROR(VLOOKUP(B1206,DADOS!$A$2:$H$252,4,0)*J1206,"")</f>
        <v>0</v>
      </c>
      <c r="L1206" s="26">
        <f t="shared" si="23"/>
        <v>0</v>
      </c>
      <c r="M1206" s="27"/>
      <c r="N1206" s="30"/>
      <c r="O1206" s="28"/>
      <c r="P1206" s="28"/>
      <c r="Q1206" s="28"/>
      <c r="R1206" s="28"/>
      <c r="S1206" s="28"/>
    </row>
    <row r="1207">
      <c r="A1207" s="17">
        <v>45756.0</v>
      </c>
      <c r="B1207" s="18" t="s">
        <v>75</v>
      </c>
      <c r="C1207" s="18" t="s">
        <v>168</v>
      </c>
      <c r="D1207" s="19">
        <v>0.3263888888888889</v>
      </c>
      <c r="E1207" s="19">
        <v>0.4791666666666667</v>
      </c>
      <c r="F1207" s="20">
        <f t="shared" si="24"/>
        <v>0.1527777778</v>
      </c>
      <c r="G1207" s="21">
        <f>IFERROR(VLOOKUP(B1207,DADOS!$A$2:$H$252,8,0),"")</f>
        <v>23</v>
      </c>
      <c r="H1207" s="22">
        <v>58.0</v>
      </c>
      <c r="I1207" s="23">
        <f>IFERROR(VLOOKUP(B1207,DADOS!$A$2:$H$252,4,0)*H1207,"")</f>
        <v>6.6081488</v>
      </c>
      <c r="J1207" s="24">
        <v>1.0</v>
      </c>
      <c r="K1207" s="25">
        <f>IFERROR(VLOOKUP(B1207,DADOS!$A$2:$H$252,4,0)*J1207,"")</f>
        <v>0.1139336</v>
      </c>
      <c r="L1207" s="26">
        <f t="shared" si="23"/>
        <v>0</v>
      </c>
      <c r="M1207" s="27"/>
      <c r="N1207" s="30"/>
      <c r="O1207" s="28"/>
      <c r="P1207" s="28"/>
      <c r="Q1207" s="28"/>
      <c r="R1207" s="28"/>
      <c r="S1207" s="28"/>
    </row>
    <row r="1208">
      <c r="A1208" s="17">
        <v>45756.0</v>
      </c>
      <c r="B1208" s="18" t="s">
        <v>28</v>
      </c>
      <c r="C1208" s="18" t="s">
        <v>168</v>
      </c>
      <c r="D1208" s="19">
        <v>0.5416666666666666</v>
      </c>
      <c r="E1208" s="19">
        <v>0.71875</v>
      </c>
      <c r="F1208" s="20">
        <f t="shared" si="24"/>
        <v>0.1770833333</v>
      </c>
      <c r="G1208" s="21">
        <f>IFERROR(VLOOKUP(B1208,DADOS!$A$2:$H$252,8,0),"")</f>
        <v>25</v>
      </c>
      <c r="H1208" s="22">
        <v>72.0</v>
      </c>
      <c r="I1208" s="23">
        <f>IFERROR(VLOOKUP(B1208,DADOS!$A$2:$H$252,4,0)*H1208,"")</f>
        <v>8.2032192</v>
      </c>
      <c r="J1208" s="24">
        <v>1.0</v>
      </c>
      <c r="K1208" s="25">
        <f>IFERROR(VLOOKUP(B1208,DADOS!$A$2:$H$252,4,0)*J1208,"")</f>
        <v>0.1139336</v>
      </c>
      <c r="L1208" s="26">
        <f t="shared" si="23"/>
        <v>0</v>
      </c>
      <c r="M1208" s="27"/>
      <c r="N1208" s="30"/>
      <c r="O1208" s="28"/>
      <c r="P1208" s="28"/>
      <c r="Q1208" s="28"/>
      <c r="R1208" s="28"/>
      <c r="S1208" s="28"/>
    </row>
    <row r="1209">
      <c r="A1209" s="17">
        <v>45756.0</v>
      </c>
      <c r="B1209" s="18" t="s">
        <v>18</v>
      </c>
      <c r="C1209" s="18" t="s">
        <v>168</v>
      </c>
      <c r="D1209" s="19">
        <v>0.6666666666666666</v>
      </c>
      <c r="E1209" s="19">
        <v>0.71875</v>
      </c>
      <c r="F1209" s="20">
        <f t="shared" si="24"/>
        <v>0.05208333333</v>
      </c>
      <c r="G1209" s="21">
        <f>IFERROR(VLOOKUP(B1209,DADOS!$A$2:$H$252,8,0),"")</f>
        <v>21</v>
      </c>
      <c r="H1209" s="22">
        <v>9.0</v>
      </c>
      <c r="I1209" s="23">
        <f>IFERROR(VLOOKUP(B1209,DADOS!$A$2:$H$252,4,0)*H1209,"")</f>
        <v>2.636694</v>
      </c>
      <c r="J1209" s="36"/>
      <c r="K1209" s="25">
        <f>IFERROR(VLOOKUP(B1209,DADOS!$A$2:$H$252,4,0)*J1209,"")</f>
        <v>0</v>
      </c>
      <c r="L1209" s="26">
        <f t="shared" si="23"/>
        <v>0</v>
      </c>
      <c r="M1209" s="27"/>
      <c r="N1209" s="30"/>
      <c r="O1209" s="28"/>
      <c r="P1209" s="28"/>
      <c r="Q1209" s="28"/>
      <c r="R1209" s="28"/>
      <c r="S1209" s="28"/>
    </row>
    <row r="1210">
      <c r="A1210" s="17">
        <v>45756.0</v>
      </c>
      <c r="B1210" s="18" t="s">
        <v>25</v>
      </c>
      <c r="C1210" s="18" t="s">
        <v>165</v>
      </c>
      <c r="D1210" s="19">
        <v>0.3194444444444444</v>
      </c>
      <c r="E1210" s="19">
        <v>0.6458333333333334</v>
      </c>
      <c r="F1210" s="20">
        <f t="shared" si="24"/>
        <v>0.3263888889</v>
      </c>
      <c r="G1210" s="21">
        <f>IFERROR(VLOOKUP(B1210,DADOS!$A$2:$H$252,8,0),"")</f>
        <v>40</v>
      </c>
      <c r="H1210" s="22">
        <v>99.0</v>
      </c>
      <c r="I1210" s="23">
        <f>IFERROR(VLOOKUP(B1210,DADOS!$A$2:$H$252,4,0)*H1210,"")</f>
        <v>10.254024</v>
      </c>
      <c r="J1210" s="24">
        <v>1.0</v>
      </c>
      <c r="K1210" s="25">
        <f>IFERROR(VLOOKUP(B1210,DADOS!$A$2:$H$252,4,0)*J1210,"")</f>
        <v>0.103576</v>
      </c>
      <c r="L1210" s="26">
        <f t="shared" si="23"/>
        <v>0</v>
      </c>
      <c r="M1210" s="27"/>
      <c r="N1210" s="30"/>
      <c r="O1210" s="28"/>
      <c r="P1210" s="28"/>
      <c r="Q1210" s="28"/>
      <c r="R1210" s="28"/>
      <c r="S1210" s="28"/>
    </row>
    <row r="1211">
      <c r="A1211" s="17">
        <v>45757.0</v>
      </c>
      <c r="B1211" s="18" t="s">
        <v>28</v>
      </c>
      <c r="C1211" s="18" t="s">
        <v>168</v>
      </c>
      <c r="D1211" s="19">
        <v>0.3368055555555556</v>
      </c>
      <c r="E1211" s="19">
        <v>0.3541666666666667</v>
      </c>
      <c r="F1211" s="20">
        <f t="shared" si="24"/>
        <v>0.01736111111</v>
      </c>
      <c r="G1211" s="21">
        <f>IFERROR(VLOOKUP(B1211,DADOS!$A$2:$H$252,8,0),"")</f>
        <v>25</v>
      </c>
      <c r="H1211" s="22">
        <v>7.0</v>
      </c>
      <c r="I1211" s="23">
        <f>IFERROR(VLOOKUP(B1211,DADOS!$A$2:$H$252,4,0)*H1211,"")</f>
        <v>0.7975352</v>
      </c>
      <c r="J1211" s="36"/>
      <c r="K1211" s="25">
        <f>IFERROR(VLOOKUP(B1211,DADOS!$A$2:$H$252,4,0)*J1211,"")</f>
        <v>0</v>
      </c>
      <c r="L1211" s="26">
        <f t="shared" si="23"/>
        <v>0</v>
      </c>
      <c r="M1211" s="27"/>
      <c r="N1211" s="30"/>
      <c r="O1211" s="28"/>
      <c r="P1211" s="28"/>
      <c r="Q1211" s="28"/>
      <c r="R1211" s="28"/>
      <c r="S1211" s="28"/>
    </row>
    <row r="1212">
      <c r="A1212" s="34">
        <v>45757.0</v>
      </c>
      <c r="B1212" s="18" t="s">
        <v>35</v>
      </c>
      <c r="C1212" s="18" t="s">
        <v>168</v>
      </c>
      <c r="D1212" s="19">
        <v>0.3736111111111111</v>
      </c>
      <c r="E1212" s="29">
        <v>0.4305555555555556</v>
      </c>
      <c r="F1212" s="20">
        <f t="shared" si="24"/>
        <v>0.05694444444</v>
      </c>
      <c r="G1212" s="21">
        <f>IFERROR(VLOOKUP(B1212,DADOS!$A$2:$H$252,8,0),"")</f>
        <v>30</v>
      </c>
      <c r="H1212" s="22">
        <v>91.0</v>
      </c>
      <c r="I1212" s="23">
        <f>IFERROR(VLOOKUP(B1212,DADOS!$A$2:$H$252,4,0)*H1212,"")</f>
        <v>15.6162006</v>
      </c>
      <c r="J1212" s="24">
        <v>1.0</v>
      </c>
      <c r="K1212" s="25">
        <f>IFERROR(VLOOKUP(B1212,DADOS!$A$2:$H$252,4,0)*J1212,"")</f>
        <v>0.1716066</v>
      </c>
      <c r="L1212" s="26">
        <f t="shared" si="23"/>
        <v>0</v>
      </c>
      <c r="M1212" s="27"/>
      <c r="N1212" s="30"/>
      <c r="O1212" s="28"/>
      <c r="P1212" s="28"/>
      <c r="Q1212" s="28"/>
      <c r="R1212" s="28"/>
      <c r="S1212" s="28"/>
    </row>
    <row r="1213">
      <c r="A1213" s="17">
        <v>45757.0</v>
      </c>
      <c r="B1213" s="18" t="s">
        <v>26</v>
      </c>
      <c r="C1213" s="18" t="s">
        <v>168</v>
      </c>
      <c r="D1213" s="19">
        <v>0.4444444444444444</v>
      </c>
      <c r="E1213" s="19">
        <v>0.4965277777777778</v>
      </c>
      <c r="F1213" s="20">
        <f t="shared" si="24"/>
        <v>0.05208333333</v>
      </c>
      <c r="G1213" s="21">
        <f>IFERROR(VLOOKUP(B1213,DADOS!$A$2:$H$252,8,0),"")</f>
        <v>50</v>
      </c>
      <c r="H1213" s="22">
        <v>18.0</v>
      </c>
      <c r="I1213" s="23">
        <f>IFERROR(VLOOKUP(B1213,DADOS!$A$2:$H$252,4,0)*H1213,"")</f>
        <v>2.0508048</v>
      </c>
      <c r="J1213" s="24">
        <v>1.0</v>
      </c>
      <c r="K1213" s="25">
        <f>IFERROR(VLOOKUP(B1213,DADOS!$A$2:$H$252,4,0)*J1213,"")</f>
        <v>0.1139336</v>
      </c>
      <c r="L1213" s="26">
        <f t="shared" si="23"/>
        <v>0</v>
      </c>
      <c r="M1213" s="27"/>
      <c r="N1213" s="30"/>
      <c r="O1213" s="28"/>
      <c r="P1213" s="28"/>
      <c r="Q1213" s="28"/>
      <c r="R1213" s="28"/>
      <c r="S1213" s="28"/>
    </row>
    <row r="1214">
      <c r="A1214" s="17">
        <v>45757.0</v>
      </c>
      <c r="B1214" s="18" t="s">
        <v>161</v>
      </c>
      <c r="C1214" s="18" t="s">
        <v>19</v>
      </c>
      <c r="D1214" s="19"/>
      <c r="E1214" s="19"/>
      <c r="F1214" s="20">
        <f t="shared" si="24"/>
        <v>0</v>
      </c>
      <c r="G1214" s="21">
        <f>IFERROR(VLOOKUP(B1214,DADOS!$A$2:$H$252,8,0),"")</f>
        <v>22</v>
      </c>
      <c r="H1214" s="22">
        <v>18.0</v>
      </c>
      <c r="I1214" s="23">
        <f>IFERROR(VLOOKUP(B1214,DADOS!$A$2:$H$252,4,0)*H1214,"")</f>
        <v>1.390572</v>
      </c>
      <c r="J1214" s="36"/>
      <c r="K1214" s="25">
        <f>IFERROR(VLOOKUP(B1214,DADOS!$A$2:$H$252,4,0)*J1214,"")</f>
        <v>0</v>
      </c>
      <c r="L1214" s="26">
        <f t="shared" si="23"/>
        <v>0</v>
      </c>
      <c r="M1214" s="27"/>
      <c r="N1214" s="30"/>
      <c r="O1214" s="28"/>
      <c r="P1214" s="28"/>
      <c r="Q1214" s="28"/>
      <c r="R1214" s="28"/>
      <c r="S1214" s="28"/>
    </row>
    <row r="1215">
      <c r="A1215" s="17">
        <v>45757.0</v>
      </c>
      <c r="B1215" s="18" t="s">
        <v>25</v>
      </c>
      <c r="C1215" s="18" t="s">
        <v>165</v>
      </c>
      <c r="D1215" s="19">
        <v>0.3375</v>
      </c>
      <c r="E1215" s="19">
        <v>0.4583333333333333</v>
      </c>
      <c r="F1215" s="20">
        <f t="shared" si="24"/>
        <v>0.1208333333</v>
      </c>
      <c r="G1215" s="21">
        <f>IFERROR(VLOOKUP(B1215,DADOS!$A$2:$H$252,8,0),"")</f>
        <v>40</v>
      </c>
      <c r="H1215" s="22">
        <v>41.0</v>
      </c>
      <c r="I1215" s="23">
        <f>IFERROR(VLOOKUP(B1215,DADOS!$A$2:$H$252,4,0)*H1215,"")</f>
        <v>4.246616</v>
      </c>
      <c r="J1215" s="36"/>
      <c r="K1215" s="25">
        <f>IFERROR(VLOOKUP(B1215,DADOS!$A$2:$H$252,4,0)*J1215,"")</f>
        <v>0</v>
      </c>
      <c r="L1215" s="26">
        <f t="shared" si="23"/>
        <v>0</v>
      </c>
      <c r="M1215" s="27"/>
      <c r="N1215" s="30"/>
      <c r="O1215" s="28"/>
      <c r="P1215" s="28"/>
      <c r="Q1215" s="28"/>
      <c r="R1215" s="28"/>
      <c r="S1215" s="28"/>
    </row>
    <row r="1216">
      <c r="A1216" s="17">
        <v>45757.0</v>
      </c>
      <c r="B1216" s="18" t="s">
        <v>122</v>
      </c>
      <c r="C1216" s="18" t="s">
        <v>165</v>
      </c>
      <c r="D1216" s="19">
        <v>0.4756944444444444</v>
      </c>
      <c r="E1216" s="19">
        <v>0.7152777777777778</v>
      </c>
      <c r="F1216" s="20">
        <f t="shared" si="24"/>
        <v>0.2395833333</v>
      </c>
      <c r="G1216" s="21">
        <f>IFERROR(VLOOKUP(B1216,DADOS!$A$2:$H$252,8,0),"")</f>
        <v>17</v>
      </c>
      <c r="H1216" s="22">
        <v>30.0</v>
      </c>
      <c r="I1216" s="23">
        <f>IFERROR(VLOOKUP(B1216,DADOS!$A$2:$H$252,4,0)*H1216,"")</f>
        <v>5.148198</v>
      </c>
      <c r="J1216" s="24">
        <v>1.0</v>
      </c>
      <c r="K1216" s="25">
        <f>IFERROR(VLOOKUP(B1216,DADOS!$A$2:$H$252,4,0)*J1216,"")</f>
        <v>0.1716066</v>
      </c>
      <c r="L1216" s="26">
        <f t="shared" si="23"/>
        <v>0</v>
      </c>
      <c r="M1216" s="27"/>
      <c r="N1216" s="30"/>
      <c r="O1216" s="28"/>
      <c r="P1216" s="28"/>
      <c r="Q1216" s="28"/>
      <c r="R1216" s="28"/>
      <c r="S1216" s="28"/>
    </row>
    <row r="1217">
      <c r="A1217" s="17">
        <v>45757.0</v>
      </c>
      <c r="B1217" s="18" t="s">
        <v>161</v>
      </c>
      <c r="C1217" s="18" t="s">
        <v>172</v>
      </c>
      <c r="D1217" s="19"/>
      <c r="E1217" s="19"/>
      <c r="F1217" s="20">
        <f t="shared" si="24"/>
        <v>0</v>
      </c>
      <c r="G1217" s="21">
        <f>IFERROR(VLOOKUP(B1217,DADOS!$A$2:$H$252,8,0),"")</f>
        <v>22</v>
      </c>
      <c r="H1217" s="22">
        <v>74.0</v>
      </c>
      <c r="I1217" s="23">
        <f>IFERROR(VLOOKUP(B1217,DADOS!$A$2:$H$252,4,0)*H1217,"")</f>
        <v>5.716796</v>
      </c>
      <c r="J1217" s="24">
        <v>5.0</v>
      </c>
      <c r="K1217" s="25">
        <f>IFERROR(VLOOKUP(B1217,DADOS!$A$2:$H$252,4,0)*J1217,"")</f>
        <v>0.38627</v>
      </c>
      <c r="L1217" s="26">
        <f t="shared" si="23"/>
        <v>0</v>
      </c>
      <c r="M1217" s="27"/>
      <c r="N1217" s="30"/>
      <c r="O1217" s="28"/>
      <c r="P1217" s="28"/>
      <c r="Q1217" s="28"/>
      <c r="R1217" s="28"/>
      <c r="S1217" s="28"/>
    </row>
    <row r="1218">
      <c r="A1218" s="17">
        <v>45758.0</v>
      </c>
      <c r="B1218" s="18" t="s">
        <v>35</v>
      </c>
      <c r="C1218" s="18" t="s">
        <v>168</v>
      </c>
      <c r="D1218" s="19">
        <v>0.3194444444444444</v>
      </c>
      <c r="E1218" s="19">
        <v>0.3472222222222222</v>
      </c>
      <c r="F1218" s="20">
        <f t="shared" si="24"/>
        <v>0.02777777778</v>
      </c>
      <c r="G1218" s="21">
        <f>IFERROR(VLOOKUP(B1218,DADOS!$A$2:$H$252,8,0),"")</f>
        <v>30</v>
      </c>
      <c r="H1218" s="22">
        <v>5.0</v>
      </c>
      <c r="I1218" s="23">
        <f>IFERROR(VLOOKUP(B1218,DADOS!$A$2:$H$252,4,0)*H1218,"")</f>
        <v>0.858033</v>
      </c>
      <c r="J1218" s="36"/>
      <c r="K1218" s="25">
        <f>IFERROR(VLOOKUP(B1218,DADOS!$A$2:$H$252,4,0)*J1218,"")</f>
        <v>0</v>
      </c>
      <c r="L1218" s="26">
        <f t="shared" si="23"/>
        <v>0</v>
      </c>
      <c r="M1218" s="27"/>
      <c r="N1218" s="30"/>
      <c r="O1218" s="28"/>
      <c r="P1218" s="28"/>
      <c r="Q1218" s="28"/>
      <c r="R1218" s="28"/>
      <c r="S1218" s="28"/>
    </row>
    <row r="1219">
      <c r="A1219" s="17">
        <v>45758.0</v>
      </c>
      <c r="B1219" s="18" t="s">
        <v>26</v>
      </c>
      <c r="C1219" s="18" t="s">
        <v>168</v>
      </c>
      <c r="D1219" s="19">
        <v>0.3576388888888889</v>
      </c>
      <c r="E1219" s="19">
        <v>0.4444444444444444</v>
      </c>
      <c r="F1219" s="20">
        <f t="shared" si="24"/>
        <v>0.08680555556</v>
      </c>
      <c r="G1219" s="21">
        <f>IFERROR(VLOOKUP(B1219,DADOS!$A$2:$H$252,8,0),"")</f>
        <v>50</v>
      </c>
      <c r="H1219" s="22">
        <v>36.0</v>
      </c>
      <c r="I1219" s="23">
        <f>IFERROR(VLOOKUP(B1219,DADOS!$A$2:$H$252,4,0)*H1219,"")</f>
        <v>4.1016096</v>
      </c>
      <c r="J1219" s="36"/>
      <c r="K1219" s="25">
        <f>IFERROR(VLOOKUP(B1219,DADOS!$A$2:$H$252,4,0)*J1219,"")</f>
        <v>0</v>
      </c>
      <c r="L1219" s="26">
        <f t="shared" si="23"/>
        <v>0</v>
      </c>
      <c r="M1219" s="27"/>
      <c r="N1219" s="30"/>
      <c r="O1219" s="28"/>
      <c r="P1219" s="28"/>
      <c r="Q1219" s="28"/>
      <c r="R1219" s="28"/>
      <c r="S1219" s="28"/>
    </row>
    <row r="1220">
      <c r="A1220" s="17">
        <v>45758.0</v>
      </c>
      <c r="B1220" s="18" t="s">
        <v>69</v>
      </c>
      <c r="C1220" s="18" t="s">
        <v>168</v>
      </c>
      <c r="D1220" s="19">
        <v>0.4479166666666667</v>
      </c>
      <c r="E1220" s="19">
        <v>0.6006944444444444</v>
      </c>
      <c r="F1220" s="20">
        <f t="shared" si="24"/>
        <v>0.1527777778</v>
      </c>
      <c r="G1220" s="21">
        <f>IFERROR(VLOOKUP(B1220,DADOS!$A$2:$H$252,8,0),"")</f>
        <v>13</v>
      </c>
      <c r="H1220" s="22">
        <v>18.0</v>
      </c>
      <c r="I1220" s="23">
        <f>IFERROR(VLOOKUP(B1220,DADOS!$A$2:$H$252,4,0)*H1220,"")</f>
        <v>6.1632</v>
      </c>
      <c r="J1220" s="24">
        <v>2.0</v>
      </c>
      <c r="K1220" s="25">
        <f>IFERROR(VLOOKUP(B1220,DADOS!$A$2:$H$252,4,0)*J1220,"")</f>
        <v>0.6848</v>
      </c>
      <c r="L1220" s="26">
        <f t="shared" si="23"/>
        <v>0</v>
      </c>
      <c r="M1220" s="27"/>
      <c r="N1220" s="30"/>
      <c r="O1220" s="28"/>
      <c r="P1220" s="28"/>
      <c r="Q1220" s="28"/>
      <c r="R1220" s="28"/>
      <c r="S1220" s="28"/>
    </row>
    <row r="1221">
      <c r="A1221" s="17">
        <v>45758.0</v>
      </c>
      <c r="B1221" s="18" t="s">
        <v>18</v>
      </c>
      <c r="C1221" s="18" t="s">
        <v>168</v>
      </c>
      <c r="D1221" s="19">
        <v>0.6319444444444444</v>
      </c>
      <c r="E1221" s="19">
        <v>0.6666666666666666</v>
      </c>
      <c r="F1221" s="20">
        <f t="shared" si="24"/>
        <v>0.03472222222</v>
      </c>
      <c r="G1221" s="21">
        <f>IFERROR(VLOOKUP(B1221,DADOS!$A$2:$H$252,8,0),"")</f>
        <v>21</v>
      </c>
      <c r="H1221" s="22">
        <v>8.0</v>
      </c>
      <c r="I1221" s="23">
        <f>IFERROR(VLOOKUP(B1221,DADOS!$A$2:$H$252,4,0)*H1221,"")</f>
        <v>2.343728</v>
      </c>
      <c r="J1221" s="36"/>
      <c r="K1221" s="25">
        <f>IFERROR(VLOOKUP(B1221,DADOS!$A$2:$H$252,4,0)*J1221,"")</f>
        <v>0</v>
      </c>
      <c r="L1221" s="26">
        <f t="shared" si="23"/>
        <v>0</v>
      </c>
      <c r="M1221" s="27"/>
      <c r="N1221" s="30"/>
      <c r="O1221" s="28"/>
      <c r="P1221" s="28"/>
      <c r="Q1221" s="28"/>
      <c r="R1221" s="28"/>
      <c r="S1221" s="28"/>
    </row>
    <row r="1222">
      <c r="A1222" s="17">
        <v>45758.0</v>
      </c>
      <c r="B1222" s="18" t="s">
        <v>18</v>
      </c>
      <c r="C1222" s="18" t="s">
        <v>19</v>
      </c>
      <c r="D1222" s="19"/>
      <c r="E1222" s="19"/>
      <c r="F1222" s="20">
        <f t="shared" si="24"/>
        <v>0</v>
      </c>
      <c r="G1222" s="21">
        <f>IFERROR(VLOOKUP(B1222,DADOS!$A$2:$H$252,8,0),"")</f>
        <v>21</v>
      </c>
      <c r="H1222" s="22">
        <v>4.0</v>
      </c>
      <c r="I1222" s="23">
        <f>IFERROR(VLOOKUP(B1222,DADOS!$A$2:$H$252,4,0)*H1222,"")</f>
        <v>1.171864</v>
      </c>
      <c r="J1222" s="36"/>
      <c r="K1222" s="25">
        <f>IFERROR(VLOOKUP(B1222,DADOS!$A$2:$H$252,4,0)*J1222,"")</f>
        <v>0</v>
      </c>
      <c r="L1222" s="26">
        <f t="shared" si="23"/>
        <v>0</v>
      </c>
      <c r="M1222" s="27"/>
      <c r="N1222" s="30"/>
      <c r="O1222" s="28"/>
      <c r="P1222" s="28"/>
      <c r="Q1222" s="28"/>
      <c r="R1222" s="28"/>
      <c r="S1222" s="28"/>
    </row>
    <row r="1223">
      <c r="A1223" s="17">
        <v>45758.0</v>
      </c>
      <c r="B1223" s="18" t="s">
        <v>70</v>
      </c>
      <c r="C1223" s="18" t="s">
        <v>19</v>
      </c>
      <c r="D1223" s="19"/>
      <c r="E1223" s="19"/>
      <c r="F1223" s="20">
        <f t="shared" si="24"/>
        <v>0</v>
      </c>
      <c r="G1223" s="21">
        <f>IFERROR(VLOOKUP(B1223,DADOS!$A$2:$H$252,8,0),"")</f>
        <v>13</v>
      </c>
      <c r="H1223" s="22">
        <v>2.0</v>
      </c>
      <c r="I1223" s="23">
        <f>IFERROR(VLOOKUP(B1223,DADOS!$A$2:$H$252,4,0)*H1223,"")</f>
        <v>0.6848</v>
      </c>
      <c r="J1223" s="24">
        <v>4.0</v>
      </c>
      <c r="K1223" s="25">
        <f>IFERROR(VLOOKUP(B1223,DADOS!$A$2:$H$252,4,0)*J1223,"")</f>
        <v>1.3696</v>
      </c>
      <c r="L1223" s="26">
        <f t="shared" si="23"/>
        <v>0</v>
      </c>
      <c r="M1223" s="30" t="s">
        <v>39</v>
      </c>
      <c r="N1223" s="30" t="s">
        <v>174</v>
      </c>
      <c r="O1223" s="28"/>
      <c r="P1223" s="28"/>
      <c r="Q1223" s="28"/>
      <c r="R1223" s="28"/>
      <c r="S1223" s="28"/>
    </row>
    <row r="1224">
      <c r="A1224" s="17">
        <v>45758.0</v>
      </c>
      <c r="B1224" s="18" t="s">
        <v>49</v>
      </c>
      <c r="C1224" s="18" t="s">
        <v>165</v>
      </c>
      <c r="D1224" s="19"/>
      <c r="E1224" s="19"/>
      <c r="F1224" s="20">
        <f t="shared" si="24"/>
        <v>0</v>
      </c>
      <c r="G1224" s="21">
        <f>IFERROR(VLOOKUP(B1224,DADOS!$A$2:$H$252,8,0),"")</f>
        <v>42</v>
      </c>
      <c r="H1224" s="22">
        <v>53.0</v>
      </c>
      <c r="I1224" s="23">
        <f>IFERROR(VLOOKUP(B1224,DADOS!$A$2:$H$252,4,0)*H1224,"")</f>
        <v>3.6056218</v>
      </c>
      <c r="J1224" s="24">
        <v>11.0</v>
      </c>
      <c r="K1224" s="25">
        <f>IFERROR(VLOOKUP(B1224,DADOS!$A$2:$H$252,4,0)*J1224,"")</f>
        <v>0.7483366</v>
      </c>
      <c r="L1224" s="26">
        <f t="shared" si="23"/>
        <v>0</v>
      </c>
      <c r="M1224" s="30" t="s">
        <v>39</v>
      </c>
      <c r="N1224" s="30" t="s">
        <v>89</v>
      </c>
      <c r="O1224" s="28"/>
      <c r="P1224" s="28"/>
      <c r="Q1224" s="28"/>
      <c r="R1224" s="28"/>
      <c r="S1224" s="28"/>
    </row>
    <row r="1225">
      <c r="A1225" s="17">
        <v>45758.0</v>
      </c>
      <c r="B1225" s="18" t="s">
        <v>69</v>
      </c>
      <c r="C1225" s="18" t="s">
        <v>165</v>
      </c>
      <c r="D1225" s="19"/>
      <c r="E1225" s="19"/>
      <c r="F1225" s="20">
        <f t="shared" si="24"/>
        <v>0</v>
      </c>
      <c r="G1225" s="21">
        <f>IFERROR(VLOOKUP(B1225,DADOS!$A$2:$H$252,8,0),"")</f>
        <v>13</v>
      </c>
      <c r="H1225" s="22">
        <v>5.0</v>
      </c>
      <c r="I1225" s="23">
        <f>IFERROR(VLOOKUP(B1225,DADOS!$A$2:$H$252,4,0)*H1225,"")</f>
        <v>1.712</v>
      </c>
      <c r="J1225" s="24">
        <v>3.0</v>
      </c>
      <c r="K1225" s="25">
        <f>IFERROR(VLOOKUP(B1225,DADOS!$A$2:$H$252,4,0)*J1225,"")</f>
        <v>1.0272</v>
      </c>
      <c r="L1225" s="26">
        <f t="shared" si="23"/>
        <v>0</v>
      </c>
      <c r="M1225" s="30" t="s">
        <v>39</v>
      </c>
      <c r="N1225" s="30" t="s">
        <v>84</v>
      </c>
      <c r="O1225" s="28"/>
      <c r="P1225" s="28"/>
      <c r="Q1225" s="28"/>
      <c r="R1225" s="28"/>
      <c r="S1225" s="28"/>
    </row>
    <row r="1226">
      <c r="A1226" s="17">
        <v>45761.0</v>
      </c>
      <c r="B1226" s="18" t="s">
        <v>26</v>
      </c>
      <c r="C1226" s="18" t="s">
        <v>168</v>
      </c>
      <c r="D1226" s="19">
        <v>0.32083333333333336</v>
      </c>
      <c r="E1226" s="19">
        <v>0.3701388888888889</v>
      </c>
      <c r="F1226" s="20">
        <f t="shared" si="24"/>
        <v>0.04930555556</v>
      </c>
      <c r="G1226" s="21">
        <f>IFERROR(VLOOKUP(B1226,DADOS!$A$2:$H$252,8,0),"")</f>
        <v>50</v>
      </c>
      <c r="H1226" s="22">
        <v>16.0</v>
      </c>
      <c r="I1226" s="23">
        <f>IFERROR(VLOOKUP(B1226,DADOS!$A$2:$H$252,4,0)*H1226,"")</f>
        <v>1.8229376</v>
      </c>
      <c r="J1226" s="36"/>
      <c r="K1226" s="25">
        <f>IFERROR(VLOOKUP(B1226,DADOS!$A$2:$H$252,4,0)*J1226,"")</f>
        <v>0</v>
      </c>
      <c r="L1226" s="26">
        <f t="shared" si="23"/>
        <v>0</v>
      </c>
      <c r="M1226" s="27"/>
      <c r="N1226" s="30"/>
      <c r="O1226" s="28"/>
      <c r="P1226" s="28"/>
      <c r="Q1226" s="28"/>
      <c r="R1226" s="28"/>
      <c r="S1226" s="28"/>
    </row>
    <row r="1227">
      <c r="A1227" s="17">
        <v>45761.0</v>
      </c>
      <c r="B1227" s="18" t="s">
        <v>18</v>
      </c>
      <c r="C1227" s="18" t="s">
        <v>168</v>
      </c>
      <c r="D1227" s="19">
        <v>0.3729166666666667</v>
      </c>
      <c r="E1227" s="19">
        <v>0.71875</v>
      </c>
      <c r="F1227" s="20">
        <f t="shared" si="24"/>
        <v>0.3458333333</v>
      </c>
      <c r="G1227" s="21">
        <f>IFERROR(VLOOKUP(B1227,DADOS!$A$2:$H$252,8,0),"")</f>
        <v>21</v>
      </c>
      <c r="H1227" s="22">
        <v>106.0</v>
      </c>
      <c r="I1227" s="23">
        <f>IFERROR(VLOOKUP(B1227,DADOS!$A$2:$H$252,4,0)*H1227,"")</f>
        <v>31.054396</v>
      </c>
      <c r="J1227" s="36"/>
      <c r="K1227" s="25">
        <f>IFERROR(VLOOKUP(B1227,DADOS!$A$2:$H$252,4,0)*J1227,"")</f>
        <v>0</v>
      </c>
      <c r="L1227" s="26">
        <f t="shared" si="23"/>
        <v>0</v>
      </c>
      <c r="M1227" s="27"/>
      <c r="N1227" s="30"/>
      <c r="O1227" s="28"/>
      <c r="P1227" s="28"/>
      <c r="Q1227" s="28"/>
      <c r="R1227" s="28"/>
      <c r="S1227" s="28"/>
    </row>
    <row r="1228">
      <c r="A1228" s="17">
        <v>45761.0</v>
      </c>
      <c r="B1228" s="18" t="s">
        <v>70</v>
      </c>
      <c r="C1228" s="18" t="s">
        <v>19</v>
      </c>
      <c r="D1228" s="19"/>
      <c r="E1228" s="19"/>
      <c r="F1228" s="20">
        <f t="shared" si="24"/>
        <v>0</v>
      </c>
      <c r="G1228" s="21">
        <f>IFERROR(VLOOKUP(B1228,DADOS!$A$2:$H$252,8,0),"")</f>
        <v>13</v>
      </c>
      <c r="H1228" s="22">
        <v>20.0</v>
      </c>
      <c r="I1228" s="23">
        <f>IFERROR(VLOOKUP(B1228,DADOS!$A$2:$H$252,4,0)*H1228,"")</f>
        <v>6.848</v>
      </c>
      <c r="J1228" s="24">
        <v>7.0</v>
      </c>
      <c r="K1228" s="25">
        <f>IFERROR(VLOOKUP(B1228,DADOS!$A$2:$H$252,4,0)*J1228,"")</f>
        <v>2.3968</v>
      </c>
      <c r="L1228" s="26">
        <f t="shared" si="23"/>
        <v>0</v>
      </c>
      <c r="M1228" s="27"/>
      <c r="N1228" s="30"/>
      <c r="O1228" s="28"/>
      <c r="P1228" s="28"/>
      <c r="Q1228" s="28"/>
      <c r="R1228" s="28"/>
      <c r="S1228" s="28"/>
    </row>
    <row r="1229">
      <c r="A1229" s="17">
        <v>45761.0</v>
      </c>
      <c r="B1229" s="18" t="s">
        <v>109</v>
      </c>
      <c r="C1229" s="18" t="s">
        <v>19</v>
      </c>
      <c r="D1229" s="19"/>
      <c r="E1229" s="19"/>
      <c r="F1229" s="20">
        <f t="shared" si="24"/>
        <v>0</v>
      </c>
      <c r="G1229" s="21" t="str">
        <f>IFERROR(VLOOKUP(B1229,DADOS!$A$2:$H$252,8,0),"")</f>
        <v/>
      </c>
      <c r="H1229" s="22">
        <v>29.0</v>
      </c>
      <c r="I1229" s="23" t="str">
        <f>IFERROR(VLOOKUP(B1229,DADOS!$A$2:$H$252,4,0)*H1229,"")</f>
        <v/>
      </c>
      <c r="J1229" s="24">
        <v>1.0</v>
      </c>
      <c r="K1229" s="25" t="str">
        <f>IFERROR(VLOOKUP(B1229,DADOS!$A$2:$H$252,4,0)*J1229,"")</f>
        <v/>
      </c>
      <c r="L1229" s="26" t="str">
        <f t="shared" si="23"/>
        <v/>
      </c>
      <c r="M1229" s="27"/>
      <c r="N1229" s="30"/>
      <c r="O1229" s="28"/>
      <c r="P1229" s="28"/>
      <c r="Q1229" s="28"/>
      <c r="R1229" s="28"/>
      <c r="S1229" s="28"/>
    </row>
    <row r="1230">
      <c r="A1230" s="17">
        <v>45761.0</v>
      </c>
      <c r="B1230" s="18" t="s">
        <v>49</v>
      </c>
      <c r="C1230" s="18" t="s">
        <v>165</v>
      </c>
      <c r="D1230" s="19">
        <v>0.3229166666666667</v>
      </c>
      <c r="E1230" s="19">
        <v>0.6527777777777778</v>
      </c>
      <c r="F1230" s="20">
        <f t="shared" si="24"/>
        <v>0.3298611111</v>
      </c>
      <c r="G1230" s="21">
        <f>IFERROR(VLOOKUP(B1230,DADOS!$A$2:$H$252,8,0),"")</f>
        <v>42</v>
      </c>
      <c r="H1230" s="22">
        <v>121.0</v>
      </c>
      <c r="I1230" s="23">
        <f>IFERROR(VLOOKUP(B1230,DADOS!$A$2:$H$252,4,0)*H1230,"")</f>
        <v>8.2317026</v>
      </c>
      <c r="J1230" s="36"/>
      <c r="K1230" s="25">
        <f>IFERROR(VLOOKUP(B1230,DADOS!$A$2:$H$252,4,0)*J1230,"")</f>
        <v>0</v>
      </c>
      <c r="L1230" s="26">
        <f t="shared" si="23"/>
        <v>0</v>
      </c>
      <c r="M1230" s="27"/>
      <c r="N1230" s="30"/>
      <c r="O1230" s="28"/>
      <c r="P1230" s="28"/>
      <c r="Q1230" s="28"/>
      <c r="R1230" s="28"/>
      <c r="S1230" s="28"/>
    </row>
    <row r="1231">
      <c r="A1231" s="17">
        <v>45761.0</v>
      </c>
      <c r="B1231" s="18" t="s">
        <v>47</v>
      </c>
      <c r="C1231" s="18" t="s">
        <v>165</v>
      </c>
      <c r="D1231" s="19">
        <v>0.6875</v>
      </c>
      <c r="E1231" s="19">
        <v>0.71875</v>
      </c>
      <c r="F1231" s="20">
        <f t="shared" si="24"/>
        <v>0.03125</v>
      </c>
      <c r="G1231" s="21">
        <f>IFERROR(VLOOKUP(B1231,DADOS!$A$2:$H$252,8,0),"")</f>
        <v>35</v>
      </c>
      <c r="H1231" s="22">
        <v>7.0</v>
      </c>
      <c r="I1231" s="23">
        <f>IFERROR(VLOOKUP(B1231,DADOS!$A$2:$H$252,4,0)*H1231,"")</f>
        <v>0.7975352</v>
      </c>
      <c r="J1231" s="36"/>
      <c r="K1231" s="25">
        <f>IFERROR(VLOOKUP(B1231,DADOS!$A$2:$H$252,4,0)*J1231,"")</f>
        <v>0</v>
      </c>
      <c r="L1231" s="26">
        <f t="shared" si="23"/>
        <v>0</v>
      </c>
      <c r="M1231" s="27"/>
      <c r="N1231" s="30"/>
      <c r="O1231" s="28"/>
      <c r="P1231" s="28"/>
      <c r="Q1231" s="28"/>
      <c r="R1231" s="28"/>
      <c r="S1231" s="28"/>
    </row>
    <row r="1232">
      <c r="A1232" s="17">
        <v>45762.0</v>
      </c>
      <c r="B1232" s="18" t="s">
        <v>22</v>
      </c>
      <c r="C1232" s="18" t="s">
        <v>166</v>
      </c>
      <c r="D1232" s="19">
        <v>0.3263888888888889</v>
      </c>
      <c r="E1232" s="19">
        <v>0.4513888888888889</v>
      </c>
      <c r="F1232" s="20">
        <f t="shared" si="24"/>
        <v>0.125</v>
      </c>
      <c r="G1232" s="21">
        <f>IFERROR(VLOOKUP(B1232,DADOS!$A$2:$H$252,8,0),"")</f>
        <v>15</v>
      </c>
      <c r="H1232" s="22">
        <v>37.0</v>
      </c>
      <c r="I1232" s="23">
        <f>IFERROR(VLOOKUP(B1232,DADOS!$A$2:$H$252,4,0)*H1232,"")</f>
        <v>22.6541898</v>
      </c>
      <c r="J1232" s="36"/>
      <c r="K1232" s="25">
        <f>IFERROR(VLOOKUP(B1232,DADOS!$A$2:$H$252,4,0)*J1232,"")</f>
        <v>0</v>
      </c>
      <c r="L1232" s="26">
        <f t="shared" si="23"/>
        <v>0</v>
      </c>
      <c r="M1232" s="27"/>
      <c r="N1232" s="30"/>
      <c r="O1232" s="28"/>
      <c r="P1232" s="28"/>
      <c r="Q1232" s="28"/>
      <c r="R1232" s="28"/>
      <c r="S1232" s="28"/>
    </row>
    <row r="1233">
      <c r="A1233" s="17">
        <v>45762.0</v>
      </c>
      <c r="B1233" s="18" t="s">
        <v>18</v>
      </c>
      <c r="C1233" s="18" t="s">
        <v>168</v>
      </c>
      <c r="D1233" s="19">
        <v>0.3333333333333333</v>
      </c>
      <c r="E1233" s="19">
        <v>0.4409722222222222</v>
      </c>
      <c r="F1233" s="20">
        <f t="shared" si="24"/>
        <v>0.1076388889</v>
      </c>
      <c r="G1233" s="21">
        <f>IFERROR(VLOOKUP(B1233,DADOS!$A$2:$H$252,8,0),"")</f>
        <v>21</v>
      </c>
      <c r="H1233" s="22">
        <v>31.0</v>
      </c>
      <c r="I1233" s="23">
        <f>IFERROR(VLOOKUP(B1233,DADOS!$A$2:$H$252,4,0)*H1233,"")</f>
        <v>9.081946</v>
      </c>
      <c r="J1233" s="36"/>
      <c r="K1233" s="25">
        <f>IFERROR(VLOOKUP(B1233,DADOS!$A$2:$H$252,4,0)*J1233,"")</f>
        <v>0</v>
      </c>
      <c r="L1233" s="26">
        <f t="shared" si="23"/>
        <v>0</v>
      </c>
      <c r="M1233" s="27"/>
      <c r="N1233" s="30"/>
      <c r="O1233" s="28"/>
      <c r="P1233" s="28"/>
      <c r="Q1233" s="28"/>
      <c r="R1233" s="28"/>
      <c r="S1233" s="28"/>
    </row>
    <row r="1234">
      <c r="A1234" s="17">
        <v>45762.0</v>
      </c>
      <c r="B1234" s="18" t="s">
        <v>76</v>
      </c>
      <c r="C1234" s="18" t="s">
        <v>168</v>
      </c>
      <c r="D1234" s="19">
        <v>0.4513888888888889</v>
      </c>
      <c r="E1234" s="19">
        <v>0.4708333333333333</v>
      </c>
      <c r="F1234" s="20">
        <f t="shared" si="24"/>
        <v>0.01944444444</v>
      </c>
      <c r="G1234" s="21">
        <f>IFERROR(VLOOKUP(B1234,DADOS!$A$2:$H$252,8,0),"")</f>
        <v>120</v>
      </c>
      <c r="H1234" s="22">
        <v>49.0</v>
      </c>
      <c r="I1234" s="23">
        <f>IFERROR(VLOOKUP(B1234,DADOS!$A$2:$H$252,4,0)*H1234,"")</f>
        <v>0.1274049</v>
      </c>
      <c r="J1234" s="36"/>
      <c r="K1234" s="25">
        <f>IFERROR(VLOOKUP(B1234,DADOS!$A$2:$H$252,4,0)*J1234,"")</f>
        <v>0</v>
      </c>
      <c r="L1234" s="26">
        <f t="shared" si="23"/>
        <v>0</v>
      </c>
      <c r="M1234" s="27"/>
      <c r="N1234" s="30"/>
      <c r="O1234" s="28"/>
      <c r="P1234" s="28"/>
      <c r="Q1234" s="28"/>
      <c r="R1234" s="28"/>
      <c r="S1234" s="28"/>
    </row>
    <row r="1235">
      <c r="A1235" s="17">
        <v>45762.0</v>
      </c>
      <c r="B1235" s="18" t="s">
        <v>109</v>
      </c>
      <c r="C1235" s="18" t="s">
        <v>168</v>
      </c>
      <c r="D1235" s="19">
        <v>0.5555555555555556</v>
      </c>
      <c r="E1235" s="19">
        <v>0.6923611111111111</v>
      </c>
      <c r="F1235" s="20">
        <f t="shared" si="24"/>
        <v>0.1368055556</v>
      </c>
      <c r="G1235" s="21" t="str">
        <f>IFERROR(VLOOKUP(B1235,DADOS!$A$2:$H$252,8,0),"")</f>
        <v/>
      </c>
      <c r="H1235" s="22">
        <v>49.0</v>
      </c>
      <c r="I1235" s="23" t="str">
        <f>IFERROR(VLOOKUP(B1235,DADOS!$A$2:$H$252,4,0)*H1235,"")</f>
        <v/>
      </c>
      <c r="J1235" s="36"/>
      <c r="K1235" s="25" t="str">
        <f>IFERROR(VLOOKUP(B1235,DADOS!$A$2:$H$252,4,0)*J1235,"")</f>
        <v/>
      </c>
      <c r="L1235" s="26" t="str">
        <f t="shared" si="23"/>
        <v/>
      </c>
      <c r="M1235" s="27"/>
      <c r="N1235" s="30"/>
      <c r="O1235" s="28"/>
      <c r="P1235" s="28"/>
      <c r="Q1235" s="28"/>
      <c r="R1235" s="28"/>
      <c r="S1235" s="28"/>
    </row>
    <row r="1236">
      <c r="A1236" s="17">
        <v>45762.0</v>
      </c>
      <c r="B1236" s="18" t="s">
        <v>47</v>
      </c>
      <c r="C1236" s="18" t="s">
        <v>165</v>
      </c>
      <c r="D1236" s="19">
        <v>0.3368055555555556</v>
      </c>
      <c r="E1236" s="19">
        <v>0.5791666666666667</v>
      </c>
      <c r="F1236" s="20">
        <f t="shared" si="24"/>
        <v>0.2423611111</v>
      </c>
      <c r="G1236" s="21">
        <f>IFERROR(VLOOKUP(B1236,DADOS!$A$2:$H$252,8,0),"")</f>
        <v>35</v>
      </c>
      <c r="H1236" s="22">
        <v>56.0</v>
      </c>
      <c r="I1236" s="23">
        <f>IFERROR(VLOOKUP(B1236,DADOS!$A$2:$H$252,4,0)*H1236,"")</f>
        <v>6.3802816</v>
      </c>
      <c r="J1236" s="24">
        <v>6.0</v>
      </c>
      <c r="K1236" s="25">
        <f>IFERROR(VLOOKUP(B1236,DADOS!$A$2:$H$252,4,0)*J1236,"")</f>
        <v>0.6836016</v>
      </c>
      <c r="L1236" s="26">
        <f t="shared" si="23"/>
        <v>0</v>
      </c>
      <c r="M1236" s="27"/>
      <c r="N1236" s="30"/>
      <c r="O1236" s="28"/>
      <c r="P1236" s="28"/>
      <c r="Q1236" s="28"/>
      <c r="R1236" s="28"/>
      <c r="S1236" s="28"/>
    </row>
    <row r="1237">
      <c r="A1237" s="17">
        <v>45763.0</v>
      </c>
      <c r="B1237" s="18" t="s">
        <v>18</v>
      </c>
      <c r="C1237" s="18" t="s">
        <v>168</v>
      </c>
      <c r="D1237" s="19">
        <v>0.33819444444444446</v>
      </c>
      <c r="E1237" s="19">
        <v>0.4375</v>
      </c>
      <c r="F1237" s="20">
        <f t="shared" si="24"/>
        <v>0.09930555556</v>
      </c>
      <c r="G1237" s="21">
        <f>IFERROR(VLOOKUP(B1237,DADOS!$A$2:$H$252,8,0),"")</f>
        <v>21</v>
      </c>
      <c r="H1237" s="22">
        <v>65.0</v>
      </c>
      <c r="I1237" s="23">
        <f>IFERROR(VLOOKUP(B1237,DADOS!$A$2:$H$252,4,0)*H1237,"")</f>
        <v>19.04279</v>
      </c>
      <c r="J1237" s="24">
        <v>3.0</v>
      </c>
      <c r="K1237" s="25">
        <f>IFERROR(VLOOKUP(B1237,DADOS!$A$2:$H$252,4,0)*J1237,"")</f>
        <v>0.878898</v>
      </c>
      <c r="L1237" s="26">
        <f t="shared" si="23"/>
        <v>0</v>
      </c>
      <c r="M1237" s="27"/>
      <c r="N1237" s="30"/>
      <c r="O1237" s="28"/>
      <c r="P1237" s="28"/>
      <c r="Q1237" s="28"/>
      <c r="R1237" s="28"/>
      <c r="S1237" s="28"/>
    </row>
    <row r="1238">
      <c r="A1238" s="17">
        <v>45763.0</v>
      </c>
      <c r="B1238" s="18" t="s">
        <v>155</v>
      </c>
      <c r="C1238" s="18" t="s">
        <v>168</v>
      </c>
      <c r="D1238" s="19">
        <v>0.4409722222222222</v>
      </c>
      <c r="E1238" s="19">
        <v>0.5729166666666666</v>
      </c>
      <c r="F1238" s="20">
        <f t="shared" si="24"/>
        <v>0.1319444444</v>
      </c>
      <c r="G1238" s="21">
        <f>IFERROR(VLOOKUP(B1238,DADOS!$A$2:$H$252,8,0),"")</f>
        <v>18</v>
      </c>
      <c r="H1238" s="22">
        <v>21.0</v>
      </c>
      <c r="I1238" s="23">
        <f>IFERROR(VLOOKUP(B1238,DADOS!$A$2:$H$252,4,0)*H1238,"")</f>
        <v>8.309406</v>
      </c>
      <c r="J1238" s="36"/>
      <c r="K1238" s="25">
        <f>IFERROR(VLOOKUP(B1238,DADOS!$A$2:$H$252,4,0)*J1238,"")</f>
        <v>0</v>
      </c>
      <c r="L1238" s="26">
        <f t="shared" si="23"/>
        <v>0</v>
      </c>
      <c r="M1238" s="27"/>
      <c r="N1238" s="30"/>
      <c r="O1238" s="28"/>
      <c r="P1238" s="28"/>
      <c r="Q1238" s="28"/>
      <c r="R1238" s="28"/>
      <c r="S1238" s="28"/>
    </row>
    <row r="1239">
      <c r="A1239" s="17">
        <v>45763.0</v>
      </c>
      <c r="B1239" s="18" t="s">
        <v>178</v>
      </c>
      <c r="C1239" s="18" t="s">
        <v>168</v>
      </c>
      <c r="D1239" s="19">
        <v>0.5729166666666666</v>
      </c>
      <c r="E1239" s="19">
        <v>0.71875</v>
      </c>
      <c r="F1239" s="20">
        <f t="shared" si="24"/>
        <v>0.1458333333</v>
      </c>
      <c r="G1239" s="21">
        <f>IFERROR(VLOOKUP(B1239,DADOS!$A$2:$H$252,8,0),"")</f>
        <v>35</v>
      </c>
      <c r="H1239" s="22">
        <v>28.0</v>
      </c>
      <c r="I1239" s="23">
        <f>IFERROR(VLOOKUP(B1239,DADOS!$A$2:$H$252,4,0)*H1239,"")</f>
        <v>5.93208</v>
      </c>
      <c r="J1239" s="36"/>
      <c r="K1239" s="25">
        <f>IFERROR(VLOOKUP(B1239,DADOS!$A$2:$H$252,4,0)*J1239,"")</f>
        <v>0</v>
      </c>
      <c r="L1239" s="26">
        <f t="shared" si="23"/>
        <v>0</v>
      </c>
      <c r="M1239" s="27"/>
      <c r="N1239" s="30"/>
      <c r="O1239" s="28"/>
      <c r="P1239" s="28"/>
      <c r="Q1239" s="28"/>
      <c r="R1239" s="28"/>
      <c r="S1239" s="28"/>
    </row>
    <row r="1240">
      <c r="A1240" s="17">
        <v>45763.0</v>
      </c>
      <c r="B1240" s="18" t="s">
        <v>56</v>
      </c>
      <c r="C1240" s="18" t="s">
        <v>165</v>
      </c>
      <c r="D1240" s="19">
        <v>0.5722222222222222</v>
      </c>
      <c r="E1240" s="19">
        <v>0.7083333333333334</v>
      </c>
      <c r="F1240" s="20">
        <f t="shared" si="24"/>
        <v>0.1361111111</v>
      </c>
      <c r="G1240" s="21">
        <f>IFERROR(VLOOKUP(B1240,DADOS!$A$2:$H$252,8,0),"")</f>
        <v>162</v>
      </c>
      <c r="H1240" s="22">
        <v>199.0</v>
      </c>
      <c r="I1240" s="23">
        <f>IFERROR(VLOOKUP(B1240,DADOS!$A$2:$H$252,4,0)*H1240,"")</f>
        <v>1.91637</v>
      </c>
      <c r="J1240" s="36"/>
      <c r="K1240" s="25">
        <f>IFERROR(VLOOKUP(B1240,DADOS!$A$2:$H$252,4,0)*J1240,"")</f>
        <v>0</v>
      </c>
      <c r="L1240" s="26">
        <f t="shared" si="23"/>
        <v>0</v>
      </c>
      <c r="M1240" s="27"/>
      <c r="N1240" s="30"/>
      <c r="O1240" s="28"/>
      <c r="P1240" s="28"/>
      <c r="Q1240" s="28"/>
      <c r="R1240" s="28"/>
      <c r="S1240" s="28"/>
    </row>
    <row r="1241">
      <c r="A1241" s="17">
        <v>45763.0</v>
      </c>
      <c r="B1241" s="18" t="s">
        <v>179</v>
      </c>
      <c r="C1241" s="18" t="s">
        <v>165</v>
      </c>
      <c r="D1241" s="19">
        <v>0.4236111111111111</v>
      </c>
      <c r="E1241" s="19">
        <v>0.4791666666666667</v>
      </c>
      <c r="F1241" s="20">
        <f t="shared" si="24"/>
        <v>0.05555555556</v>
      </c>
      <c r="G1241" s="21">
        <f>IFERROR(VLOOKUP(B1241,DADOS!$A$2:$H$252,8,0),"")</f>
        <v>15</v>
      </c>
      <c r="H1241" s="22">
        <v>62.0</v>
      </c>
      <c r="I1241" s="23">
        <f>IFERROR(VLOOKUP(B1241,DADOS!$A$2:$H$252,4,0)*H1241,"")</f>
        <v>10.402112</v>
      </c>
      <c r="J1241" s="24">
        <v>7.0</v>
      </c>
      <c r="K1241" s="25">
        <f>IFERROR(VLOOKUP(B1241,DADOS!$A$2:$H$252,4,0)*J1241,"")</f>
        <v>1.174432</v>
      </c>
      <c r="L1241" s="26">
        <f t="shared" si="23"/>
        <v>0</v>
      </c>
      <c r="M1241" s="27"/>
      <c r="N1241" s="30"/>
      <c r="O1241" s="28"/>
      <c r="P1241" s="28"/>
      <c r="Q1241" s="28"/>
      <c r="R1241" s="28"/>
      <c r="S1241" s="28"/>
    </row>
    <row r="1242">
      <c r="A1242" s="17">
        <v>45764.0</v>
      </c>
      <c r="B1242" s="18" t="s">
        <v>26</v>
      </c>
      <c r="C1242" s="18" t="s">
        <v>168</v>
      </c>
      <c r="D1242" s="19">
        <v>0.675</v>
      </c>
      <c r="E1242" s="19">
        <v>0.7166666666666667</v>
      </c>
      <c r="F1242" s="20">
        <f t="shared" si="24"/>
        <v>0.04166666667</v>
      </c>
      <c r="G1242" s="21">
        <f>IFERROR(VLOOKUP(B1242,DADOS!$A$2:$H$252,8,0),"")</f>
        <v>50</v>
      </c>
      <c r="H1242" s="22">
        <v>17.0</v>
      </c>
      <c r="I1242" s="23">
        <f>IFERROR(VLOOKUP(B1242,DADOS!$A$2:$H$252,4,0)*H1242,"")</f>
        <v>1.9368712</v>
      </c>
      <c r="J1242" s="36"/>
      <c r="K1242" s="25">
        <f>IFERROR(VLOOKUP(B1242,DADOS!$A$2:$H$252,4,0)*J1242,"")</f>
        <v>0</v>
      </c>
      <c r="L1242" s="26">
        <f t="shared" si="23"/>
        <v>0</v>
      </c>
      <c r="M1242" s="27"/>
      <c r="N1242" s="30"/>
      <c r="O1242" s="28"/>
      <c r="P1242" s="28"/>
      <c r="Q1242" s="28"/>
      <c r="R1242" s="28"/>
      <c r="S1242" s="28"/>
    </row>
    <row r="1243">
      <c r="A1243" s="17">
        <v>45764.0</v>
      </c>
      <c r="B1243" s="18" t="s">
        <v>44</v>
      </c>
      <c r="C1243" s="18" t="s">
        <v>168</v>
      </c>
      <c r="D1243" s="19">
        <v>0.3333333333333333</v>
      </c>
      <c r="E1243" s="19">
        <v>0.6527777777777778</v>
      </c>
      <c r="F1243" s="20">
        <f t="shared" si="24"/>
        <v>0.3194444444</v>
      </c>
      <c r="G1243" s="21">
        <f>IFERROR(VLOOKUP(B1243,DADOS!$A$2:$H$252,8,0),"")</f>
        <v>15</v>
      </c>
      <c r="H1243" s="22">
        <v>41.0</v>
      </c>
      <c r="I1243" s="23">
        <f>IFERROR(VLOOKUP(B1243,DADOS!$A$2:$H$252,4,0)*H1243,"")</f>
        <v>7.5666976</v>
      </c>
      <c r="J1243" s="24">
        <v>11.0</v>
      </c>
      <c r="K1243" s="25">
        <f>IFERROR(VLOOKUP(B1243,DADOS!$A$2:$H$252,4,0)*J1243,"")</f>
        <v>2.0300896</v>
      </c>
      <c r="L1243" s="26">
        <f t="shared" si="23"/>
        <v>0</v>
      </c>
      <c r="M1243" s="27"/>
      <c r="N1243" s="30"/>
      <c r="O1243" s="28"/>
      <c r="P1243" s="28"/>
      <c r="Q1243" s="28"/>
      <c r="R1243" s="28"/>
      <c r="S1243" s="28"/>
    </row>
    <row r="1244">
      <c r="A1244" s="17">
        <v>45764.0</v>
      </c>
      <c r="B1244" s="18" t="s">
        <v>18</v>
      </c>
      <c r="C1244" s="18" t="s">
        <v>165</v>
      </c>
      <c r="D1244" s="19">
        <v>0.33819444444444446</v>
      </c>
      <c r="E1244" s="19">
        <v>0.4444444444444444</v>
      </c>
      <c r="F1244" s="20">
        <f t="shared" si="24"/>
        <v>0.10625</v>
      </c>
      <c r="G1244" s="21">
        <f>IFERROR(VLOOKUP(B1244,DADOS!$A$2:$H$252,8,0),"")</f>
        <v>21</v>
      </c>
      <c r="H1244" s="22">
        <v>28.0</v>
      </c>
      <c r="I1244" s="23">
        <f>IFERROR(VLOOKUP(B1244,DADOS!$A$2:$H$252,4,0)*H1244,"")</f>
        <v>8.203048</v>
      </c>
      <c r="J1244" s="36"/>
      <c r="K1244" s="25">
        <f>IFERROR(VLOOKUP(B1244,DADOS!$A$2:$H$252,4,0)*J1244,"")</f>
        <v>0</v>
      </c>
      <c r="L1244" s="26">
        <f t="shared" si="23"/>
        <v>0</v>
      </c>
      <c r="M1244" s="27"/>
      <c r="N1244" s="30"/>
      <c r="O1244" s="28"/>
      <c r="P1244" s="28"/>
      <c r="Q1244" s="28"/>
      <c r="R1244" s="28"/>
      <c r="S1244" s="28"/>
    </row>
    <row r="1245">
      <c r="A1245" s="17">
        <v>45764.0</v>
      </c>
      <c r="B1245" s="18" t="s">
        <v>25</v>
      </c>
      <c r="C1245" s="18" t="s">
        <v>165</v>
      </c>
      <c r="D1245" s="19">
        <v>0.4444444444444444</v>
      </c>
      <c r="E1245" s="19">
        <v>0.7118055555555556</v>
      </c>
      <c r="F1245" s="20">
        <f t="shared" si="24"/>
        <v>0.2673611111</v>
      </c>
      <c r="G1245" s="21">
        <f>IFERROR(VLOOKUP(B1245,DADOS!$A$2:$H$252,8,0),"")</f>
        <v>40</v>
      </c>
      <c r="H1245" s="22">
        <v>63.0</v>
      </c>
      <c r="I1245" s="23">
        <f>IFERROR(VLOOKUP(B1245,DADOS!$A$2:$H$252,4,0)*H1245,"")</f>
        <v>6.525288</v>
      </c>
      <c r="J1245" s="24">
        <v>1.0</v>
      </c>
      <c r="K1245" s="25">
        <f>IFERROR(VLOOKUP(B1245,DADOS!$A$2:$H$252,4,0)*J1245,"")</f>
        <v>0.103576</v>
      </c>
      <c r="L1245" s="26">
        <f t="shared" si="23"/>
        <v>0</v>
      </c>
      <c r="M1245" s="27"/>
      <c r="N1245" s="30"/>
      <c r="O1245" s="28"/>
      <c r="P1245" s="28"/>
      <c r="Q1245" s="28"/>
      <c r="R1245" s="28"/>
      <c r="S1245" s="28"/>
    </row>
    <row r="1246">
      <c r="A1246" s="17">
        <v>45769.0</v>
      </c>
      <c r="B1246" s="18" t="s">
        <v>26</v>
      </c>
      <c r="C1246" s="18" t="s">
        <v>168</v>
      </c>
      <c r="D1246" s="19">
        <v>0.3402777777777778</v>
      </c>
      <c r="E1246" s="29">
        <v>0.6666666666666666</v>
      </c>
      <c r="F1246" s="20">
        <f t="shared" si="24"/>
        <v>0.3263888889</v>
      </c>
      <c r="G1246" s="21">
        <f>IFERROR(VLOOKUP(B1246,DADOS!$A$2:$H$252,8,0),"")</f>
        <v>50</v>
      </c>
      <c r="H1246" s="22">
        <v>122.0</v>
      </c>
      <c r="I1246" s="23">
        <f>IFERROR(VLOOKUP(B1246,DADOS!$A$2:$H$252,4,0)*H1246,"")</f>
        <v>13.8998992</v>
      </c>
      <c r="J1246" s="24"/>
      <c r="K1246" s="25">
        <f>IFERROR(VLOOKUP(B1246,DADOS!$A$2:$H$252,4,0)*J1246,"")</f>
        <v>0</v>
      </c>
      <c r="L1246" s="26">
        <f t="shared" si="23"/>
        <v>0</v>
      </c>
      <c r="M1246" s="27"/>
      <c r="N1246" s="30"/>
      <c r="O1246" s="28"/>
      <c r="P1246" s="28"/>
      <c r="Q1246" s="28"/>
      <c r="R1246" s="28"/>
      <c r="S1246" s="28"/>
    </row>
    <row r="1247">
      <c r="A1247" s="17">
        <v>45769.0</v>
      </c>
      <c r="B1247" s="18" t="s">
        <v>25</v>
      </c>
      <c r="C1247" s="18" t="s">
        <v>165</v>
      </c>
      <c r="D1247" s="19">
        <v>0.3402777777777778</v>
      </c>
      <c r="E1247" s="19">
        <v>0.6979166666666666</v>
      </c>
      <c r="F1247" s="20">
        <f t="shared" si="24"/>
        <v>0.3576388889</v>
      </c>
      <c r="G1247" s="21">
        <f>IFERROR(VLOOKUP(B1247,DADOS!$A$2:$H$252,8,0),"")</f>
        <v>40</v>
      </c>
      <c r="H1247" s="22">
        <v>107.0</v>
      </c>
      <c r="I1247" s="23">
        <f>IFERROR(VLOOKUP(B1247,DADOS!$A$2:$H$252,4,0)*H1247,"")</f>
        <v>11.082632</v>
      </c>
      <c r="J1247" s="24">
        <v>2.0</v>
      </c>
      <c r="K1247" s="25">
        <f>IFERROR(VLOOKUP(B1247,DADOS!$A$2:$H$252,4,0)*J1247,"")</f>
        <v>0.207152</v>
      </c>
      <c r="L1247" s="26">
        <f t="shared" si="23"/>
        <v>0</v>
      </c>
      <c r="M1247" s="27"/>
      <c r="N1247" s="30"/>
      <c r="O1247" s="28"/>
      <c r="P1247" s="28"/>
      <c r="Q1247" s="28"/>
      <c r="R1247" s="28"/>
      <c r="S1247" s="28"/>
    </row>
    <row r="1248">
      <c r="A1248" s="17">
        <v>45770.0</v>
      </c>
      <c r="B1248" s="18" t="s">
        <v>93</v>
      </c>
      <c r="C1248" s="18" t="s">
        <v>165</v>
      </c>
      <c r="D1248" s="19">
        <v>0.3333333333333333</v>
      </c>
      <c r="E1248" s="19">
        <v>0.7173611111111111</v>
      </c>
      <c r="F1248" s="20">
        <f t="shared" si="24"/>
        <v>0.3840277778</v>
      </c>
      <c r="G1248" s="21" t="str">
        <f>IFERROR(VLOOKUP(B1248,DADOS!$A$2:$H$252,8,0),"")</f>
        <v/>
      </c>
      <c r="H1248" s="22">
        <v>81.0</v>
      </c>
      <c r="I1248" s="23" t="str">
        <f>IFERROR(VLOOKUP(B1248,DADOS!$A$2:$H$252,4,0)*H1248,"")</f>
        <v/>
      </c>
      <c r="J1248" s="36"/>
      <c r="K1248" s="25" t="str">
        <f>IFERROR(VLOOKUP(B1248,DADOS!$A$2:$H$252,4,0)*J1248,"")</f>
        <v/>
      </c>
      <c r="L1248" s="26" t="str">
        <f t="shared" si="23"/>
        <v/>
      </c>
      <c r="M1248" s="27"/>
      <c r="N1248" s="30"/>
      <c r="O1248" s="28"/>
      <c r="P1248" s="28"/>
      <c r="Q1248" s="28"/>
      <c r="R1248" s="28"/>
      <c r="S1248" s="28"/>
    </row>
    <row r="1249">
      <c r="A1249" s="17">
        <v>45771.0</v>
      </c>
      <c r="B1249" s="18" t="s">
        <v>71</v>
      </c>
      <c r="C1249" s="18" t="s">
        <v>166</v>
      </c>
      <c r="D1249" s="19">
        <v>0.3333333333333333</v>
      </c>
      <c r="E1249" s="19">
        <v>0.4930555555555556</v>
      </c>
      <c r="F1249" s="20">
        <f t="shared" si="24"/>
        <v>0.1597222222</v>
      </c>
      <c r="G1249" s="21">
        <f>IFERROR(VLOOKUP(B1249,DADOS!$A$2:$H$252,8,0),"")</f>
        <v>7</v>
      </c>
      <c r="H1249" s="22">
        <v>20.0</v>
      </c>
      <c r="I1249" s="23">
        <f>IFERROR(VLOOKUP(B1249,DADOS!$A$2:$H$252,4,0)*H1249,"")</f>
        <v>28.048124</v>
      </c>
      <c r="J1249" s="36"/>
      <c r="K1249" s="25">
        <f>IFERROR(VLOOKUP(B1249,DADOS!$A$2:$H$252,4,0)*J1249,"")</f>
        <v>0</v>
      </c>
      <c r="L1249" s="26">
        <f t="shared" si="23"/>
        <v>0</v>
      </c>
      <c r="M1249" s="27"/>
      <c r="N1249" s="30"/>
      <c r="O1249" s="28"/>
      <c r="P1249" s="28"/>
      <c r="Q1249" s="28"/>
      <c r="R1249" s="28"/>
      <c r="S1249" s="28"/>
    </row>
    <row r="1250">
      <c r="A1250" s="17">
        <v>45771.0</v>
      </c>
      <c r="B1250" s="18" t="s">
        <v>26</v>
      </c>
      <c r="C1250" s="18" t="s">
        <v>168</v>
      </c>
      <c r="D1250" s="19">
        <v>0.3368055555555556</v>
      </c>
      <c r="E1250" s="19">
        <v>0.6041666666666666</v>
      </c>
      <c r="F1250" s="20">
        <f t="shared" si="24"/>
        <v>0.2673611111</v>
      </c>
      <c r="G1250" s="21">
        <f>IFERROR(VLOOKUP(B1250,DADOS!$A$2:$H$252,8,0),"")</f>
        <v>50</v>
      </c>
      <c r="H1250" s="22">
        <v>93.0</v>
      </c>
      <c r="I1250" s="23">
        <f>IFERROR(VLOOKUP(B1250,DADOS!$A$2:$H$252,4,0)*H1250,"")</f>
        <v>10.5958248</v>
      </c>
      <c r="J1250" s="24">
        <v>3.0</v>
      </c>
      <c r="K1250" s="25">
        <f>IFERROR(VLOOKUP(B1250,DADOS!$A$2:$H$252,4,0)*J1250,"")</f>
        <v>0.3418008</v>
      </c>
      <c r="L1250" s="26">
        <f t="shared" si="23"/>
        <v>0</v>
      </c>
      <c r="M1250" s="27"/>
      <c r="N1250" s="30"/>
      <c r="O1250" s="28"/>
      <c r="P1250" s="28"/>
      <c r="Q1250" s="28"/>
      <c r="R1250" s="28"/>
      <c r="S1250" s="28"/>
    </row>
    <row r="1251">
      <c r="A1251" s="17">
        <v>45771.0</v>
      </c>
      <c r="B1251" s="18" t="s">
        <v>41</v>
      </c>
      <c r="C1251" s="18" t="s">
        <v>168</v>
      </c>
      <c r="D1251" s="19">
        <v>0.6736111111111112</v>
      </c>
      <c r="E1251" s="19">
        <v>0.71875</v>
      </c>
      <c r="F1251" s="20">
        <f t="shared" si="24"/>
        <v>0.04513888889</v>
      </c>
      <c r="G1251" s="21">
        <f>IFERROR(VLOOKUP(B1251,DADOS!$A$2:$H$252,8,0),"")</f>
        <v>14</v>
      </c>
      <c r="H1251" s="22">
        <v>10.0</v>
      </c>
      <c r="I1251" s="23">
        <f>IFERROR(VLOOKUP(B1251,DADOS!$A$2:$H$252,4,0)*H1251,"")</f>
        <v>2.77344</v>
      </c>
      <c r="J1251" s="36"/>
      <c r="K1251" s="25">
        <f>IFERROR(VLOOKUP(B1251,DADOS!$A$2:$H$252,4,0)*J1251,"")</f>
        <v>0</v>
      </c>
      <c r="L1251" s="26">
        <f t="shared" si="23"/>
        <v>0</v>
      </c>
      <c r="M1251" s="27"/>
      <c r="N1251" s="30"/>
      <c r="O1251" s="28"/>
      <c r="P1251" s="28"/>
      <c r="Q1251" s="28"/>
      <c r="R1251" s="28"/>
      <c r="S1251" s="28"/>
    </row>
    <row r="1252">
      <c r="A1252" s="17">
        <v>45771.0</v>
      </c>
      <c r="B1252" s="18" t="s">
        <v>93</v>
      </c>
      <c r="C1252" s="18" t="s">
        <v>165</v>
      </c>
      <c r="D1252" s="19">
        <v>0.34375</v>
      </c>
      <c r="E1252" s="19">
        <v>0.47152777777777777</v>
      </c>
      <c r="F1252" s="20">
        <f t="shared" si="24"/>
        <v>0.1277777778</v>
      </c>
      <c r="G1252" s="21" t="str">
        <f>IFERROR(VLOOKUP(B1252,DADOS!$A$2:$H$252,8,0),"")</f>
        <v/>
      </c>
      <c r="H1252" s="22">
        <v>47.0</v>
      </c>
      <c r="I1252" s="23" t="str">
        <f>IFERROR(VLOOKUP(B1252,DADOS!$A$2:$H$252,4,0)*H1252,"")</f>
        <v/>
      </c>
      <c r="J1252" s="24">
        <v>3.0</v>
      </c>
      <c r="K1252" s="25" t="str">
        <f>IFERROR(VLOOKUP(B1252,DADOS!$A$2:$H$252,4,0)*J1252,"")</f>
        <v/>
      </c>
      <c r="L1252" s="26" t="str">
        <f t="shared" si="23"/>
        <v/>
      </c>
      <c r="M1252" s="27"/>
      <c r="N1252" s="30"/>
      <c r="O1252" s="28"/>
      <c r="P1252" s="28"/>
      <c r="Q1252" s="28"/>
      <c r="R1252" s="28"/>
      <c r="S1252" s="28"/>
    </row>
    <row r="1253">
      <c r="A1253" s="17">
        <v>45771.0</v>
      </c>
      <c r="B1253" s="18" t="s">
        <v>18</v>
      </c>
      <c r="C1253" s="18" t="s">
        <v>165</v>
      </c>
      <c r="D1253" s="19">
        <v>0.5416666666666666</v>
      </c>
      <c r="E1253" s="19">
        <v>0.7152777777777778</v>
      </c>
      <c r="F1253" s="20">
        <f t="shared" si="24"/>
        <v>0.1736111111</v>
      </c>
      <c r="G1253" s="21">
        <f>IFERROR(VLOOKUP(B1253,DADOS!$A$2:$H$252,8,0),"")</f>
        <v>21</v>
      </c>
      <c r="H1253" s="22">
        <v>33.0</v>
      </c>
      <c r="I1253" s="23">
        <f>IFERROR(VLOOKUP(B1253,DADOS!$A$2:$H$252,4,0)*H1253,"")</f>
        <v>9.667878</v>
      </c>
      <c r="J1253" s="24">
        <v>1.0</v>
      </c>
      <c r="K1253" s="25">
        <f>IFERROR(VLOOKUP(B1253,DADOS!$A$2:$H$252,4,0)*J1253,"")</f>
        <v>0.292966</v>
      </c>
      <c r="L1253" s="26">
        <f t="shared" si="23"/>
        <v>0</v>
      </c>
      <c r="M1253" s="27"/>
      <c r="N1253" s="30"/>
      <c r="O1253" s="28"/>
      <c r="P1253" s="28"/>
      <c r="Q1253" s="28"/>
      <c r="R1253" s="28"/>
      <c r="S1253" s="28"/>
    </row>
    <row r="1254">
      <c r="A1254" s="17">
        <v>45772.0</v>
      </c>
      <c r="B1254" s="18" t="s">
        <v>71</v>
      </c>
      <c r="C1254" s="18" t="s">
        <v>166</v>
      </c>
      <c r="D1254" s="19">
        <v>0.3194444444444444</v>
      </c>
      <c r="E1254" s="19">
        <v>0.3611111111111111</v>
      </c>
      <c r="F1254" s="20">
        <f t="shared" si="24"/>
        <v>0.04166666667</v>
      </c>
      <c r="G1254" s="21">
        <f>IFERROR(VLOOKUP(B1254,DADOS!$A$2:$H$252,8,0),"")</f>
        <v>7</v>
      </c>
      <c r="H1254" s="22">
        <v>13.0</v>
      </c>
      <c r="I1254" s="23">
        <f>IFERROR(VLOOKUP(B1254,DADOS!$A$2:$H$252,4,0)*H1254,"")</f>
        <v>18.2312806</v>
      </c>
      <c r="J1254" s="36"/>
      <c r="K1254" s="25">
        <f>IFERROR(VLOOKUP(B1254,DADOS!$A$2:$H$252,4,0)*J1254,"")</f>
        <v>0</v>
      </c>
      <c r="L1254" s="26">
        <f t="shared" si="23"/>
        <v>0</v>
      </c>
      <c r="M1254" s="27"/>
      <c r="N1254" s="30"/>
      <c r="O1254" s="28"/>
      <c r="P1254" s="28"/>
      <c r="Q1254" s="28"/>
      <c r="R1254" s="28"/>
      <c r="S1254" s="28"/>
    </row>
    <row r="1255">
      <c r="A1255" s="17">
        <v>45772.0</v>
      </c>
      <c r="B1255" s="18" t="s">
        <v>113</v>
      </c>
      <c r="C1255" s="18" t="s">
        <v>166</v>
      </c>
      <c r="D1255" s="29">
        <v>0.375</v>
      </c>
      <c r="E1255" s="19">
        <v>0.4583333333333333</v>
      </c>
      <c r="F1255" s="20">
        <f t="shared" si="24"/>
        <v>0.08333333333</v>
      </c>
      <c r="G1255" s="21">
        <f>IFERROR(VLOOKUP(B1255,DADOS!$A$2:$H$252,8,0),"")</f>
        <v>8</v>
      </c>
      <c r="H1255" s="22">
        <v>16.0</v>
      </c>
      <c r="I1255" s="23">
        <f>IFERROR(VLOOKUP(B1255,DADOS!$A$2:$H$252,4,0)*H1255,"")</f>
        <v>10.1843456</v>
      </c>
      <c r="J1255" s="36"/>
      <c r="K1255" s="25">
        <f>IFERROR(VLOOKUP(B1255,DADOS!$A$2:$H$252,4,0)*J1255,"")</f>
        <v>0</v>
      </c>
      <c r="L1255" s="26">
        <f t="shared" si="23"/>
        <v>0</v>
      </c>
      <c r="M1255" s="27"/>
      <c r="N1255" s="30"/>
      <c r="O1255" s="28"/>
      <c r="P1255" s="28"/>
      <c r="Q1255" s="28"/>
      <c r="R1255" s="28"/>
      <c r="S1255" s="28"/>
    </row>
    <row r="1256">
      <c r="A1256" s="17">
        <v>45772.0</v>
      </c>
      <c r="B1256" s="18" t="s">
        <v>41</v>
      </c>
      <c r="C1256" s="18" t="s">
        <v>168</v>
      </c>
      <c r="D1256" s="19">
        <v>0.3194444444444444</v>
      </c>
      <c r="E1256" s="19">
        <v>0.6180555555555556</v>
      </c>
      <c r="F1256" s="20">
        <f t="shared" si="24"/>
        <v>0.2986111111</v>
      </c>
      <c r="G1256" s="21">
        <f>IFERROR(VLOOKUP(B1256,DADOS!$A$2:$H$252,8,0),"")</f>
        <v>14</v>
      </c>
      <c r="H1256" s="22">
        <v>66.0</v>
      </c>
      <c r="I1256" s="23">
        <f>IFERROR(VLOOKUP(B1256,DADOS!$A$2:$H$252,4,0)*H1256,"")</f>
        <v>18.304704</v>
      </c>
      <c r="J1256" s="24">
        <v>4.0</v>
      </c>
      <c r="K1256" s="25">
        <f>IFERROR(VLOOKUP(B1256,DADOS!$A$2:$H$252,4,0)*J1256,"")</f>
        <v>1.109376</v>
      </c>
      <c r="L1256" s="26">
        <f t="shared" si="23"/>
        <v>0</v>
      </c>
      <c r="M1256" s="27"/>
      <c r="N1256" s="30"/>
      <c r="O1256" s="28"/>
      <c r="P1256" s="28"/>
      <c r="Q1256" s="28"/>
      <c r="R1256" s="28"/>
      <c r="S1256" s="28"/>
    </row>
    <row r="1257">
      <c r="A1257" s="17">
        <v>45772.0</v>
      </c>
      <c r="B1257" s="18" t="s">
        <v>18</v>
      </c>
      <c r="C1257" s="18" t="s">
        <v>165</v>
      </c>
      <c r="D1257" s="19">
        <v>0.3194444444444444</v>
      </c>
      <c r="E1257" s="19">
        <v>0.6319444444444444</v>
      </c>
      <c r="F1257" s="20">
        <f t="shared" si="24"/>
        <v>0.3125</v>
      </c>
      <c r="G1257" s="21">
        <f>IFERROR(VLOOKUP(B1257,DADOS!$A$2:$H$252,8,0),"")</f>
        <v>21</v>
      </c>
      <c r="H1257" s="22">
        <v>67.0</v>
      </c>
      <c r="I1257" s="23">
        <f>IFERROR(VLOOKUP(B1257,DADOS!$A$2:$H$252,4,0)*H1257,"")</f>
        <v>19.628722</v>
      </c>
      <c r="J1257" s="24">
        <v>1.0</v>
      </c>
      <c r="K1257" s="25">
        <f>IFERROR(VLOOKUP(B1257,DADOS!$A$2:$H$252,4,0)*J1257,"")</f>
        <v>0.292966</v>
      </c>
      <c r="L1257" s="26">
        <f t="shared" si="23"/>
        <v>0</v>
      </c>
      <c r="M1257" s="27"/>
      <c r="N1257" s="30"/>
      <c r="O1257" s="28"/>
      <c r="P1257" s="28"/>
      <c r="Q1257" s="28"/>
      <c r="R1257" s="28"/>
      <c r="S1257" s="28"/>
    </row>
    <row r="1258">
      <c r="A1258" s="17">
        <v>45775.0</v>
      </c>
      <c r="B1258" s="18" t="s">
        <v>32</v>
      </c>
      <c r="C1258" s="18" t="s">
        <v>166</v>
      </c>
      <c r="D1258" s="19">
        <v>0.3194444444444444</v>
      </c>
      <c r="E1258" s="19"/>
      <c r="F1258" s="20">
        <f t="shared" si="24"/>
        <v>-0.3194444444</v>
      </c>
      <c r="G1258" s="21">
        <f>IFERROR(VLOOKUP(B1258,DADOS!$A$2:$H$252,8,0),"")</f>
        <v>10</v>
      </c>
      <c r="H1258" s="22">
        <v>25.0</v>
      </c>
      <c r="I1258" s="23">
        <f>IFERROR(VLOOKUP(B1258,DADOS!$A$2:$H$252,4,0)*H1258,"")</f>
        <v>15.306885</v>
      </c>
      <c r="J1258" s="36"/>
      <c r="K1258" s="25">
        <f>IFERROR(VLOOKUP(B1258,DADOS!$A$2:$H$252,4,0)*J1258,"")</f>
        <v>0</v>
      </c>
      <c r="L1258" s="26">
        <f t="shared" si="23"/>
        <v>0</v>
      </c>
      <c r="M1258" s="27"/>
      <c r="N1258" s="30"/>
      <c r="O1258" s="28"/>
      <c r="P1258" s="28"/>
      <c r="Q1258" s="28"/>
      <c r="R1258" s="28"/>
      <c r="S1258" s="28"/>
    </row>
    <row r="1259">
      <c r="A1259" s="17">
        <v>45775.0</v>
      </c>
      <c r="B1259" s="18" t="s">
        <v>22</v>
      </c>
      <c r="C1259" s="18" t="s">
        <v>166</v>
      </c>
      <c r="D1259" s="19"/>
      <c r="E1259" s="19">
        <v>0.4930555555555556</v>
      </c>
      <c r="F1259" s="20">
        <f t="shared" si="24"/>
        <v>0.4930555556</v>
      </c>
      <c r="G1259" s="21">
        <f>IFERROR(VLOOKUP(B1259,DADOS!$A$2:$H$252,8,0),"")</f>
        <v>15</v>
      </c>
      <c r="H1259" s="22">
        <v>20.0</v>
      </c>
      <c r="I1259" s="23">
        <f>IFERROR(VLOOKUP(B1259,DADOS!$A$2:$H$252,4,0)*H1259,"")</f>
        <v>12.245508</v>
      </c>
      <c r="J1259" s="36"/>
      <c r="K1259" s="25">
        <f>IFERROR(VLOOKUP(B1259,DADOS!$A$2:$H$252,4,0)*J1259,"")</f>
        <v>0</v>
      </c>
      <c r="L1259" s="26">
        <f t="shared" si="23"/>
        <v>0</v>
      </c>
      <c r="M1259" s="27"/>
      <c r="N1259" s="30"/>
      <c r="O1259" s="28"/>
      <c r="P1259" s="28"/>
      <c r="Q1259" s="28"/>
      <c r="R1259" s="28"/>
      <c r="S1259" s="28"/>
    </row>
    <row r="1260">
      <c r="A1260" s="17">
        <v>45775.0</v>
      </c>
      <c r="B1260" s="18" t="s">
        <v>26</v>
      </c>
      <c r="C1260" s="18" t="s">
        <v>168</v>
      </c>
      <c r="D1260" s="19">
        <v>0.3576388888888889</v>
      </c>
      <c r="E1260" s="19">
        <v>0.71875</v>
      </c>
      <c r="F1260" s="20">
        <f t="shared" si="24"/>
        <v>0.3611111111</v>
      </c>
      <c r="G1260" s="21">
        <f>IFERROR(VLOOKUP(B1260,DADOS!$A$2:$H$252,8,0),"")</f>
        <v>50</v>
      </c>
      <c r="H1260" s="22">
        <v>170.0</v>
      </c>
      <c r="I1260" s="23">
        <f>IFERROR(VLOOKUP(B1260,DADOS!$A$2:$H$252,4,0)*H1260,"")</f>
        <v>19.368712</v>
      </c>
      <c r="J1260" s="24">
        <v>1.0</v>
      </c>
      <c r="K1260" s="25">
        <f>IFERROR(VLOOKUP(B1260,DADOS!$A$2:$H$252,4,0)*J1260,"")</f>
        <v>0.1139336</v>
      </c>
      <c r="L1260" s="26">
        <f t="shared" si="23"/>
        <v>0</v>
      </c>
      <c r="M1260" s="27"/>
      <c r="N1260" s="30"/>
      <c r="O1260" s="28"/>
      <c r="P1260" s="28"/>
      <c r="Q1260" s="28"/>
      <c r="R1260" s="28"/>
      <c r="S1260" s="28"/>
    </row>
    <row r="1261">
      <c r="A1261" s="17">
        <v>45775.0</v>
      </c>
      <c r="B1261" s="18" t="s">
        <v>25</v>
      </c>
      <c r="C1261" s="18" t="s">
        <v>165</v>
      </c>
      <c r="D1261" s="19">
        <v>0.3645833333333333</v>
      </c>
      <c r="E1261" s="19">
        <v>0.7159722222222222</v>
      </c>
      <c r="F1261" s="20">
        <f t="shared" si="24"/>
        <v>0.3513888889</v>
      </c>
      <c r="G1261" s="21">
        <f>IFERROR(VLOOKUP(B1261,DADOS!$A$2:$H$252,8,0),"")</f>
        <v>40</v>
      </c>
      <c r="H1261" s="22">
        <v>167.0</v>
      </c>
      <c r="I1261" s="23">
        <f>IFERROR(VLOOKUP(B1261,DADOS!$A$2:$H$252,4,0)*H1261,"")</f>
        <v>17.297192</v>
      </c>
      <c r="J1261" s="24">
        <v>3.0</v>
      </c>
      <c r="K1261" s="25">
        <f>IFERROR(VLOOKUP(B1261,DADOS!$A$2:$H$252,4,0)*J1261,"")</f>
        <v>0.310728</v>
      </c>
      <c r="L1261" s="26">
        <f t="shared" si="23"/>
        <v>0</v>
      </c>
      <c r="M1261" s="27"/>
      <c r="N1261" s="30"/>
      <c r="O1261" s="28"/>
      <c r="P1261" s="28"/>
      <c r="Q1261" s="28"/>
      <c r="R1261" s="28"/>
      <c r="S1261" s="28"/>
    </row>
    <row r="1262">
      <c r="A1262" s="17">
        <v>45776.0</v>
      </c>
      <c r="B1262" s="18" t="s">
        <v>49</v>
      </c>
      <c r="C1262" s="18" t="s">
        <v>168</v>
      </c>
      <c r="D1262" s="19"/>
      <c r="E1262" s="19"/>
      <c r="F1262" s="20">
        <f t="shared" si="24"/>
        <v>0</v>
      </c>
      <c r="G1262" s="21">
        <f>IFERROR(VLOOKUP(B1262,DADOS!$A$2:$H$252,8,0),"")</f>
        <v>42</v>
      </c>
      <c r="H1262" s="22">
        <v>137.0</v>
      </c>
      <c r="I1262" s="23">
        <f>IFERROR(VLOOKUP(B1262,DADOS!$A$2:$H$252,4,0)*H1262,"")</f>
        <v>9.3201922</v>
      </c>
      <c r="J1262" s="24">
        <v>2.0</v>
      </c>
      <c r="K1262" s="25">
        <f>IFERROR(VLOOKUP(B1262,DADOS!$A$2:$H$252,4,0)*J1262,"")</f>
        <v>0.1360612</v>
      </c>
      <c r="L1262" s="26">
        <f t="shared" si="23"/>
        <v>0</v>
      </c>
      <c r="M1262" s="27"/>
      <c r="N1262" s="30"/>
      <c r="O1262" s="28"/>
      <c r="P1262" s="28"/>
      <c r="Q1262" s="28"/>
      <c r="R1262" s="28"/>
      <c r="S1262" s="28"/>
    </row>
    <row r="1263">
      <c r="A1263" s="17">
        <v>45776.0</v>
      </c>
      <c r="B1263" s="18" t="s">
        <v>25</v>
      </c>
      <c r="C1263" s="18" t="s">
        <v>165</v>
      </c>
      <c r="D1263" s="19"/>
      <c r="E1263" s="19"/>
      <c r="F1263" s="20">
        <f t="shared" si="24"/>
        <v>0</v>
      </c>
      <c r="G1263" s="21">
        <f>IFERROR(VLOOKUP(B1263,DADOS!$A$2:$H$252,8,0),"")</f>
        <v>40</v>
      </c>
      <c r="H1263" s="22">
        <v>62.0</v>
      </c>
      <c r="I1263" s="23">
        <f>IFERROR(VLOOKUP(B1263,DADOS!$A$2:$H$252,4,0)*H1263,"")</f>
        <v>6.421712</v>
      </c>
      <c r="J1263" s="24">
        <v>1.0</v>
      </c>
      <c r="K1263" s="25">
        <f>IFERROR(VLOOKUP(B1263,DADOS!$A$2:$H$252,4,0)*J1263,"")</f>
        <v>0.103576</v>
      </c>
      <c r="L1263" s="26">
        <f t="shared" si="23"/>
        <v>0</v>
      </c>
      <c r="M1263" s="27"/>
      <c r="N1263" s="30"/>
      <c r="O1263" s="28"/>
      <c r="P1263" s="28"/>
      <c r="Q1263" s="28"/>
      <c r="R1263" s="28"/>
      <c r="S1263" s="28"/>
    </row>
    <row r="1264">
      <c r="A1264" s="17">
        <v>45776.0</v>
      </c>
      <c r="B1264" s="18" t="s">
        <v>96</v>
      </c>
      <c r="C1264" s="18" t="s">
        <v>165</v>
      </c>
      <c r="D1264" s="19"/>
      <c r="E1264" s="19"/>
      <c r="F1264" s="20">
        <f t="shared" si="24"/>
        <v>0</v>
      </c>
      <c r="G1264" s="21">
        <f>IFERROR(VLOOKUP(B1264,DADOS!$A$2:$H$252,8,0),"")</f>
        <v>27</v>
      </c>
      <c r="H1264" s="22">
        <v>75.0</v>
      </c>
      <c r="I1264" s="23">
        <f>IFERROR(VLOOKUP(B1264,DADOS!$A$2:$H$252,4,0)*H1264,"")</f>
        <v>7.062</v>
      </c>
      <c r="J1264" s="24">
        <v>4.0</v>
      </c>
      <c r="K1264" s="25">
        <f>IFERROR(VLOOKUP(B1264,DADOS!$A$2:$H$252,4,0)*J1264,"")</f>
        <v>0.37664</v>
      </c>
      <c r="L1264" s="26">
        <f t="shared" si="23"/>
        <v>0</v>
      </c>
      <c r="M1264" s="27"/>
      <c r="N1264" s="30"/>
      <c r="O1264" s="63"/>
      <c r="P1264" s="63"/>
      <c r="Q1264" s="63"/>
      <c r="R1264" s="63"/>
      <c r="S1264" s="63"/>
      <c r="T1264" s="64"/>
      <c r="U1264" s="64"/>
      <c r="V1264" s="64"/>
      <c r="W1264" s="64"/>
      <c r="X1264" s="64"/>
      <c r="Y1264" s="64"/>
      <c r="Z1264" s="64"/>
      <c r="AA1264" s="64"/>
      <c r="AB1264" s="64"/>
      <c r="AC1264" s="64"/>
      <c r="AD1264" s="64"/>
      <c r="AE1264" s="64"/>
      <c r="AF1264" s="64"/>
      <c r="AG1264" s="64"/>
      <c r="AH1264" s="64"/>
      <c r="AI1264" s="64"/>
      <c r="AJ1264" s="64"/>
    </row>
    <row r="1265">
      <c r="A1265" s="17">
        <v>45776.0</v>
      </c>
      <c r="B1265" s="18" t="s">
        <v>27</v>
      </c>
      <c r="C1265" s="18" t="s">
        <v>172</v>
      </c>
      <c r="D1265" s="19"/>
      <c r="E1265" s="19"/>
      <c r="F1265" s="20">
        <f t="shared" si="24"/>
        <v>0</v>
      </c>
      <c r="G1265" s="21">
        <f>IFERROR(VLOOKUP(B1265,DADOS!$A$2:$H$252,8,0),"")</f>
        <v>30</v>
      </c>
      <c r="H1265" s="22">
        <v>268.0</v>
      </c>
      <c r="I1265" s="23">
        <f>IFERROR(VLOOKUP(B1265,DADOS!$A$2:$H$252,4,0)*H1265,"")</f>
        <v>4.58816</v>
      </c>
      <c r="J1265" s="24">
        <v>3.0</v>
      </c>
      <c r="K1265" s="25">
        <f>IFERROR(VLOOKUP(B1265,DADOS!$A$2:$H$252,4,0)*J1265,"")</f>
        <v>0.05136</v>
      </c>
      <c r="L1265" s="26">
        <f t="shared" si="23"/>
        <v>0</v>
      </c>
      <c r="M1265" s="27"/>
      <c r="N1265" s="30"/>
      <c r="O1265" s="63"/>
      <c r="P1265" s="63"/>
      <c r="Q1265" s="63"/>
      <c r="R1265" s="63"/>
      <c r="S1265" s="63"/>
      <c r="T1265" s="64"/>
      <c r="U1265" s="64"/>
      <c r="V1265" s="64"/>
      <c r="W1265" s="64"/>
      <c r="X1265" s="64"/>
      <c r="Y1265" s="64"/>
      <c r="Z1265" s="64"/>
      <c r="AA1265" s="64"/>
      <c r="AB1265" s="64"/>
      <c r="AC1265" s="64"/>
      <c r="AD1265" s="64"/>
      <c r="AE1265" s="64"/>
      <c r="AF1265" s="64"/>
      <c r="AG1265" s="64"/>
      <c r="AH1265" s="64"/>
      <c r="AI1265" s="64"/>
      <c r="AJ1265" s="64"/>
    </row>
    <row r="1266">
      <c r="A1266" s="43">
        <v>45776.0</v>
      </c>
      <c r="B1266" s="44" t="s">
        <v>75</v>
      </c>
      <c r="C1266" s="44"/>
      <c r="D1266" s="45"/>
      <c r="E1266" s="45"/>
      <c r="F1266" s="20">
        <f t="shared" si="24"/>
        <v>0</v>
      </c>
      <c r="G1266" s="46">
        <f>IFERROR(VLOOKUP(B1266,DADOS!$A$2:$H$252,8,0),"")</f>
        <v>23</v>
      </c>
      <c r="H1266" s="47"/>
      <c r="I1266" s="48">
        <f>IFERROR(VLOOKUP(B1266,DADOS!$A$2:$H$252,4,0)*H1266,"")</f>
        <v>0</v>
      </c>
      <c r="J1266" s="46">
        <v>2.0</v>
      </c>
      <c r="K1266" s="49">
        <f>IFERROR(VLOOKUP(B1266,DADOS!$A$2:$H$252,4,0)*J1266,"")</f>
        <v>0.2278672</v>
      </c>
      <c r="L1266" s="50" t="str">
        <f t="shared" si="23"/>
        <v/>
      </c>
      <c r="M1266" s="33" t="s">
        <v>83</v>
      </c>
      <c r="N1266" s="33" t="s">
        <v>88</v>
      </c>
      <c r="O1266" s="63"/>
      <c r="P1266" s="63"/>
      <c r="Q1266" s="63"/>
      <c r="R1266" s="63"/>
      <c r="S1266" s="63"/>
      <c r="T1266" s="64"/>
      <c r="U1266" s="64"/>
      <c r="V1266" s="64"/>
      <c r="W1266" s="64"/>
      <c r="X1266" s="64"/>
      <c r="Y1266" s="64"/>
      <c r="Z1266" s="64"/>
      <c r="AA1266" s="64"/>
      <c r="AB1266" s="64"/>
      <c r="AC1266" s="64"/>
      <c r="AD1266" s="64"/>
      <c r="AE1266" s="64"/>
      <c r="AF1266" s="64"/>
      <c r="AG1266" s="64"/>
      <c r="AH1266" s="64"/>
      <c r="AI1266" s="64"/>
      <c r="AJ1266" s="64"/>
    </row>
    <row r="1267">
      <c r="A1267" s="43">
        <v>45776.0</v>
      </c>
      <c r="B1267" s="44" t="s">
        <v>47</v>
      </c>
      <c r="C1267" s="44"/>
      <c r="D1267" s="45"/>
      <c r="E1267" s="45"/>
      <c r="F1267" s="20">
        <f t="shared" si="24"/>
        <v>0</v>
      </c>
      <c r="G1267" s="46">
        <f>IFERROR(VLOOKUP(B1267,DADOS!$A$2:$H$252,8,0),"")</f>
        <v>35</v>
      </c>
      <c r="H1267" s="47"/>
      <c r="I1267" s="48">
        <f>IFERROR(VLOOKUP(B1267,DADOS!$A$2:$H$252,4,0)*H1267,"")</f>
        <v>0</v>
      </c>
      <c r="J1267" s="46">
        <v>1.0</v>
      </c>
      <c r="K1267" s="49">
        <f>IFERROR(VLOOKUP(B1267,DADOS!$A$2:$H$252,4,0)*J1267,"")</f>
        <v>0.1139336</v>
      </c>
      <c r="L1267" s="50" t="str">
        <f t="shared" si="23"/>
        <v/>
      </c>
      <c r="M1267" s="33" t="s">
        <v>83</v>
      </c>
      <c r="N1267" s="33" t="s">
        <v>88</v>
      </c>
      <c r="O1267" s="63"/>
      <c r="P1267" s="63"/>
      <c r="Q1267" s="63"/>
      <c r="R1267" s="63"/>
      <c r="S1267" s="63"/>
      <c r="T1267" s="64"/>
      <c r="U1267" s="64"/>
      <c r="V1267" s="64"/>
      <c r="W1267" s="64"/>
      <c r="X1267" s="64"/>
      <c r="Y1267" s="64"/>
      <c r="Z1267" s="64"/>
      <c r="AA1267" s="64"/>
      <c r="AB1267" s="64"/>
      <c r="AC1267" s="64"/>
      <c r="AD1267" s="64"/>
      <c r="AE1267" s="64"/>
      <c r="AF1267" s="64"/>
      <c r="AG1267" s="64"/>
      <c r="AH1267" s="64"/>
      <c r="AI1267" s="64"/>
      <c r="AJ1267" s="64"/>
    </row>
    <row r="1268">
      <c r="A1268" s="43">
        <v>45776.0</v>
      </c>
      <c r="B1268" s="44" t="s">
        <v>112</v>
      </c>
      <c r="C1268" s="44"/>
      <c r="D1268" s="45"/>
      <c r="E1268" s="45"/>
      <c r="F1268" s="20">
        <f t="shared" si="24"/>
        <v>0</v>
      </c>
      <c r="G1268" s="46">
        <f>IFERROR(VLOOKUP(B1268,DADOS!$A$2:$H$252,8,0),"")</f>
        <v>35</v>
      </c>
      <c r="H1268" s="47"/>
      <c r="I1268" s="48">
        <f>IFERROR(VLOOKUP(B1268,DADOS!$A$2:$H$252,4,0)*H1268,"")</f>
        <v>0</v>
      </c>
      <c r="J1268" s="46">
        <v>1.0</v>
      </c>
      <c r="K1268" s="49">
        <f>IFERROR(VLOOKUP(B1268,DADOS!$A$2:$H$252,4,0)*J1268,"")</f>
        <v>0.1139336</v>
      </c>
      <c r="L1268" s="50" t="str">
        <f t="shared" si="23"/>
        <v/>
      </c>
      <c r="M1268" s="33" t="s">
        <v>83</v>
      </c>
      <c r="N1268" s="33" t="s">
        <v>88</v>
      </c>
      <c r="O1268" s="63"/>
      <c r="P1268" s="63"/>
      <c r="Q1268" s="63"/>
      <c r="R1268" s="63"/>
      <c r="S1268" s="63"/>
      <c r="T1268" s="64"/>
      <c r="U1268" s="64"/>
      <c r="V1268" s="64"/>
      <c r="W1268" s="64"/>
      <c r="X1268" s="64"/>
      <c r="Y1268" s="64"/>
      <c r="Z1268" s="64"/>
      <c r="AA1268" s="64"/>
      <c r="AB1268" s="64"/>
      <c r="AC1268" s="64"/>
      <c r="AD1268" s="64"/>
      <c r="AE1268" s="64"/>
      <c r="AF1268" s="64"/>
      <c r="AG1268" s="64"/>
      <c r="AH1268" s="64"/>
      <c r="AI1268" s="64"/>
      <c r="AJ1268" s="64"/>
    </row>
    <row r="1269">
      <c r="A1269" s="43">
        <v>45776.0</v>
      </c>
      <c r="B1269" s="44" t="s">
        <v>16</v>
      </c>
      <c r="C1269" s="44"/>
      <c r="D1269" s="45"/>
      <c r="E1269" s="45"/>
      <c r="F1269" s="20">
        <f t="shared" si="24"/>
        <v>0</v>
      </c>
      <c r="G1269" s="46">
        <f>IFERROR(VLOOKUP(B1269,DADOS!$A$2:$H$252,8,0),"")</f>
        <v>150</v>
      </c>
      <c r="H1269" s="47"/>
      <c r="I1269" s="48">
        <f>IFERROR(VLOOKUP(B1269,DADOS!$A$2:$H$252,4,0)*H1269,"")</f>
        <v>0</v>
      </c>
      <c r="J1269" s="46">
        <v>1.0</v>
      </c>
      <c r="K1269" s="49">
        <f>IFERROR(VLOOKUP(B1269,DADOS!$A$2:$H$252,4,0)*J1269,"")</f>
        <v>0.0289328</v>
      </c>
      <c r="L1269" s="50" t="str">
        <f t="shared" si="23"/>
        <v/>
      </c>
      <c r="M1269" s="33" t="s">
        <v>83</v>
      </c>
      <c r="N1269" s="33" t="s">
        <v>88</v>
      </c>
      <c r="O1269" s="63"/>
      <c r="P1269" s="63"/>
      <c r="Q1269" s="63"/>
      <c r="R1269" s="63"/>
      <c r="S1269" s="63"/>
      <c r="T1269" s="64"/>
      <c r="U1269" s="64"/>
      <c r="V1269" s="64"/>
      <c r="W1269" s="64"/>
      <c r="X1269" s="64"/>
      <c r="Y1269" s="64"/>
      <c r="Z1269" s="64"/>
      <c r="AA1269" s="64"/>
      <c r="AB1269" s="64"/>
      <c r="AC1269" s="64"/>
      <c r="AD1269" s="64"/>
      <c r="AE1269" s="64"/>
      <c r="AF1269" s="64"/>
      <c r="AG1269" s="64"/>
      <c r="AH1269" s="64"/>
      <c r="AI1269" s="64"/>
      <c r="AJ1269" s="64"/>
    </row>
    <row r="1270">
      <c r="A1270" s="43">
        <v>45776.0</v>
      </c>
      <c r="B1270" s="44" t="s">
        <v>180</v>
      </c>
      <c r="C1270" s="44"/>
      <c r="D1270" s="45"/>
      <c r="E1270" s="45"/>
      <c r="F1270" s="20">
        <f t="shared" si="24"/>
        <v>0</v>
      </c>
      <c r="G1270" s="46" t="str">
        <f>IFERROR(VLOOKUP(B1270,DADOS!$A$2:$H$252,8,0),"")</f>
        <v/>
      </c>
      <c r="H1270" s="47"/>
      <c r="I1270" s="48">
        <f>IFERROR(VLOOKUP(B1270,DADOS!$A$2:$H$252,4,0)*H1270,"")</f>
        <v>0</v>
      </c>
      <c r="J1270" s="46">
        <v>1.0</v>
      </c>
      <c r="K1270" s="49">
        <f>IFERROR(VLOOKUP(B1270,DADOS!$A$2:$H$252,4,0)*J1270,"")</f>
        <v>0</v>
      </c>
      <c r="L1270" s="50" t="str">
        <f t="shared" si="23"/>
        <v/>
      </c>
      <c r="M1270" s="33" t="s">
        <v>83</v>
      </c>
      <c r="N1270" s="33" t="s">
        <v>88</v>
      </c>
      <c r="O1270" s="63"/>
      <c r="P1270" s="63"/>
      <c r="Q1270" s="63"/>
      <c r="R1270" s="63"/>
      <c r="S1270" s="63"/>
      <c r="T1270" s="64"/>
      <c r="U1270" s="64"/>
      <c r="V1270" s="64"/>
      <c r="W1270" s="64"/>
      <c r="X1270" s="64"/>
      <c r="Y1270" s="64"/>
      <c r="Z1270" s="64"/>
      <c r="AA1270" s="64"/>
      <c r="AB1270" s="64"/>
      <c r="AC1270" s="64"/>
      <c r="AD1270" s="64"/>
      <c r="AE1270" s="64"/>
      <c r="AF1270" s="64"/>
      <c r="AG1270" s="64"/>
      <c r="AH1270" s="64"/>
      <c r="AI1270" s="64"/>
      <c r="AJ1270" s="64"/>
    </row>
    <row r="1271">
      <c r="A1271" s="43">
        <v>45776.0</v>
      </c>
      <c r="B1271" s="44" t="s">
        <v>34</v>
      </c>
      <c r="C1271" s="44"/>
      <c r="D1271" s="45"/>
      <c r="E1271" s="45"/>
      <c r="F1271" s="20">
        <f t="shared" si="24"/>
        <v>0</v>
      </c>
      <c r="G1271" s="46">
        <f>IFERROR(VLOOKUP(B1271,DADOS!$A$2:$H$252,8,0),"")</f>
        <v>12</v>
      </c>
      <c r="H1271" s="47"/>
      <c r="I1271" s="48">
        <f>IFERROR(VLOOKUP(B1271,DADOS!$A$2:$H$252,4,0)*H1271,"")</f>
        <v>0</v>
      </c>
      <c r="J1271" s="46">
        <v>2.0</v>
      </c>
      <c r="K1271" s="49">
        <f>IFERROR(VLOOKUP(B1271,DADOS!$A$2:$H$252,4,0)*J1271,"")</f>
        <v>0.791372</v>
      </c>
      <c r="L1271" s="50" t="str">
        <f t="shared" si="23"/>
        <v/>
      </c>
      <c r="M1271" s="33" t="s">
        <v>83</v>
      </c>
      <c r="N1271" s="33" t="s">
        <v>88</v>
      </c>
      <c r="O1271" s="63"/>
      <c r="P1271" s="63"/>
      <c r="Q1271" s="63"/>
      <c r="R1271" s="63"/>
      <c r="S1271" s="63"/>
      <c r="T1271" s="64"/>
      <c r="U1271" s="64"/>
      <c r="V1271" s="64"/>
      <c r="W1271" s="64"/>
      <c r="X1271" s="64"/>
      <c r="Y1271" s="64"/>
      <c r="Z1271" s="64"/>
      <c r="AA1271" s="64"/>
      <c r="AB1271" s="64"/>
      <c r="AC1271" s="64"/>
      <c r="AD1271" s="64"/>
      <c r="AE1271" s="64"/>
      <c r="AF1271" s="64"/>
      <c r="AG1271" s="64"/>
      <c r="AH1271" s="64"/>
      <c r="AI1271" s="64"/>
      <c r="AJ1271" s="64"/>
    </row>
    <row r="1272">
      <c r="A1272" s="43">
        <v>45776.0</v>
      </c>
      <c r="B1272" s="44" t="s">
        <v>34</v>
      </c>
      <c r="C1272" s="44"/>
      <c r="D1272" s="45"/>
      <c r="E1272" s="45"/>
      <c r="F1272" s="20">
        <f t="shared" si="24"/>
        <v>0</v>
      </c>
      <c r="G1272" s="46">
        <f>IFERROR(VLOOKUP(B1272,DADOS!$A$2:$H$252,8,0),"")</f>
        <v>12</v>
      </c>
      <c r="H1272" s="47"/>
      <c r="I1272" s="48">
        <f>IFERROR(VLOOKUP(B1272,DADOS!$A$2:$H$252,4,0)*H1272,"")</f>
        <v>0</v>
      </c>
      <c r="J1272" s="46">
        <v>1.0</v>
      </c>
      <c r="K1272" s="49">
        <f>IFERROR(VLOOKUP(B1272,DADOS!$A$2:$H$252,4,0)*J1272,"")</f>
        <v>0.395686</v>
      </c>
      <c r="L1272" s="50" t="str">
        <f t="shared" si="23"/>
        <v/>
      </c>
      <c r="M1272" s="33" t="s">
        <v>39</v>
      </c>
      <c r="N1272" s="33" t="s">
        <v>86</v>
      </c>
      <c r="O1272" s="63"/>
      <c r="P1272" s="63"/>
      <c r="Q1272" s="63"/>
      <c r="R1272" s="63"/>
      <c r="S1272" s="63"/>
      <c r="T1272" s="64"/>
      <c r="U1272" s="64"/>
      <c r="V1272" s="64"/>
      <c r="W1272" s="64"/>
      <c r="X1272" s="64"/>
      <c r="Y1272" s="64"/>
      <c r="Z1272" s="64"/>
      <c r="AA1272" s="64"/>
      <c r="AB1272" s="64"/>
      <c r="AC1272" s="64"/>
      <c r="AD1272" s="64"/>
      <c r="AE1272" s="64"/>
      <c r="AF1272" s="64"/>
      <c r="AG1272" s="64"/>
      <c r="AH1272" s="64"/>
      <c r="AI1272" s="64"/>
      <c r="AJ1272" s="64"/>
    </row>
    <row r="1273">
      <c r="A1273" s="43">
        <v>45776.0</v>
      </c>
      <c r="B1273" s="44" t="s">
        <v>26</v>
      </c>
      <c r="C1273" s="44"/>
      <c r="D1273" s="45"/>
      <c r="E1273" s="45"/>
      <c r="F1273" s="20">
        <f t="shared" si="24"/>
        <v>0</v>
      </c>
      <c r="G1273" s="46">
        <f>IFERROR(VLOOKUP(B1273,DADOS!$A$2:$H$252,8,0),"")</f>
        <v>50</v>
      </c>
      <c r="H1273" s="47"/>
      <c r="I1273" s="48">
        <f>IFERROR(VLOOKUP(B1273,DADOS!$A$2:$H$252,4,0)*H1273,"")</f>
        <v>0</v>
      </c>
      <c r="J1273" s="46">
        <v>1.0</v>
      </c>
      <c r="K1273" s="49">
        <f>IFERROR(VLOOKUP(B1273,DADOS!$A$2:$H$252,4,0)*J1273,"")</f>
        <v>0.1139336</v>
      </c>
      <c r="L1273" s="50" t="str">
        <f t="shared" si="23"/>
        <v/>
      </c>
      <c r="M1273" s="33" t="s">
        <v>39</v>
      </c>
      <c r="N1273" s="33" t="s">
        <v>86</v>
      </c>
      <c r="O1273" s="63"/>
      <c r="P1273" s="63"/>
      <c r="Q1273" s="63"/>
      <c r="R1273" s="63"/>
      <c r="S1273" s="63"/>
      <c r="T1273" s="64"/>
      <c r="U1273" s="64"/>
      <c r="V1273" s="64"/>
      <c r="W1273" s="64"/>
      <c r="X1273" s="64"/>
      <c r="Y1273" s="64"/>
      <c r="Z1273" s="64"/>
      <c r="AA1273" s="64"/>
      <c r="AB1273" s="64"/>
      <c r="AC1273" s="64"/>
      <c r="AD1273" s="64"/>
      <c r="AE1273" s="64"/>
      <c r="AF1273" s="64"/>
      <c r="AG1273" s="64"/>
      <c r="AH1273" s="64"/>
      <c r="AI1273" s="64"/>
      <c r="AJ1273" s="64"/>
    </row>
    <row r="1274">
      <c r="A1274" s="43">
        <v>45776.0</v>
      </c>
      <c r="B1274" s="44" t="s">
        <v>113</v>
      </c>
      <c r="C1274" s="44"/>
      <c r="D1274" s="45"/>
      <c r="E1274" s="45"/>
      <c r="F1274" s="20">
        <f t="shared" si="24"/>
        <v>0</v>
      </c>
      <c r="G1274" s="46">
        <f>IFERROR(VLOOKUP(B1274,DADOS!$A$2:$H$252,8,0),"")</f>
        <v>8</v>
      </c>
      <c r="H1274" s="47"/>
      <c r="I1274" s="48">
        <f>IFERROR(VLOOKUP(B1274,DADOS!$A$2:$H$252,4,0)*H1274,"")</f>
        <v>0</v>
      </c>
      <c r="J1274" s="46">
        <v>1.0</v>
      </c>
      <c r="K1274" s="49">
        <f>IFERROR(VLOOKUP(B1274,DADOS!$A$2:$H$252,4,0)*J1274,"")</f>
        <v>0.6365216</v>
      </c>
      <c r="L1274" s="50" t="str">
        <f t="shared" si="23"/>
        <v/>
      </c>
      <c r="M1274" s="33" t="s">
        <v>39</v>
      </c>
      <c r="N1274" s="33" t="s">
        <v>86</v>
      </c>
      <c r="O1274" s="63"/>
      <c r="P1274" s="63"/>
      <c r="Q1274" s="63"/>
      <c r="R1274" s="63"/>
      <c r="S1274" s="63"/>
      <c r="T1274" s="64"/>
      <c r="U1274" s="64"/>
      <c r="V1274" s="64"/>
      <c r="W1274" s="64"/>
      <c r="X1274" s="64"/>
      <c r="Y1274" s="64"/>
      <c r="Z1274" s="64"/>
      <c r="AA1274" s="64"/>
      <c r="AB1274" s="64"/>
      <c r="AC1274" s="64"/>
      <c r="AD1274" s="64"/>
      <c r="AE1274" s="64"/>
      <c r="AF1274" s="64"/>
      <c r="AG1274" s="64"/>
      <c r="AH1274" s="64"/>
      <c r="AI1274" s="64"/>
      <c r="AJ1274" s="64"/>
    </row>
    <row r="1275">
      <c r="A1275" s="43">
        <v>45776.0</v>
      </c>
      <c r="B1275" s="44" t="s">
        <v>37</v>
      </c>
      <c r="C1275" s="44"/>
      <c r="D1275" s="45"/>
      <c r="E1275" s="45"/>
      <c r="F1275" s="20">
        <f t="shared" si="24"/>
        <v>0</v>
      </c>
      <c r="G1275" s="46" t="str">
        <f>IFERROR(VLOOKUP(B1275,DADOS!$A$2:$H$252,8,0),"")</f>
        <v/>
      </c>
      <c r="H1275" s="47"/>
      <c r="I1275" s="48" t="str">
        <f>IFERROR(VLOOKUP(B1275,DADOS!$A$2:$H$252,4,0)*H1275,"")</f>
        <v/>
      </c>
      <c r="J1275" s="46">
        <v>2.0</v>
      </c>
      <c r="K1275" s="49" t="str">
        <f>IFERROR(VLOOKUP(B1275,DADOS!$A$2:$H$252,4,0)*J1275,"")</f>
        <v/>
      </c>
      <c r="L1275" s="50" t="str">
        <f t="shared" si="23"/>
        <v/>
      </c>
      <c r="M1275" s="65"/>
      <c r="N1275" s="33" t="s">
        <v>104</v>
      </c>
      <c r="O1275" s="63"/>
      <c r="P1275" s="63"/>
      <c r="Q1275" s="63"/>
      <c r="R1275" s="63"/>
      <c r="S1275" s="63"/>
      <c r="T1275" s="64"/>
      <c r="U1275" s="64"/>
      <c r="V1275" s="64"/>
      <c r="W1275" s="64"/>
      <c r="X1275" s="64"/>
      <c r="Y1275" s="64"/>
      <c r="Z1275" s="64"/>
      <c r="AA1275" s="64"/>
      <c r="AB1275" s="64"/>
      <c r="AC1275" s="64"/>
      <c r="AD1275" s="64"/>
      <c r="AE1275" s="64"/>
      <c r="AF1275" s="64"/>
      <c r="AG1275" s="64"/>
      <c r="AH1275" s="64"/>
      <c r="AI1275" s="64"/>
      <c r="AJ1275" s="64"/>
    </row>
    <row r="1276">
      <c r="A1276" s="43">
        <v>45776.0</v>
      </c>
      <c r="B1276" s="44" t="s">
        <v>48</v>
      </c>
      <c r="C1276" s="44"/>
      <c r="D1276" s="45"/>
      <c r="E1276" s="45"/>
      <c r="F1276" s="20">
        <f t="shared" si="24"/>
        <v>0</v>
      </c>
      <c r="G1276" s="46">
        <f>IFERROR(VLOOKUP(B1276,DADOS!$A$2:$H$252,8,0),"")</f>
        <v>6</v>
      </c>
      <c r="H1276" s="47"/>
      <c r="I1276" s="48">
        <f>IFERROR(VLOOKUP(B1276,DADOS!$A$2:$H$252,4,0)*H1276,"")</f>
        <v>0</v>
      </c>
      <c r="J1276" s="46">
        <v>1.0</v>
      </c>
      <c r="K1276" s="49">
        <f>IFERROR(VLOOKUP(B1276,DADOS!$A$2:$H$252,4,0)*J1276,"")</f>
        <v>0.1139336</v>
      </c>
      <c r="L1276" s="50" t="str">
        <f t="shared" si="23"/>
        <v/>
      </c>
      <c r="M1276" s="65"/>
      <c r="N1276" s="33" t="s">
        <v>104</v>
      </c>
      <c r="O1276" s="63"/>
      <c r="P1276" s="63"/>
      <c r="Q1276" s="63"/>
      <c r="R1276" s="63"/>
      <c r="S1276" s="63"/>
      <c r="T1276" s="64"/>
      <c r="U1276" s="64"/>
      <c r="V1276" s="64"/>
      <c r="W1276" s="64"/>
      <c r="X1276" s="64"/>
      <c r="Y1276" s="64"/>
      <c r="Z1276" s="64"/>
      <c r="AA1276" s="64"/>
      <c r="AB1276" s="64"/>
      <c r="AC1276" s="64"/>
      <c r="AD1276" s="64"/>
      <c r="AE1276" s="64"/>
      <c r="AF1276" s="64"/>
      <c r="AG1276" s="64"/>
      <c r="AH1276" s="64"/>
      <c r="AI1276" s="64"/>
      <c r="AJ1276" s="64"/>
    </row>
    <row r="1277">
      <c r="A1277" s="43">
        <v>45776.0</v>
      </c>
      <c r="B1277" s="44" t="s">
        <v>75</v>
      </c>
      <c r="C1277" s="44"/>
      <c r="D1277" s="45"/>
      <c r="E1277" s="45"/>
      <c r="F1277" s="20">
        <f t="shared" si="24"/>
        <v>0</v>
      </c>
      <c r="G1277" s="46">
        <f>IFERROR(VLOOKUP(B1277,DADOS!$A$2:$H$252,8,0),"")</f>
        <v>23</v>
      </c>
      <c r="H1277" s="47"/>
      <c r="I1277" s="48">
        <f>IFERROR(VLOOKUP(B1277,DADOS!$A$2:$H$252,4,0)*H1277,"")</f>
        <v>0</v>
      </c>
      <c r="J1277" s="46">
        <v>1.0</v>
      </c>
      <c r="K1277" s="49">
        <f>IFERROR(VLOOKUP(B1277,DADOS!$A$2:$H$252,4,0)*J1277,"")</f>
        <v>0.1139336</v>
      </c>
      <c r="L1277" s="50" t="str">
        <f t="shared" si="23"/>
        <v/>
      </c>
      <c r="M1277" s="65"/>
      <c r="N1277" s="33" t="s">
        <v>104</v>
      </c>
      <c r="O1277" s="63"/>
      <c r="P1277" s="63"/>
      <c r="Q1277" s="63"/>
      <c r="R1277" s="63"/>
      <c r="S1277" s="63"/>
      <c r="T1277" s="64"/>
      <c r="U1277" s="64"/>
      <c r="V1277" s="64"/>
      <c r="W1277" s="64"/>
      <c r="X1277" s="64"/>
      <c r="Y1277" s="64"/>
      <c r="Z1277" s="64"/>
      <c r="AA1277" s="64"/>
      <c r="AB1277" s="64"/>
      <c r="AC1277" s="64"/>
      <c r="AD1277" s="64"/>
      <c r="AE1277" s="64"/>
      <c r="AF1277" s="64"/>
      <c r="AG1277" s="64"/>
      <c r="AH1277" s="64"/>
      <c r="AI1277" s="64"/>
      <c r="AJ1277" s="64"/>
    </row>
    <row r="1278">
      <c r="A1278" s="43">
        <v>45776.0</v>
      </c>
      <c r="B1278" s="44" t="s">
        <v>26</v>
      </c>
      <c r="C1278" s="44"/>
      <c r="D1278" s="45"/>
      <c r="E1278" s="45"/>
      <c r="F1278" s="20">
        <f t="shared" si="24"/>
        <v>0</v>
      </c>
      <c r="G1278" s="46">
        <f>IFERROR(VLOOKUP(B1278,DADOS!$A$2:$H$252,8,0),"")</f>
        <v>50</v>
      </c>
      <c r="H1278" s="47"/>
      <c r="I1278" s="48">
        <f>IFERROR(VLOOKUP(B1278,DADOS!$A$2:$H$252,4,0)*H1278,"")</f>
        <v>0</v>
      </c>
      <c r="J1278" s="46">
        <v>1.0</v>
      </c>
      <c r="K1278" s="49">
        <f>IFERROR(VLOOKUP(B1278,DADOS!$A$2:$H$252,4,0)*J1278,"")</f>
        <v>0.1139336</v>
      </c>
      <c r="L1278" s="50" t="str">
        <f t="shared" si="23"/>
        <v/>
      </c>
      <c r="M1278" s="65"/>
      <c r="N1278" s="33" t="s">
        <v>104</v>
      </c>
      <c r="O1278" s="63"/>
      <c r="P1278" s="63"/>
      <c r="Q1278" s="63"/>
      <c r="R1278" s="63"/>
      <c r="S1278" s="63"/>
      <c r="T1278" s="64"/>
      <c r="U1278" s="64"/>
      <c r="V1278" s="64"/>
      <c r="W1278" s="64"/>
      <c r="X1278" s="64"/>
      <c r="Y1278" s="64"/>
      <c r="Z1278" s="64"/>
      <c r="AA1278" s="64"/>
      <c r="AB1278" s="64"/>
      <c r="AC1278" s="64"/>
      <c r="AD1278" s="64"/>
      <c r="AE1278" s="64"/>
      <c r="AF1278" s="64"/>
      <c r="AG1278" s="64"/>
      <c r="AH1278" s="64"/>
      <c r="AI1278" s="64"/>
      <c r="AJ1278" s="64"/>
    </row>
    <row r="1279">
      <c r="A1279" s="43">
        <v>45776.0</v>
      </c>
      <c r="B1279" s="44" t="s">
        <v>55</v>
      </c>
      <c r="C1279" s="44"/>
      <c r="D1279" s="45"/>
      <c r="E1279" s="45"/>
      <c r="F1279" s="20">
        <f t="shared" si="24"/>
        <v>0</v>
      </c>
      <c r="G1279" s="46">
        <f>IFERROR(VLOOKUP(B1279,DADOS!$A$2:$H$252,8,0),"")</f>
        <v>60</v>
      </c>
      <c r="H1279" s="47"/>
      <c r="I1279" s="48">
        <f>IFERROR(VLOOKUP(B1279,DADOS!$A$2:$H$252,4,0)*H1279,"")</f>
        <v>0</v>
      </c>
      <c r="J1279" s="46">
        <v>1.0</v>
      </c>
      <c r="K1279" s="49">
        <f>IFERROR(VLOOKUP(B1279,DADOS!$A$2:$H$252,4,0)*J1279,"")</f>
        <v>0.01712</v>
      </c>
      <c r="L1279" s="50" t="str">
        <f t="shared" si="23"/>
        <v/>
      </c>
      <c r="M1279" s="65"/>
      <c r="N1279" s="33" t="s">
        <v>104</v>
      </c>
      <c r="O1279" s="63"/>
      <c r="P1279" s="63"/>
      <c r="Q1279" s="63"/>
      <c r="R1279" s="63"/>
      <c r="S1279" s="63"/>
      <c r="T1279" s="64"/>
      <c r="U1279" s="64"/>
      <c r="V1279" s="64"/>
      <c r="W1279" s="64"/>
      <c r="X1279" s="64"/>
      <c r="Y1279" s="64"/>
      <c r="Z1279" s="64"/>
      <c r="AA1279" s="64"/>
      <c r="AB1279" s="64"/>
      <c r="AC1279" s="64"/>
      <c r="AD1279" s="64"/>
      <c r="AE1279" s="64"/>
      <c r="AF1279" s="64"/>
      <c r="AG1279" s="64"/>
      <c r="AH1279" s="64"/>
      <c r="AI1279" s="64"/>
      <c r="AJ1279" s="64"/>
    </row>
    <row r="1280">
      <c r="A1280" s="43">
        <v>45776.0</v>
      </c>
      <c r="B1280" s="44" t="s">
        <v>98</v>
      </c>
      <c r="C1280" s="44"/>
      <c r="D1280" s="45"/>
      <c r="E1280" s="45"/>
      <c r="F1280" s="20">
        <f t="shared" si="24"/>
        <v>0</v>
      </c>
      <c r="G1280" s="46">
        <f>IFERROR(VLOOKUP(B1280,DADOS!$A$2:$H$252,8,0),"")</f>
        <v>100</v>
      </c>
      <c r="H1280" s="47"/>
      <c r="I1280" s="48">
        <f>IFERROR(VLOOKUP(B1280,DADOS!$A$2:$H$252,4,0)*H1280,"")</f>
        <v>0</v>
      </c>
      <c r="J1280" s="46">
        <v>1.0</v>
      </c>
      <c r="K1280" s="49">
        <f>IFERROR(VLOOKUP(B1280,DADOS!$A$2:$H$252,4,0)*J1280,"")</f>
        <v>0.26964</v>
      </c>
      <c r="L1280" s="50" t="str">
        <f t="shared" si="23"/>
        <v/>
      </c>
      <c r="M1280" s="65"/>
      <c r="N1280" s="33" t="s">
        <v>104</v>
      </c>
      <c r="O1280" s="63"/>
      <c r="P1280" s="63"/>
      <c r="Q1280" s="63"/>
      <c r="R1280" s="63"/>
      <c r="S1280" s="63"/>
      <c r="T1280" s="64"/>
      <c r="U1280" s="64"/>
      <c r="V1280" s="64"/>
      <c r="W1280" s="64"/>
      <c r="X1280" s="64"/>
      <c r="Y1280" s="64"/>
      <c r="Z1280" s="64"/>
      <c r="AA1280" s="64"/>
      <c r="AB1280" s="64"/>
      <c r="AC1280" s="64"/>
      <c r="AD1280" s="64"/>
      <c r="AE1280" s="64"/>
      <c r="AF1280" s="64"/>
      <c r="AG1280" s="64"/>
      <c r="AH1280" s="64"/>
      <c r="AI1280" s="64"/>
      <c r="AJ1280" s="64"/>
    </row>
    <row r="1281" ht="15.0" customHeight="1">
      <c r="A1281" s="43">
        <v>45776.0</v>
      </c>
      <c r="B1281" s="44" t="s">
        <v>71</v>
      </c>
      <c r="C1281" s="44"/>
      <c r="D1281" s="45"/>
      <c r="E1281" s="45"/>
      <c r="F1281" s="20">
        <f t="shared" si="24"/>
        <v>0</v>
      </c>
      <c r="G1281" s="46">
        <f>IFERROR(VLOOKUP(B1281,DADOS!$A$2:$H$252,8,0),"")</f>
        <v>7</v>
      </c>
      <c r="H1281" s="47"/>
      <c r="I1281" s="48">
        <f>IFERROR(VLOOKUP(B1281,DADOS!$A$2:$H$252,4,0)*H1281,"")</f>
        <v>0</v>
      </c>
      <c r="J1281" s="46">
        <v>2.0</v>
      </c>
      <c r="K1281" s="49">
        <f>IFERROR(VLOOKUP(B1281,DADOS!$A$2:$H$252,4,0)*J1281,"")</f>
        <v>2.8048124</v>
      </c>
      <c r="L1281" s="50" t="str">
        <f t="shared" si="23"/>
        <v/>
      </c>
      <c r="M1281" s="65"/>
      <c r="N1281" s="33" t="s">
        <v>173</v>
      </c>
      <c r="O1281" s="63"/>
      <c r="P1281" s="63"/>
      <c r="Q1281" s="63"/>
      <c r="R1281" s="63"/>
      <c r="S1281" s="63"/>
      <c r="T1281" s="64"/>
      <c r="U1281" s="64"/>
      <c r="V1281" s="64"/>
      <c r="W1281" s="64"/>
      <c r="X1281" s="64"/>
      <c r="Y1281" s="64"/>
      <c r="Z1281" s="64"/>
      <c r="AA1281" s="64"/>
      <c r="AB1281" s="64"/>
      <c r="AC1281" s="64"/>
      <c r="AD1281" s="64"/>
      <c r="AE1281" s="64"/>
      <c r="AF1281" s="64"/>
      <c r="AG1281" s="64"/>
      <c r="AH1281" s="64"/>
      <c r="AI1281" s="64"/>
      <c r="AJ1281" s="64"/>
    </row>
    <row r="1282">
      <c r="A1282" s="43">
        <v>45776.0</v>
      </c>
      <c r="B1282" s="44" t="s">
        <v>43</v>
      </c>
      <c r="C1282" s="44"/>
      <c r="D1282" s="45"/>
      <c r="E1282" s="45"/>
      <c r="F1282" s="20">
        <f t="shared" si="24"/>
        <v>0</v>
      </c>
      <c r="G1282" s="46" t="str">
        <f>IFERROR(VLOOKUP(B1282,DADOS!$A$2:$H$252,8,0),"")</f>
        <v/>
      </c>
      <c r="H1282" s="46"/>
      <c r="I1282" s="48" t="str">
        <f>IFERROR(VLOOKUP(B1282,DADOS!$A$2:$H$252,4,0)*H1282,"")</f>
        <v/>
      </c>
      <c r="J1282" s="46">
        <v>2.0</v>
      </c>
      <c r="K1282" s="49" t="str">
        <f>IFERROR(VLOOKUP(B1282,DADOS!$A$2:$H$252,4,0)*J1282,"")</f>
        <v/>
      </c>
      <c r="L1282" s="50" t="str">
        <f t="shared" si="23"/>
        <v/>
      </c>
      <c r="M1282" s="33" t="s">
        <v>83</v>
      </c>
      <c r="N1282" s="33" t="s">
        <v>85</v>
      </c>
      <c r="O1282" s="63"/>
      <c r="P1282" s="63"/>
      <c r="Q1282" s="63"/>
      <c r="R1282" s="63"/>
      <c r="S1282" s="63"/>
      <c r="T1282" s="64"/>
      <c r="U1282" s="64"/>
      <c r="V1282" s="64"/>
      <c r="W1282" s="64"/>
      <c r="X1282" s="64"/>
      <c r="Y1282" s="64"/>
      <c r="Z1282" s="64"/>
      <c r="AA1282" s="64"/>
      <c r="AB1282" s="64"/>
      <c r="AC1282" s="64"/>
      <c r="AD1282" s="64"/>
      <c r="AE1282" s="64"/>
      <c r="AF1282" s="64"/>
      <c r="AG1282" s="64"/>
      <c r="AH1282" s="64"/>
      <c r="AI1282" s="64"/>
      <c r="AJ1282" s="64"/>
    </row>
    <row r="1283">
      <c r="A1283" s="43">
        <v>45776.0</v>
      </c>
      <c r="B1283" s="44" t="s">
        <v>70</v>
      </c>
      <c r="C1283" s="44"/>
      <c r="D1283" s="45"/>
      <c r="E1283" s="45"/>
      <c r="F1283" s="20">
        <f t="shared" si="24"/>
        <v>0</v>
      </c>
      <c r="G1283" s="46">
        <f>IFERROR(VLOOKUP(B1283,DADOS!$A$2:$H$252,8,0),"")</f>
        <v>13</v>
      </c>
      <c r="H1283" s="47"/>
      <c r="I1283" s="48">
        <f>IFERROR(VLOOKUP(B1283,DADOS!$A$2:$H$252,4,0)*H1283,"")</f>
        <v>0</v>
      </c>
      <c r="J1283" s="46">
        <v>1.0</v>
      </c>
      <c r="K1283" s="49">
        <f>IFERROR(VLOOKUP(B1283,DADOS!$A$2:$H$252,4,0)*J1283,"")</f>
        <v>0.3424</v>
      </c>
      <c r="L1283" s="50" t="str">
        <f t="shared" si="23"/>
        <v/>
      </c>
      <c r="M1283" s="33" t="s">
        <v>83</v>
      </c>
      <c r="N1283" s="33" t="s">
        <v>85</v>
      </c>
      <c r="O1283" s="63"/>
      <c r="P1283" s="63"/>
      <c r="Q1283" s="63"/>
      <c r="R1283" s="63"/>
      <c r="S1283" s="63"/>
      <c r="T1283" s="64"/>
      <c r="U1283" s="64"/>
      <c r="V1283" s="64"/>
      <c r="W1283" s="64"/>
      <c r="X1283" s="64"/>
      <c r="Y1283" s="64"/>
      <c r="Z1283" s="64"/>
      <c r="AA1283" s="64"/>
      <c r="AB1283" s="64"/>
      <c r="AC1283" s="64"/>
      <c r="AD1283" s="64"/>
      <c r="AE1283" s="64"/>
      <c r="AF1283" s="64"/>
      <c r="AG1283" s="64"/>
      <c r="AH1283" s="64"/>
      <c r="AI1283" s="64"/>
      <c r="AJ1283" s="64"/>
    </row>
    <row r="1284">
      <c r="A1284" s="43">
        <v>45776.0</v>
      </c>
      <c r="B1284" s="44" t="s">
        <v>49</v>
      </c>
      <c r="C1284" s="44"/>
      <c r="D1284" s="45"/>
      <c r="E1284" s="45"/>
      <c r="F1284" s="20">
        <f t="shared" si="24"/>
        <v>0</v>
      </c>
      <c r="G1284" s="46">
        <f>IFERROR(VLOOKUP(B1284,DADOS!$A$2:$H$252,8,0),"")</f>
        <v>42</v>
      </c>
      <c r="H1284" s="47"/>
      <c r="I1284" s="48">
        <f>IFERROR(VLOOKUP(B1284,DADOS!$A$2:$H$252,4,0)*H1284,"")</f>
        <v>0</v>
      </c>
      <c r="J1284" s="46">
        <v>1.0</v>
      </c>
      <c r="K1284" s="49">
        <f>IFERROR(VLOOKUP(B1284,DADOS!$A$2:$H$252,4,0)*J1284,"")</f>
        <v>0.0680306</v>
      </c>
      <c r="L1284" s="50" t="str">
        <f t="shared" si="23"/>
        <v/>
      </c>
      <c r="M1284" s="33" t="s">
        <v>83</v>
      </c>
      <c r="N1284" s="33" t="s">
        <v>85</v>
      </c>
      <c r="O1284" s="63"/>
      <c r="P1284" s="63"/>
      <c r="Q1284" s="63"/>
      <c r="R1284" s="63"/>
      <c r="S1284" s="63"/>
      <c r="T1284" s="64"/>
      <c r="U1284" s="64"/>
      <c r="V1284" s="64"/>
      <c r="W1284" s="64"/>
      <c r="X1284" s="64"/>
      <c r="Y1284" s="64"/>
      <c r="Z1284" s="64"/>
      <c r="AA1284" s="64"/>
      <c r="AB1284" s="64"/>
      <c r="AC1284" s="64"/>
      <c r="AD1284" s="64"/>
      <c r="AE1284" s="64"/>
      <c r="AF1284" s="64"/>
      <c r="AG1284" s="64"/>
      <c r="AH1284" s="64"/>
      <c r="AI1284" s="64"/>
      <c r="AJ1284" s="64"/>
    </row>
    <row r="1285">
      <c r="A1285" s="43">
        <v>45776.0</v>
      </c>
      <c r="B1285" s="44" t="s">
        <v>59</v>
      </c>
      <c r="C1285" s="44"/>
      <c r="D1285" s="45"/>
      <c r="E1285" s="45"/>
      <c r="F1285" s="20">
        <f t="shared" si="24"/>
        <v>0</v>
      </c>
      <c r="G1285" s="46">
        <f>IFERROR(VLOOKUP(B1285,DADOS!$A$2:$H$252,8,0),"")</f>
        <v>50</v>
      </c>
      <c r="H1285" s="47"/>
      <c r="I1285" s="48">
        <f>IFERROR(VLOOKUP(B1285,DADOS!$A$2:$H$252,4,0)*H1285,"")</f>
        <v>0</v>
      </c>
      <c r="J1285" s="46">
        <v>1.0</v>
      </c>
      <c r="K1285" s="49">
        <f>IFERROR(VLOOKUP(B1285,DADOS!$A$2:$H$252,4,0)*J1285,"")</f>
        <v>0.01712</v>
      </c>
      <c r="L1285" s="50" t="str">
        <f t="shared" si="23"/>
        <v/>
      </c>
      <c r="M1285" s="33" t="s">
        <v>83</v>
      </c>
      <c r="N1285" s="33" t="s">
        <v>85</v>
      </c>
      <c r="O1285" s="63"/>
      <c r="P1285" s="63"/>
      <c r="Q1285" s="63"/>
      <c r="R1285" s="63"/>
      <c r="S1285" s="63"/>
      <c r="T1285" s="64"/>
      <c r="U1285" s="64"/>
      <c r="V1285" s="64"/>
      <c r="W1285" s="64"/>
      <c r="X1285" s="64"/>
      <c r="Y1285" s="64"/>
      <c r="Z1285" s="64"/>
      <c r="AA1285" s="64"/>
      <c r="AB1285" s="64"/>
      <c r="AC1285" s="64"/>
      <c r="AD1285" s="64"/>
      <c r="AE1285" s="64"/>
      <c r="AF1285" s="64"/>
      <c r="AG1285" s="64"/>
      <c r="AH1285" s="64"/>
      <c r="AI1285" s="64"/>
      <c r="AJ1285" s="64"/>
    </row>
    <row r="1286">
      <c r="A1286" s="43">
        <v>45776.0</v>
      </c>
      <c r="B1286" s="44" t="s">
        <v>27</v>
      </c>
      <c r="C1286" s="44"/>
      <c r="D1286" s="45"/>
      <c r="E1286" s="45"/>
      <c r="F1286" s="20">
        <f t="shared" si="24"/>
        <v>0</v>
      </c>
      <c r="G1286" s="46">
        <f>IFERROR(VLOOKUP(B1286,DADOS!$A$2:$H$252,8,0),"")</f>
        <v>30</v>
      </c>
      <c r="H1286" s="47"/>
      <c r="I1286" s="48">
        <f>IFERROR(VLOOKUP(B1286,DADOS!$A$2:$H$252,4,0)*H1286,"")</f>
        <v>0</v>
      </c>
      <c r="J1286" s="46">
        <v>1.0</v>
      </c>
      <c r="K1286" s="49">
        <f>IFERROR(VLOOKUP(B1286,DADOS!$A$2:$H$252,4,0)*J1286,"")</f>
        <v>0.01712</v>
      </c>
      <c r="L1286" s="50" t="str">
        <f t="shared" si="23"/>
        <v/>
      </c>
      <c r="M1286" s="33" t="s">
        <v>83</v>
      </c>
      <c r="N1286" s="33" t="s">
        <v>85</v>
      </c>
      <c r="O1286" s="63"/>
      <c r="P1286" s="63"/>
      <c r="Q1286" s="63"/>
      <c r="R1286" s="63"/>
      <c r="S1286" s="63"/>
      <c r="T1286" s="64"/>
      <c r="U1286" s="64"/>
      <c r="V1286" s="64"/>
      <c r="W1286" s="64"/>
      <c r="X1286" s="64"/>
      <c r="Y1286" s="64"/>
      <c r="Z1286" s="64"/>
      <c r="AA1286" s="64"/>
      <c r="AB1286" s="64"/>
      <c r="AC1286" s="64"/>
      <c r="AD1286" s="64"/>
      <c r="AE1286" s="64"/>
      <c r="AF1286" s="64"/>
      <c r="AG1286" s="64"/>
      <c r="AH1286" s="64"/>
      <c r="AI1286" s="64"/>
      <c r="AJ1286" s="64"/>
    </row>
    <row r="1287">
      <c r="A1287" s="43">
        <v>45776.0</v>
      </c>
      <c r="B1287" s="44" t="s">
        <v>37</v>
      </c>
      <c r="C1287" s="44"/>
      <c r="D1287" s="45"/>
      <c r="E1287" s="45"/>
      <c r="F1287" s="20">
        <f t="shared" si="24"/>
        <v>0</v>
      </c>
      <c r="G1287" s="46" t="str">
        <f>IFERROR(VLOOKUP(B1287,DADOS!$A$2:$H$252,8,0),"")</f>
        <v/>
      </c>
      <c r="H1287" s="47"/>
      <c r="I1287" s="48" t="str">
        <f>IFERROR(VLOOKUP(B1287,DADOS!$A$2:$H$252,4,0)*H1287,"")</f>
        <v/>
      </c>
      <c r="J1287" s="46">
        <v>1.0</v>
      </c>
      <c r="K1287" s="49" t="str">
        <f>IFERROR(VLOOKUP(B1287,DADOS!$A$2:$H$252,4,0)*J1287,"")</f>
        <v/>
      </c>
      <c r="L1287" s="50" t="str">
        <f t="shared" si="23"/>
        <v/>
      </c>
      <c r="M1287" s="33" t="s">
        <v>83</v>
      </c>
      <c r="N1287" s="33" t="s">
        <v>85</v>
      </c>
      <c r="O1287" s="63"/>
      <c r="P1287" s="63"/>
      <c r="Q1287" s="63"/>
      <c r="R1287" s="63"/>
      <c r="S1287" s="63"/>
      <c r="T1287" s="64"/>
      <c r="U1287" s="64"/>
      <c r="V1287" s="64"/>
      <c r="W1287" s="64"/>
      <c r="X1287" s="64"/>
      <c r="Y1287" s="64"/>
      <c r="Z1287" s="64"/>
      <c r="AA1287" s="64"/>
      <c r="AB1287" s="64"/>
      <c r="AC1287" s="64"/>
      <c r="AD1287" s="64"/>
      <c r="AE1287" s="64"/>
      <c r="AF1287" s="64"/>
      <c r="AG1287" s="64"/>
      <c r="AH1287" s="64"/>
      <c r="AI1287" s="64"/>
      <c r="AJ1287" s="64"/>
    </row>
    <row r="1288">
      <c r="A1288" s="43">
        <v>45776.0</v>
      </c>
      <c r="B1288" s="44" t="s">
        <v>155</v>
      </c>
      <c r="C1288" s="44"/>
      <c r="D1288" s="45"/>
      <c r="E1288" s="45"/>
      <c r="F1288" s="20">
        <f t="shared" si="24"/>
        <v>0</v>
      </c>
      <c r="G1288" s="46">
        <f>IFERROR(VLOOKUP(B1288,DADOS!$A$2:$H$252,8,0),"")</f>
        <v>18</v>
      </c>
      <c r="H1288" s="47"/>
      <c r="I1288" s="48">
        <f>IFERROR(VLOOKUP(B1288,DADOS!$A$2:$H$252,4,0)*H1288,"")</f>
        <v>0</v>
      </c>
      <c r="J1288" s="46">
        <v>2.0</v>
      </c>
      <c r="K1288" s="49">
        <f>IFERROR(VLOOKUP(B1288,DADOS!$A$2:$H$252,4,0)*J1288,"")</f>
        <v>0.791372</v>
      </c>
      <c r="L1288" s="50" t="str">
        <f t="shared" si="23"/>
        <v/>
      </c>
      <c r="M1288" s="33" t="s">
        <v>83</v>
      </c>
      <c r="N1288" s="33" t="s">
        <v>85</v>
      </c>
      <c r="O1288" s="63"/>
      <c r="P1288" s="63"/>
      <c r="Q1288" s="63"/>
      <c r="R1288" s="63"/>
      <c r="S1288" s="63"/>
      <c r="T1288" s="64"/>
      <c r="U1288" s="64"/>
      <c r="V1288" s="64"/>
      <c r="W1288" s="64"/>
      <c r="X1288" s="64"/>
      <c r="Y1288" s="64"/>
      <c r="Z1288" s="64"/>
      <c r="AA1288" s="64"/>
      <c r="AB1288" s="64"/>
      <c r="AC1288" s="64"/>
      <c r="AD1288" s="64"/>
      <c r="AE1288" s="64"/>
      <c r="AF1288" s="64"/>
      <c r="AG1288" s="64"/>
      <c r="AH1288" s="64"/>
      <c r="AI1288" s="64"/>
      <c r="AJ1288" s="64"/>
    </row>
    <row r="1289">
      <c r="A1289" s="43">
        <v>45776.0</v>
      </c>
      <c r="B1289" s="44" t="s">
        <v>109</v>
      </c>
      <c r="C1289" s="44"/>
      <c r="D1289" s="45"/>
      <c r="E1289" s="45"/>
      <c r="F1289" s="20">
        <f t="shared" si="24"/>
        <v>0</v>
      </c>
      <c r="G1289" s="46" t="str">
        <f>IFERROR(VLOOKUP(B1289,DADOS!$A$2:$H$252,8,0),"")</f>
        <v/>
      </c>
      <c r="H1289" s="47"/>
      <c r="I1289" s="48" t="str">
        <f>IFERROR(VLOOKUP(B1289,DADOS!$A$2:$H$252,4,0)*H1289,"")</f>
        <v/>
      </c>
      <c r="J1289" s="46">
        <v>11.0</v>
      </c>
      <c r="K1289" s="49" t="str">
        <f>IFERROR(VLOOKUP(B1289,DADOS!$A$2:$H$252,4,0)*J1289,"")</f>
        <v/>
      </c>
      <c r="L1289" s="50" t="str">
        <f t="shared" si="23"/>
        <v/>
      </c>
      <c r="M1289" s="33" t="s">
        <v>39</v>
      </c>
      <c r="N1289" s="33" t="s">
        <v>163</v>
      </c>
      <c r="O1289" s="63"/>
      <c r="P1289" s="63"/>
      <c r="Q1289" s="63"/>
      <c r="R1289" s="63"/>
      <c r="S1289" s="63"/>
      <c r="T1289" s="64"/>
      <c r="U1289" s="64"/>
      <c r="V1289" s="64"/>
      <c r="W1289" s="64"/>
      <c r="X1289" s="64"/>
      <c r="Y1289" s="64"/>
      <c r="Z1289" s="64"/>
      <c r="AA1289" s="64"/>
      <c r="AB1289" s="64"/>
      <c r="AC1289" s="64"/>
      <c r="AD1289" s="64"/>
      <c r="AE1289" s="64"/>
      <c r="AF1289" s="64"/>
      <c r="AG1289" s="64"/>
      <c r="AH1289" s="64"/>
      <c r="AI1289" s="64"/>
      <c r="AJ1289" s="64"/>
    </row>
    <row r="1290">
      <c r="A1290" s="43">
        <v>45776.0</v>
      </c>
      <c r="B1290" s="44" t="s">
        <v>26</v>
      </c>
      <c r="C1290" s="44"/>
      <c r="D1290" s="45"/>
      <c r="E1290" s="45"/>
      <c r="F1290" s="20">
        <f t="shared" si="24"/>
        <v>0</v>
      </c>
      <c r="G1290" s="46">
        <f>IFERROR(VLOOKUP(B1290,DADOS!$A$2:$H$252,8,0),"")</f>
        <v>50</v>
      </c>
      <c r="H1290" s="47"/>
      <c r="I1290" s="48">
        <f>IFERROR(VLOOKUP(B1290,DADOS!$A$2:$H$252,4,0)*H1290,"")</f>
        <v>0</v>
      </c>
      <c r="J1290" s="46">
        <v>1.0</v>
      </c>
      <c r="K1290" s="49">
        <f>IFERROR(VLOOKUP(B1290,DADOS!$A$2:$H$252,4,0)*J1290,"")</f>
        <v>0.1139336</v>
      </c>
      <c r="L1290" s="50" t="str">
        <f t="shared" si="23"/>
        <v/>
      </c>
      <c r="M1290" s="33" t="s">
        <v>39</v>
      </c>
      <c r="N1290" s="33" t="s">
        <v>163</v>
      </c>
      <c r="O1290" s="63"/>
      <c r="P1290" s="63"/>
      <c r="Q1290" s="63"/>
      <c r="R1290" s="63"/>
      <c r="S1290" s="63"/>
      <c r="T1290" s="64"/>
      <c r="U1290" s="64"/>
      <c r="V1290" s="64"/>
      <c r="W1290" s="64"/>
      <c r="X1290" s="64"/>
      <c r="Y1290" s="64"/>
      <c r="Z1290" s="64"/>
      <c r="AA1290" s="64"/>
      <c r="AB1290" s="64"/>
      <c r="AC1290" s="64"/>
      <c r="AD1290" s="64"/>
      <c r="AE1290" s="64"/>
      <c r="AF1290" s="64"/>
      <c r="AG1290" s="64"/>
      <c r="AH1290" s="64"/>
      <c r="AI1290" s="64"/>
      <c r="AJ1290" s="64"/>
    </row>
    <row r="1291">
      <c r="A1291" s="43">
        <v>45776.0</v>
      </c>
      <c r="B1291" s="44" t="s">
        <v>122</v>
      </c>
      <c r="C1291" s="44"/>
      <c r="D1291" s="45"/>
      <c r="E1291" s="45"/>
      <c r="F1291" s="20">
        <f t="shared" si="24"/>
        <v>0</v>
      </c>
      <c r="G1291" s="46">
        <f>IFERROR(VLOOKUP(B1291,DADOS!$A$2:$H$252,8,0),"")</f>
        <v>17</v>
      </c>
      <c r="H1291" s="47"/>
      <c r="I1291" s="48">
        <f>IFERROR(VLOOKUP(B1291,DADOS!$A$2:$H$252,4,0)*H1291,"")</f>
        <v>0</v>
      </c>
      <c r="J1291" s="46">
        <v>2.0</v>
      </c>
      <c r="K1291" s="49">
        <f>IFERROR(VLOOKUP(B1291,DADOS!$A$2:$H$252,4,0)*J1291,"")</f>
        <v>0.3432132</v>
      </c>
      <c r="L1291" s="50" t="str">
        <f t="shared" si="23"/>
        <v/>
      </c>
      <c r="M1291" s="33" t="s">
        <v>39</v>
      </c>
      <c r="N1291" s="33" t="s">
        <v>120</v>
      </c>
      <c r="O1291" s="63"/>
      <c r="P1291" s="63"/>
      <c r="Q1291" s="63"/>
      <c r="R1291" s="63"/>
      <c r="S1291" s="63"/>
      <c r="T1291" s="64"/>
      <c r="U1291" s="64"/>
      <c r="V1291" s="64"/>
      <c r="W1291" s="64"/>
      <c r="X1291" s="64"/>
      <c r="Y1291" s="64"/>
      <c r="Z1291" s="64"/>
      <c r="AA1291" s="64"/>
      <c r="AB1291" s="64"/>
      <c r="AC1291" s="64"/>
      <c r="AD1291" s="64"/>
      <c r="AE1291" s="64"/>
      <c r="AF1291" s="64"/>
      <c r="AG1291" s="64"/>
      <c r="AH1291" s="64"/>
      <c r="AI1291" s="64"/>
      <c r="AJ1291" s="64"/>
    </row>
    <row r="1292">
      <c r="A1292" s="43">
        <v>45776.0</v>
      </c>
      <c r="B1292" s="44" t="s">
        <v>25</v>
      </c>
      <c r="C1292" s="44"/>
      <c r="D1292" s="45"/>
      <c r="E1292" s="45"/>
      <c r="F1292" s="20">
        <f t="shared" si="24"/>
        <v>0</v>
      </c>
      <c r="G1292" s="46">
        <f>IFERROR(VLOOKUP(B1292,DADOS!$A$2:$H$252,8,0),"")</f>
        <v>40</v>
      </c>
      <c r="H1292" s="47"/>
      <c r="I1292" s="48">
        <f>IFERROR(VLOOKUP(B1292,DADOS!$A$2:$H$252,4,0)*H1292,"")</f>
        <v>0</v>
      </c>
      <c r="J1292" s="46">
        <v>1.0</v>
      </c>
      <c r="K1292" s="49">
        <f>IFERROR(VLOOKUP(B1292,DADOS!$A$2:$H$252,4,0)*J1292,"")</f>
        <v>0.103576</v>
      </c>
      <c r="L1292" s="50" t="str">
        <f t="shared" si="23"/>
        <v/>
      </c>
      <c r="M1292" s="33" t="s">
        <v>39</v>
      </c>
      <c r="N1292" s="33" t="s">
        <v>120</v>
      </c>
      <c r="O1292" s="63"/>
      <c r="P1292" s="63"/>
      <c r="Q1292" s="63"/>
      <c r="R1292" s="63"/>
      <c r="S1292" s="63"/>
      <c r="T1292" s="64"/>
      <c r="U1292" s="64"/>
      <c r="V1292" s="64"/>
      <c r="W1292" s="64"/>
      <c r="X1292" s="64"/>
      <c r="Y1292" s="64"/>
      <c r="Z1292" s="64"/>
      <c r="AA1292" s="64"/>
      <c r="AB1292" s="64"/>
      <c r="AC1292" s="64"/>
      <c r="AD1292" s="64"/>
      <c r="AE1292" s="64"/>
      <c r="AF1292" s="64"/>
      <c r="AG1292" s="64"/>
      <c r="AH1292" s="64"/>
      <c r="AI1292" s="64"/>
      <c r="AJ1292" s="64"/>
    </row>
    <row r="1293">
      <c r="A1293" s="43">
        <v>45776.0</v>
      </c>
      <c r="B1293" s="44" t="s">
        <v>101</v>
      </c>
      <c r="C1293" s="44"/>
      <c r="D1293" s="45"/>
      <c r="E1293" s="45"/>
      <c r="F1293" s="20">
        <f t="shared" si="24"/>
        <v>0</v>
      </c>
      <c r="G1293" s="46" t="str">
        <f>IFERROR(VLOOKUP(B1293,DADOS!$A$2:$H$252,8,0),"")</f>
        <v/>
      </c>
      <c r="H1293" s="47"/>
      <c r="I1293" s="48">
        <f>IFERROR(VLOOKUP(B1293,DADOS!$A$2:$H$252,4,0)*H1293,"")</f>
        <v>0</v>
      </c>
      <c r="J1293" s="46">
        <v>1.0</v>
      </c>
      <c r="K1293" s="49">
        <f>IFERROR(VLOOKUP(B1293,DADOS!$A$2:$H$252,4,0)*J1293,"")</f>
        <v>0.1591304</v>
      </c>
      <c r="L1293" s="50" t="str">
        <f t="shared" si="23"/>
        <v/>
      </c>
      <c r="M1293" s="33" t="s">
        <v>110</v>
      </c>
      <c r="N1293" s="33" t="s">
        <v>111</v>
      </c>
      <c r="O1293" s="63"/>
      <c r="P1293" s="63"/>
      <c r="Q1293" s="63"/>
      <c r="R1293" s="63"/>
      <c r="S1293" s="63"/>
      <c r="T1293" s="64"/>
      <c r="U1293" s="64"/>
      <c r="V1293" s="64"/>
      <c r="W1293" s="64"/>
      <c r="X1293" s="64"/>
      <c r="Y1293" s="64"/>
      <c r="Z1293" s="64"/>
      <c r="AA1293" s="64"/>
      <c r="AB1293" s="64"/>
      <c r="AC1293" s="64"/>
      <c r="AD1293" s="64"/>
      <c r="AE1293" s="64"/>
      <c r="AF1293" s="64"/>
      <c r="AG1293" s="64"/>
      <c r="AH1293" s="64"/>
      <c r="AI1293" s="64"/>
      <c r="AJ1293" s="64"/>
    </row>
    <row r="1294">
      <c r="A1294" s="43">
        <v>45776.0</v>
      </c>
      <c r="B1294" s="44" t="s">
        <v>134</v>
      </c>
      <c r="C1294" s="44"/>
      <c r="D1294" s="45"/>
      <c r="E1294" s="45"/>
      <c r="F1294" s="20">
        <f t="shared" si="24"/>
        <v>0</v>
      </c>
      <c r="G1294" s="46">
        <f>IFERROR(VLOOKUP(B1294,DADOS!$A$2:$H$252,8,0),"")</f>
        <v>17</v>
      </c>
      <c r="H1294" s="47"/>
      <c r="I1294" s="48">
        <f>IFERROR(VLOOKUP(B1294,DADOS!$A$2:$H$252,4,0)*H1294,"")</f>
        <v>0</v>
      </c>
      <c r="J1294" s="46">
        <v>2.0</v>
      </c>
      <c r="K1294" s="49">
        <f>IFERROR(VLOOKUP(B1294,DADOS!$A$2:$H$252,4,0)*J1294,"")</f>
        <v>0.154508</v>
      </c>
      <c r="L1294" s="50" t="str">
        <f t="shared" si="23"/>
        <v/>
      </c>
      <c r="M1294" s="33" t="s">
        <v>110</v>
      </c>
      <c r="N1294" s="33" t="s">
        <v>111</v>
      </c>
      <c r="O1294" s="28"/>
      <c r="P1294" s="28"/>
      <c r="Q1294" s="28"/>
      <c r="R1294" s="28"/>
      <c r="S1294" s="28"/>
    </row>
    <row r="1295">
      <c r="A1295" s="43">
        <v>45776.0</v>
      </c>
      <c r="B1295" s="44" t="s">
        <v>71</v>
      </c>
      <c r="C1295" s="44"/>
      <c r="D1295" s="45"/>
      <c r="E1295" s="45"/>
      <c r="F1295" s="20">
        <f t="shared" si="24"/>
        <v>0</v>
      </c>
      <c r="G1295" s="46">
        <f>IFERROR(VLOOKUP(B1295,DADOS!$A$2:$H$252,8,0),"")</f>
        <v>7</v>
      </c>
      <c r="H1295" s="47"/>
      <c r="I1295" s="48">
        <f>IFERROR(VLOOKUP(B1295,DADOS!$A$2:$H$252,4,0)*H1295,"")</f>
        <v>0</v>
      </c>
      <c r="J1295" s="46">
        <v>2.0</v>
      </c>
      <c r="K1295" s="49">
        <f>IFERROR(VLOOKUP(B1295,DADOS!$A$2:$H$252,4,0)*J1295,"")</f>
        <v>2.8048124</v>
      </c>
      <c r="L1295" s="50" t="str">
        <f t="shared" si="23"/>
        <v/>
      </c>
      <c r="M1295" s="65"/>
      <c r="N1295" s="33" t="s">
        <v>86</v>
      </c>
      <c r="O1295" s="28"/>
      <c r="P1295" s="28"/>
      <c r="Q1295" s="28"/>
      <c r="R1295" s="28"/>
      <c r="S1295" s="28"/>
    </row>
    <row r="1296">
      <c r="A1296" s="17">
        <v>45777.0</v>
      </c>
      <c r="B1296" s="18" t="s">
        <v>71</v>
      </c>
      <c r="C1296" s="18" t="s">
        <v>166</v>
      </c>
      <c r="D1296" s="19">
        <v>0.3125</v>
      </c>
      <c r="E1296" s="19">
        <v>0.5034722222222222</v>
      </c>
      <c r="F1296" s="20">
        <f t="shared" si="24"/>
        <v>0.1909722222</v>
      </c>
      <c r="G1296" s="21">
        <f>IFERROR(VLOOKUP(B1296,DADOS!$A$2:$H$252,8,0),"")</f>
        <v>7</v>
      </c>
      <c r="H1296" s="22">
        <v>44.0</v>
      </c>
      <c r="I1296" s="23">
        <f>IFERROR(VLOOKUP(B1296,DADOS!$A$2:$H$252,4,0)*H1296,"")</f>
        <v>61.7058728</v>
      </c>
      <c r="J1296" s="36"/>
      <c r="K1296" s="25">
        <f>IFERROR(VLOOKUP(B1296,DADOS!$A$2:$H$252,4,0)*J1296,"")</f>
        <v>0</v>
      </c>
      <c r="L1296" s="26">
        <f t="shared" si="23"/>
        <v>0</v>
      </c>
      <c r="M1296" s="27"/>
      <c r="N1296" s="30"/>
      <c r="O1296" s="28"/>
      <c r="P1296" s="28"/>
      <c r="Q1296" s="28"/>
      <c r="R1296" s="28"/>
      <c r="S1296" s="28"/>
    </row>
    <row r="1297">
      <c r="A1297" s="17">
        <v>45777.0</v>
      </c>
      <c r="B1297" s="18" t="s">
        <v>49</v>
      </c>
      <c r="C1297" s="18" t="s">
        <v>168</v>
      </c>
      <c r="D1297" s="19">
        <v>0.3194444444444444</v>
      </c>
      <c r="E1297" s="19">
        <v>0.6076388888888888</v>
      </c>
      <c r="F1297" s="20">
        <f t="shared" si="24"/>
        <v>0.2881944444</v>
      </c>
      <c r="G1297" s="21">
        <f>IFERROR(VLOOKUP(B1297,DADOS!$A$2:$H$252,8,0),"")</f>
        <v>42</v>
      </c>
      <c r="H1297" s="22">
        <v>106.0</v>
      </c>
      <c r="I1297" s="23">
        <f>IFERROR(VLOOKUP(B1297,DADOS!$A$2:$H$252,4,0)*H1297,"")</f>
        <v>7.2112436</v>
      </c>
      <c r="J1297" s="24">
        <v>4.0</v>
      </c>
      <c r="K1297" s="25">
        <f>IFERROR(VLOOKUP(B1297,DADOS!$A$2:$H$252,4,0)*J1297,"")</f>
        <v>0.2721224</v>
      </c>
      <c r="L1297" s="26">
        <f t="shared" si="23"/>
        <v>0</v>
      </c>
      <c r="M1297" s="27"/>
      <c r="N1297" s="30"/>
      <c r="O1297" s="28"/>
      <c r="P1297" s="28"/>
      <c r="Q1297" s="28"/>
      <c r="R1297" s="28"/>
      <c r="S1297" s="28"/>
    </row>
    <row r="1298">
      <c r="A1298" s="17">
        <v>45777.0</v>
      </c>
      <c r="B1298" s="18" t="s">
        <v>26</v>
      </c>
      <c r="C1298" s="18" t="s">
        <v>168</v>
      </c>
      <c r="D1298" s="19">
        <v>0.625</v>
      </c>
      <c r="E1298" s="19">
        <v>0.6909722222222222</v>
      </c>
      <c r="F1298" s="20">
        <f t="shared" si="24"/>
        <v>0.06597222222</v>
      </c>
      <c r="G1298" s="21">
        <f>IFERROR(VLOOKUP(B1298,DADOS!$A$2:$H$252,8,0),"")</f>
        <v>50</v>
      </c>
      <c r="H1298" s="22">
        <v>61.0</v>
      </c>
      <c r="I1298" s="23">
        <f>IFERROR(VLOOKUP(B1298,DADOS!$A$2:$H$252,4,0)*H1298,"")</f>
        <v>6.9499496</v>
      </c>
      <c r="J1298" s="24">
        <v>2.0</v>
      </c>
      <c r="K1298" s="25">
        <f>IFERROR(VLOOKUP(B1298,DADOS!$A$2:$H$252,4,0)*J1298,"")</f>
        <v>0.2278672</v>
      </c>
      <c r="L1298" s="26">
        <f t="shared" si="23"/>
        <v>0</v>
      </c>
      <c r="M1298" s="27"/>
      <c r="N1298" s="30"/>
      <c r="O1298" s="28"/>
      <c r="P1298" s="28"/>
      <c r="Q1298" s="28"/>
      <c r="R1298" s="28"/>
      <c r="S1298" s="28"/>
    </row>
    <row r="1299">
      <c r="A1299" s="17">
        <v>45777.0</v>
      </c>
      <c r="B1299" s="18" t="s">
        <v>96</v>
      </c>
      <c r="C1299" s="18" t="s">
        <v>165</v>
      </c>
      <c r="D1299" s="19">
        <v>0.3194444444444444</v>
      </c>
      <c r="E1299" s="19">
        <v>0.6458333333333334</v>
      </c>
      <c r="F1299" s="20">
        <f t="shared" si="24"/>
        <v>0.3263888889</v>
      </c>
      <c r="G1299" s="21">
        <f>IFERROR(VLOOKUP(B1299,DADOS!$A$2:$H$252,8,0),"")</f>
        <v>27</v>
      </c>
      <c r="H1299" s="22">
        <v>142.0</v>
      </c>
      <c r="I1299" s="23">
        <f>IFERROR(VLOOKUP(B1299,DADOS!$A$2:$H$252,4,0)*H1299,"")</f>
        <v>13.37072</v>
      </c>
      <c r="J1299" s="24">
        <v>1.0</v>
      </c>
      <c r="K1299" s="25">
        <f>IFERROR(VLOOKUP(B1299,DADOS!$A$2:$H$252,4,0)*J1299,"")</f>
        <v>0.09416</v>
      </c>
      <c r="L1299" s="26">
        <f t="shared" si="23"/>
        <v>0</v>
      </c>
      <c r="M1299" s="27"/>
      <c r="N1299" s="30"/>
      <c r="O1299" s="28"/>
      <c r="P1299" s="28"/>
      <c r="Q1299" s="28"/>
      <c r="R1299" s="28"/>
      <c r="S1299" s="28"/>
    </row>
    <row r="1300">
      <c r="A1300" s="17">
        <v>45777.0</v>
      </c>
      <c r="B1300" s="18" t="s">
        <v>16</v>
      </c>
      <c r="C1300" s="18" t="s">
        <v>172</v>
      </c>
      <c r="D1300" s="19">
        <v>0.3194444444444444</v>
      </c>
      <c r="E1300" s="19">
        <v>0.7013888888888888</v>
      </c>
      <c r="F1300" s="20">
        <f t="shared" si="24"/>
        <v>0.3819444444</v>
      </c>
      <c r="G1300" s="21">
        <f>IFERROR(VLOOKUP(B1300,DADOS!$A$2:$H$252,8,0),"")</f>
        <v>150</v>
      </c>
      <c r="H1300" s="22">
        <v>1186.0</v>
      </c>
      <c r="I1300" s="23">
        <f>IFERROR(VLOOKUP(B1300,DADOS!$A$2:$H$252,4,0)*H1300,"")</f>
        <v>34.3143008</v>
      </c>
      <c r="J1300" s="24">
        <v>3.0</v>
      </c>
      <c r="K1300" s="25">
        <f>IFERROR(VLOOKUP(B1300,DADOS!$A$2:$H$252,4,0)*J1300,"")</f>
        <v>0.0867984</v>
      </c>
      <c r="L1300" s="26">
        <f t="shared" si="23"/>
        <v>0</v>
      </c>
      <c r="M1300" s="27"/>
      <c r="N1300" s="30"/>
      <c r="O1300" s="28"/>
      <c r="P1300" s="28"/>
      <c r="Q1300" s="28"/>
      <c r="R1300" s="28"/>
      <c r="S1300" s="28"/>
    </row>
    <row r="1301">
      <c r="A1301" s="17">
        <v>45782.0</v>
      </c>
      <c r="B1301" s="18" t="s">
        <v>71</v>
      </c>
      <c r="C1301" s="18" t="s">
        <v>166</v>
      </c>
      <c r="D1301" s="19"/>
      <c r="E1301" s="19"/>
      <c r="F1301" s="20">
        <f t="shared" si="24"/>
        <v>0</v>
      </c>
      <c r="G1301" s="21">
        <f>IFERROR(VLOOKUP(B1301,DADOS!$A$2:$H$252,8,0),"")</f>
        <v>7</v>
      </c>
      <c r="H1301" s="22">
        <v>136.0</v>
      </c>
      <c r="I1301" s="23">
        <f>IFERROR(VLOOKUP(B1301,DADOS!$A$2:$H$252,4,0)*H1301,"")</f>
        <v>190.7272432</v>
      </c>
      <c r="J1301" s="24">
        <v>3.0</v>
      </c>
      <c r="K1301" s="25">
        <f>IFERROR(VLOOKUP(B1301,DADOS!$A$2:$H$252,4,0)*J1301,"")</f>
        <v>4.2072186</v>
      </c>
      <c r="L1301" s="26">
        <f t="shared" si="23"/>
        <v>0</v>
      </c>
      <c r="M1301" s="27"/>
      <c r="N1301" s="30"/>
      <c r="O1301" s="28"/>
      <c r="P1301" s="28"/>
      <c r="Q1301" s="28"/>
      <c r="R1301" s="28"/>
      <c r="S1301" s="28"/>
    </row>
    <row r="1302">
      <c r="A1302" s="17">
        <v>45782.0</v>
      </c>
      <c r="B1302" s="18" t="s">
        <v>178</v>
      </c>
      <c r="C1302" s="18" t="s">
        <v>168</v>
      </c>
      <c r="D1302" s="19">
        <v>0.3263888888888889</v>
      </c>
      <c r="E1302" s="19">
        <v>0.4652777777777778</v>
      </c>
      <c r="F1302" s="20">
        <f t="shared" si="24"/>
        <v>0.1388888889</v>
      </c>
      <c r="G1302" s="21">
        <f>IFERROR(VLOOKUP(B1302,DADOS!$A$2:$H$252,8,0),"")</f>
        <v>35</v>
      </c>
      <c r="H1302" s="22">
        <v>45.0</v>
      </c>
      <c r="I1302" s="23">
        <f>IFERROR(VLOOKUP(B1302,DADOS!$A$2:$H$252,4,0)*H1302,"")</f>
        <v>9.5337</v>
      </c>
      <c r="J1302" s="36"/>
      <c r="K1302" s="25">
        <f>IFERROR(VLOOKUP(B1302,DADOS!$A$2:$H$252,4,0)*J1302,"")</f>
        <v>0</v>
      </c>
      <c r="L1302" s="26">
        <f t="shared" si="23"/>
        <v>0</v>
      </c>
      <c r="M1302" s="27"/>
      <c r="N1302" s="30"/>
      <c r="O1302" s="28"/>
      <c r="P1302" s="28"/>
      <c r="Q1302" s="28"/>
      <c r="R1302" s="28"/>
      <c r="S1302" s="28"/>
    </row>
    <row r="1303">
      <c r="A1303" s="17">
        <v>45782.0</v>
      </c>
      <c r="B1303" s="18" t="s">
        <v>16</v>
      </c>
      <c r="C1303" s="18" t="s">
        <v>168</v>
      </c>
      <c r="D1303" s="19">
        <v>0.4722222222222222</v>
      </c>
      <c r="E1303" s="19">
        <v>0.5659722222222222</v>
      </c>
      <c r="F1303" s="20">
        <f t="shared" si="24"/>
        <v>0.09375</v>
      </c>
      <c r="G1303" s="21">
        <f>IFERROR(VLOOKUP(B1303,DADOS!$A$2:$H$252,8,0),"")</f>
        <v>150</v>
      </c>
      <c r="H1303" s="22">
        <v>314.0</v>
      </c>
      <c r="I1303" s="23">
        <f>IFERROR(VLOOKUP(B1303,DADOS!$A$2:$H$252,4,0)*H1303,"")</f>
        <v>9.0848992</v>
      </c>
      <c r="J1303" s="36"/>
      <c r="K1303" s="25">
        <f>IFERROR(VLOOKUP(B1303,DADOS!$A$2:$H$252,4,0)*J1303,"")</f>
        <v>0</v>
      </c>
      <c r="L1303" s="26">
        <f t="shared" si="23"/>
        <v>0</v>
      </c>
      <c r="M1303" s="27"/>
      <c r="N1303" s="30"/>
      <c r="O1303" s="28"/>
      <c r="P1303" s="28"/>
      <c r="Q1303" s="28"/>
      <c r="R1303" s="28"/>
      <c r="S1303" s="28"/>
    </row>
    <row r="1304">
      <c r="A1304" s="17">
        <v>45783.0</v>
      </c>
      <c r="B1304" s="18" t="s">
        <v>37</v>
      </c>
      <c r="C1304" s="18" t="s">
        <v>168</v>
      </c>
      <c r="D1304" s="19">
        <v>0.3388888888888889</v>
      </c>
      <c r="E1304" s="19">
        <v>0.5888888888888889</v>
      </c>
      <c r="F1304" s="20">
        <f t="shared" si="24"/>
        <v>0.25</v>
      </c>
      <c r="G1304" s="21" t="str">
        <f>IFERROR(VLOOKUP(B1304,DADOS!$A$2:$H$252,8,0),"")</f>
        <v/>
      </c>
      <c r="H1304" s="22">
        <v>296.0</v>
      </c>
      <c r="I1304" s="23" t="str">
        <f>IFERROR(VLOOKUP(B1304,DADOS!$A$2:$H$252,4,0)*H1304,"")</f>
        <v/>
      </c>
      <c r="J1304" s="36"/>
      <c r="K1304" s="25" t="str">
        <f>IFERROR(VLOOKUP(B1304,DADOS!$A$2:$H$252,4,0)*J1304,"")</f>
        <v/>
      </c>
      <c r="L1304" s="26" t="str">
        <f t="shared" si="23"/>
        <v/>
      </c>
      <c r="M1304" s="27"/>
      <c r="N1304" s="30"/>
      <c r="O1304" s="28"/>
      <c r="P1304" s="28"/>
      <c r="Q1304" s="28"/>
      <c r="R1304" s="28"/>
      <c r="S1304" s="28"/>
    </row>
    <row r="1305">
      <c r="A1305" s="17">
        <v>45783.0</v>
      </c>
      <c r="B1305" s="18" t="s">
        <v>131</v>
      </c>
      <c r="C1305" s="18" t="s">
        <v>168</v>
      </c>
      <c r="D1305" s="19">
        <v>0.5930555555555556</v>
      </c>
      <c r="E1305" s="19">
        <v>0.71875</v>
      </c>
      <c r="F1305" s="20">
        <f t="shared" si="24"/>
        <v>0.1256944444</v>
      </c>
      <c r="G1305" s="21">
        <f>IFERROR(VLOOKUP(B1305,DADOS!$A$2:$H$252,8,0),"")</f>
        <v>15</v>
      </c>
      <c r="H1305" s="22">
        <v>33.0</v>
      </c>
      <c r="I1305" s="23">
        <f>IFERROR(VLOOKUP(B1305,DADOS!$A$2:$H$252,4,0)*H1305,"")</f>
        <v>11.2992</v>
      </c>
      <c r="J1305" s="24">
        <v>1.0</v>
      </c>
      <c r="K1305" s="25">
        <f>IFERROR(VLOOKUP(B1305,DADOS!$A$2:$H$252,4,0)*J1305,"")</f>
        <v>0.3424</v>
      </c>
      <c r="L1305" s="26">
        <f t="shared" si="23"/>
        <v>0</v>
      </c>
      <c r="M1305" s="27"/>
      <c r="N1305" s="30"/>
      <c r="O1305" s="28"/>
      <c r="P1305" s="28"/>
      <c r="Q1305" s="28"/>
      <c r="R1305" s="28"/>
      <c r="S1305" s="28"/>
    </row>
    <row r="1306">
      <c r="A1306" s="17">
        <v>45784.0</v>
      </c>
      <c r="B1306" s="18" t="s">
        <v>131</v>
      </c>
      <c r="C1306" s="18" t="s">
        <v>168</v>
      </c>
      <c r="D1306" s="19">
        <v>0.3173611111111111</v>
      </c>
      <c r="E1306" s="19">
        <v>0.3958333333333333</v>
      </c>
      <c r="F1306" s="20">
        <f t="shared" si="24"/>
        <v>0.07847222222</v>
      </c>
      <c r="G1306" s="21">
        <f>IFERROR(VLOOKUP(B1306,DADOS!$A$2:$H$252,8,0),"")</f>
        <v>15</v>
      </c>
      <c r="H1306" s="22">
        <v>16.0</v>
      </c>
      <c r="I1306" s="23">
        <f>IFERROR(VLOOKUP(B1306,DADOS!$A$2:$H$252,4,0)*H1306,"")</f>
        <v>5.4784</v>
      </c>
      <c r="J1306" s="24">
        <v>2.0</v>
      </c>
      <c r="K1306" s="25">
        <f>IFERROR(VLOOKUP(B1306,DADOS!$A$2:$H$252,4,0)*J1306,"")</f>
        <v>0.6848</v>
      </c>
      <c r="L1306" s="26">
        <f t="shared" si="23"/>
        <v>0</v>
      </c>
      <c r="M1306" s="27"/>
      <c r="N1306" s="30"/>
      <c r="O1306" s="28"/>
      <c r="P1306" s="28"/>
      <c r="Q1306" s="28"/>
      <c r="R1306" s="28"/>
      <c r="S1306" s="28"/>
    </row>
    <row r="1307">
      <c r="A1307" s="17">
        <v>45784.0</v>
      </c>
      <c r="B1307" s="18" t="s">
        <v>24</v>
      </c>
      <c r="C1307" s="18" t="s">
        <v>168</v>
      </c>
      <c r="D1307" s="19">
        <v>0.40625</v>
      </c>
      <c r="E1307" s="19">
        <v>0.71875</v>
      </c>
      <c r="F1307" s="20">
        <f t="shared" si="24"/>
        <v>0.3125</v>
      </c>
      <c r="G1307" s="21">
        <f>IFERROR(VLOOKUP(B1307,DADOS!$A$2:$H$252,8,0),"")</f>
        <v>37</v>
      </c>
      <c r="H1307" s="22">
        <v>57.0</v>
      </c>
      <c r="I1307" s="23">
        <f>IFERROR(VLOOKUP(B1307,DADOS!$A$2:$H$252,4,0)*H1307,"")</f>
        <v>6.4942152</v>
      </c>
      <c r="J1307" s="24">
        <v>2.0</v>
      </c>
      <c r="K1307" s="25">
        <f>IFERROR(VLOOKUP(B1307,DADOS!$A$2:$H$252,4,0)*J1307,"")</f>
        <v>0.2278672</v>
      </c>
      <c r="L1307" s="26">
        <f t="shared" si="23"/>
        <v>0</v>
      </c>
      <c r="M1307" s="27"/>
      <c r="N1307" s="30"/>
      <c r="O1307" s="28"/>
      <c r="P1307" s="28"/>
      <c r="Q1307" s="28"/>
      <c r="R1307" s="28"/>
      <c r="S1307" s="28"/>
    </row>
    <row r="1308">
      <c r="A1308" s="17">
        <v>45785.0</v>
      </c>
      <c r="B1308" s="18" t="s">
        <v>24</v>
      </c>
      <c r="C1308" s="18" t="s">
        <v>168</v>
      </c>
      <c r="D1308" s="19">
        <v>0.3368055555555556</v>
      </c>
      <c r="E1308" s="19">
        <v>0.6111111111111112</v>
      </c>
      <c r="F1308" s="20">
        <f t="shared" si="24"/>
        <v>0.2743055556</v>
      </c>
      <c r="G1308" s="21">
        <f>IFERROR(VLOOKUP(B1308,DADOS!$A$2:$H$252,8,0),"")</f>
        <v>37</v>
      </c>
      <c r="H1308" s="22">
        <v>52.0</v>
      </c>
      <c r="I1308" s="23">
        <f>IFERROR(VLOOKUP(B1308,DADOS!$A$2:$H$252,4,0)*H1308,"")</f>
        <v>5.9245472</v>
      </c>
      <c r="J1308" s="24">
        <v>2.0</v>
      </c>
      <c r="K1308" s="25">
        <f>IFERROR(VLOOKUP(B1308,DADOS!$A$2:$H$252,4,0)*J1308,"")</f>
        <v>0.2278672</v>
      </c>
      <c r="L1308" s="26">
        <f t="shared" si="23"/>
        <v>0</v>
      </c>
      <c r="M1308" s="27"/>
      <c r="N1308" s="30"/>
      <c r="O1308" s="28"/>
      <c r="P1308" s="28"/>
      <c r="Q1308" s="28"/>
      <c r="R1308" s="28"/>
      <c r="S1308" s="28"/>
    </row>
    <row r="1309">
      <c r="A1309" s="17">
        <v>45785.0</v>
      </c>
      <c r="B1309" s="18" t="s">
        <v>21</v>
      </c>
      <c r="C1309" s="18" t="s">
        <v>168</v>
      </c>
      <c r="D1309" s="19">
        <v>0.6180555555555556</v>
      </c>
      <c r="E1309" s="19">
        <v>0.71875</v>
      </c>
      <c r="F1309" s="20">
        <f t="shared" si="24"/>
        <v>0.1006944444</v>
      </c>
      <c r="G1309" s="21">
        <f>IFERROR(VLOOKUP(B1309,DADOS!$A$2:$H$252,8,0),"")</f>
        <v>33</v>
      </c>
      <c r="H1309" s="22">
        <v>16.0</v>
      </c>
      <c r="I1309" s="23">
        <f>IFERROR(VLOOKUP(B1309,DADOS!$A$2:$H$252,4,0)*H1309,"")</f>
        <v>1.8229376</v>
      </c>
      <c r="J1309" s="36"/>
      <c r="K1309" s="25">
        <f>IFERROR(VLOOKUP(B1309,DADOS!$A$2:$H$252,4,0)*J1309,"")</f>
        <v>0</v>
      </c>
      <c r="L1309" s="26">
        <f t="shared" si="23"/>
        <v>0</v>
      </c>
      <c r="M1309" s="27"/>
      <c r="N1309" s="30"/>
      <c r="O1309" s="28"/>
      <c r="P1309" s="28"/>
      <c r="Q1309" s="28"/>
      <c r="R1309" s="28"/>
      <c r="S1309" s="28"/>
    </row>
    <row r="1310">
      <c r="A1310" s="17">
        <v>45786.0</v>
      </c>
      <c r="B1310" s="18" t="s">
        <v>24</v>
      </c>
      <c r="C1310" s="18" t="s">
        <v>168</v>
      </c>
      <c r="D1310" s="19">
        <v>0.3194444444444444</v>
      </c>
      <c r="E1310" s="19">
        <v>0.6423611111111112</v>
      </c>
      <c r="F1310" s="20">
        <f t="shared" si="24"/>
        <v>0.3229166667</v>
      </c>
      <c r="G1310" s="21">
        <f>IFERROR(VLOOKUP(B1310,DADOS!$A$2:$H$252,8,0),"")</f>
        <v>37</v>
      </c>
      <c r="H1310" s="22">
        <v>20.0</v>
      </c>
      <c r="I1310" s="23">
        <f>IFERROR(VLOOKUP(B1310,DADOS!$A$2:$H$252,4,0)*H1310,"")</f>
        <v>2.278672</v>
      </c>
      <c r="J1310" s="36"/>
      <c r="K1310" s="25">
        <f>IFERROR(VLOOKUP(B1310,DADOS!$A$2:$H$252,4,0)*J1310,"")</f>
        <v>0</v>
      </c>
      <c r="L1310" s="26">
        <f t="shared" si="23"/>
        <v>0</v>
      </c>
      <c r="M1310" s="27"/>
      <c r="N1310" s="30"/>
      <c r="O1310" s="28"/>
      <c r="P1310" s="28"/>
      <c r="Q1310" s="28"/>
      <c r="R1310" s="28"/>
      <c r="S1310" s="28"/>
    </row>
    <row r="1311">
      <c r="A1311" s="17">
        <v>45786.0</v>
      </c>
      <c r="B1311" s="18" t="s">
        <v>21</v>
      </c>
      <c r="C1311" s="18" t="s">
        <v>168</v>
      </c>
      <c r="D1311" s="19"/>
      <c r="E1311" s="19"/>
      <c r="F1311" s="20">
        <f t="shared" si="24"/>
        <v>0</v>
      </c>
      <c r="G1311" s="21">
        <f>IFERROR(VLOOKUP(B1311,DADOS!$A$2:$H$252,8,0),"")</f>
        <v>33</v>
      </c>
      <c r="H1311" s="22">
        <v>22.0</v>
      </c>
      <c r="I1311" s="23">
        <f>IFERROR(VLOOKUP(B1311,DADOS!$A$2:$H$252,4,0)*H1311,"")</f>
        <v>2.5065392</v>
      </c>
      <c r="J1311" s="36"/>
      <c r="K1311" s="25">
        <f>IFERROR(VLOOKUP(B1311,DADOS!$A$2:$H$252,4,0)*J1311,"")</f>
        <v>0</v>
      </c>
      <c r="L1311" s="26">
        <f t="shared" si="23"/>
        <v>0</v>
      </c>
      <c r="M1311" s="27"/>
      <c r="N1311" s="30"/>
      <c r="O1311" s="28"/>
      <c r="P1311" s="28"/>
      <c r="Q1311" s="28"/>
      <c r="R1311" s="28"/>
      <c r="S1311" s="28"/>
    </row>
    <row r="1312">
      <c r="A1312" s="17">
        <v>45786.0</v>
      </c>
      <c r="B1312" s="18" t="s">
        <v>150</v>
      </c>
      <c r="C1312" s="18" t="s">
        <v>168</v>
      </c>
      <c r="D1312" s="19">
        <v>0.6458333333333334</v>
      </c>
      <c r="E1312" s="19">
        <v>0.6770833333333334</v>
      </c>
      <c r="F1312" s="20">
        <f t="shared" si="24"/>
        <v>0.03125</v>
      </c>
      <c r="G1312" s="21">
        <f>IFERROR(VLOOKUP(B1312,DADOS!$A$2:$H$252,8,0),"")</f>
        <v>12</v>
      </c>
      <c r="H1312" s="22">
        <v>6.0</v>
      </c>
      <c r="I1312" s="23">
        <f>IFERROR(VLOOKUP(B1312,DADOS!$A$2:$H$252,4,0)*H1312,"")</f>
        <v>1.0296396</v>
      </c>
      <c r="J1312" s="24">
        <v>6.0</v>
      </c>
      <c r="K1312" s="25">
        <f>IFERROR(VLOOKUP(B1312,DADOS!$A$2:$H$252,4,0)*J1312,"")</f>
        <v>1.0296396</v>
      </c>
      <c r="L1312" s="26">
        <f t="shared" si="23"/>
        <v>0</v>
      </c>
      <c r="M1312" s="27"/>
      <c r="N1312" s="30"/>
      <c r="O1312" s="28"/>
      <c r="P1312" s="28"/>
      <c r="Q1312" s="28"/>
      <c r="R1312" s="28"/>
      <c r="S1312" s="28"/>
    </row>
    <row r="1313">
      <c r="A1313" s="17">
        <v>45789.0</v>
      </c>
      <c r="B1313" s="18" t="s">
        <v>105</v>
      </c>
      <c r="C1313" s="18" t="s">
        <v>168</v>
      </c>
      <c r="D1313" s="19"/>
      <c r="E1313" s="19"/>
      <c r="F1313" s="20">
        <f t="shared" si="24"/>
        <v>0</v>
      </c>
      <c r="G1313" s="21">
        <f>IFERROR(VLOOKUP(B1313,DADOS!$A$2:$H$252,8,0),"")</f>
        <v>18</v>
      </c>
      <c r="H1313" s="22">
        <v>8.0</v>
      </c>
      <c r="I1313" s="23">
        <f>IFERROR(VLOOKUP(B1313,DADOS!$A$2:$H$252,4,0)*H1313,"")</f>
        <v>0.6798352</v>
      </c>
      <c r="J1313" s="36"/>
      <c r="K1313" s="25">
        <f>IFERROR(VLOOKUP(B1313,DADOS!$A$2:$H$252,4,0)*J1313,"")</f>
        <v>0</v>
      </c>
      <c r="L1313" s="26">
        <f t="shared" si="23"/>
        <v>0</v>
      </c>
      <c r="M1313" s="27"/>
      <c r="N1313" s="30"/>
      <c r="O1313" s="28"/>
      <c r="P1313" s="28"/>
      <c r="Q1313" s="28"/>
      <c r="R1313" s="28"/>
      <c r="S1313" s="28"/>
    </row>
    <row r="1314">
      <c r="A1314" s="17">
        <v>45789.0</v>
      </c>
      <c r="B1314" s="18" t="s">
        <v>150</v>
      </c>
      <c r="C1314" s="18" t="s">
        <v>168</v>
      </c>
      <c r="D1314" s="19"/>
      <c r="E1314" s="19"/>
      <c r="F1314" s="20">
        <f t="shared" si="24"/>
        <v>0</v>
      </c>
      <c r="G1314" s="21">
        <f>IFERROR(VLOOKUP(B1314,DADOS!$A$2:$H$252,8,0),"")</f>
        <v>12</v>
      </c>
      <c r="H1314" s="22">
        <v>3.0</v>
      </c>
      <c r="I1314" s="23">
        <f>IFERROR(VLOOKUP(B1314,DADOS!$A$2:$H$252,4,0)*H1314,"")</f>
        <v>0.5148198</v>
      </c>
      <c r="J1314" s="36"/>
      <c r="K1314" s="25">
        <f>IFERROR(VLOOKUP(B1314,DADOS!$A$2:$H$252,4,0)*J1314,"")</f>
        <v>0</v>
      </c>
      <c r="L1314" s="26">
        <f t="shared" si="23"/>
        <v>0</v>
      </c>
      <c r="M1314" s="27"/>
      <c r="N1314" s="30"/>
      <c r="O1314" s="28"/>
      <c r="P1314" s="28"/>
      <c r="Q1314" s="28"/>
      <c r="R1314" s="28"/>
      <c r="S1314" s="28"/>
    </row>
    <row r="1315">
      <c r="A1315" s="17">
        <v>45789.0</v>
      </c>
      <c r="B1315" s="18" t="s">
        <v>34</v>
      </c>
      <c r="C1315" s="18" t="s">
        <v>168</v>
      </c>
      <c r="D1315" s="19"/>
      <c r="E1315" s="19"/>
      <c r="F1315" s="20">
        <f t="shared" si="24"/>
        <v>0</v>
      </c>
      <c r="G1315" s="21">
        <f>IFERROR(VLOOKUP(B1315,DADOS!$A$2:$H$252,8,0),"")</f>
        <v>12</v>
      </c>
      <c r="H1315" s="22">
        <v>55.0</v>
      </c>
      <c r="I1315" s="23">
        <f>IFERROR(VLOOKUP(B1315,DADOS!$A$2:$H$252,4,0)*H1315,"")</f>
        <v>21.76273</v>
      </c>
      <c r="J1315" s="36"/>
      <c r="K1315" s="25">
        <f>IFERROR(VLOOKUP(B1315,DADOS!$A$2:$H$252,4,0)*J1315,"")</f>
        <v>0</v>
      </c>
      <c r="L1315" s="26">
        <f t="shared" si="23"/>
        <v>0</v>
      </c>
      <c r="M1315" s="27"/>
      <c r="N1315" s="30"/>
      <c r="O1315" s="28"/>
      <c r="P1315" s="28"/>
      <c r="Q1315" s="28"/>
      <c r="R1315" s="28"/>
      <c r="S1315" s="28"/>
    </row>
    <row r="1316">
      <c r="A1316" s="17">
        <v>45789.0</v>
      </c>
      <c r="B1316" s="18" t="s">
        <v>115</v>
      </c>
      <c r="C1316" s="18" t="s">
        <v>19</v>
      </c>
      <c r="D1316" s="19"/>
      <c r="E1316" s="19"/>
      <c r="F1316" s="20">
        <f t="shared" si="24"/>
        <v>0</v>
      </c>
      <c r="G1316" s="21">
        <f>IFERROR(VLOOKUP(B1316,DADOS!$A$2:$H$252,8,0),"")</f>
        <v>12</v>
      </c>
      <c r="H1316" s="22">
        <v>12.0</v>
      </c>
      <c r="I1316" s="23">
        <f>IFERROR(VLOOKUP(B1316,DADOS!$A$2:$H$252,4,0)*H1316,"")</f>
        <v>3.515592</v>
      </c>
      <c r="J1316" s="36"/>
      <c r="K1316" s="25">
        <f>IFERROR(VLOOKUP(B1316,DADOS!$A$2:$H$252,4,0)*J1316,"")</f>
        <v>0</v>
      </c>
      <c r="L1316" s="26">
        <f t="shared" si="23"/>
        <v>0</v>
      </c>
      <c r="M1316" s="27"/>
      <c r="N1316" s="30"/>
      <c r="O1316" s="28"/>
      <c r="P1316" s="28"/>
      <c r="Q1316" s="28"/>
      <c r="R1316" s="28"/>
      <c r="S1316" s="28"/>
    </row>
    <row r="1317">
      <c r="A1317" s="17">
        <v>45789.0</v>
      </c>
      <c r="B1317" s="18" t="s">
        <v>150</v>
      </c>
      <c r="C1317" s="18" t="s">
        <v>19</v>
      </c>
      <c r="D1317" s="19"/>
      <c r="E1317" s="19"/>
      <c r="F1317" s="20">
        <f t="shared" si="24"/>
        <v>0</v>
      </c>
      <c r="G1317" s="21">
        <f>IFERROR(VLOOKUP(B1317,DADOS!$A$2:$H$252,8,0),"")</f>
        <v>12</v>
      </c>
      <c r="H1317" s="22">
        <v>5.0</v>
      </c>
      <c r="I1317" s="23">
        <f>IFERROR(VLOOKUP(B1317,DADOS!$A$2:$H$252,4,0)*H1317,"")</f>
        <v>0.858033</v>
      </c>
      <c r="J1317" s="24">
        <v>2.0</v>
      </c>
      <c r="K1317" s="25">
        <f>IFERROR(VLOOKUP(B1317,DADOS!$A$2:$H$252,4,0)*J1317,"")</f>
        <v>0.3432132</v>
      </c>
      <c r="L1317" s="26">
        <f t="shared" si="23"/>
        <v>0</v>
      </c>
      <c r="M1317" s="27"/>
      <c r="N1317" s="30"/>
      <c r="O1317" s="28"/>
      <c r="P1317" s="28"/>
      <c r="Q1317" s="28"/>
      <c r="R1317" s="28"/>
      <c r="S1317" s="28"/>
    </row>
    <row r="1318">
      <c r="A1318" s="17">
        <v>45789.0</v>
      </c>
      <c r="B1318" s="18" t="s">
        <v>105</v>
      </c>
      <c r="C1318" s="18" t="s">
        <v>19</v>
      </c>
      <c r="D1318" s="19"/>
      <c r="E1318" s="19"/>
      <c r="F1318" s="20">
        <f t="shared" si="24"/>
        <v>0</v>
      </c>
      <c r="G1318" s="21">
        <f>IFERROR(VLOOKUP(B1318,DADOS!$A$2:$H$252,8,0),"")</f>
        <v>18</v>
      </c>
      <c r="H1318" s="22">
        <v>4.0</v>
      </c>
      <c r="I1318" s="23">
        <f>IFERROR(VLOOKUP(B1318,DADOS!$A$2:$H$252,4,0)*H1318,"")</f>
        <v>0.3399176</v>
      </c>
      <c r="J1318" s="36"/>
      <c r="K1318" s="25">
        <f>IFERROR(VLOOKUP(B1318,DADOS!$A$2:$H$252,4,0)*J1318,"")</f>
        <v>0</v>
      </c>
      <c r="L1318" s="26">
        <f t="shared" si="23"/>
        <v>0</v>
      </c>
      <c r="M1318" s="27"/>
      <c r="N1318" s="30"/>
      <c r="O1318" s="28"/>
      <c r="P1318" s="28"/>
      <c r="Q1318" s="28"/>
      <c r="R1318" s="28"/>
      <c r="S1318" s="28"/>
    </row>
    <row r="1319">
      <c r="A1319" s="17">
        <v>45789.0</v>
      </c>
      <c r="B1319" s="18" t="s">
        <v>115</v>
      </c>
      <c r="C1319" s="18" t="s">
        <v>165</v>
      </c>
      <c r="D1319" s="19">
        <v>0.5833333333333334</v>
      </c>
      <c r="E1319" s="19">
        <v>0.7152777777777778</v>
      </c>
      <c r="F1319" s="20">
        <f t="shared" si="24"/>
        <v>0.1319444444</v>
      </c>
      <c r="G1319" s="21">
        <f>IFERROR(VLOOKUP(B1319,DADOS!$A$2:$H$252,8,0),"")</f>
        <v>12</v>
      </c>
      <c r="H1319" s="22">
        <v>15.0</v>
      </c>
      <c r="I1319" s="23">
        <f>IFERROR(VLOOKUP(B1319,DADOS!$A$2:$H$252,4,0)*H1319,"")</f>
        <v>4.39449</v>
      </c>
      <c r="J1319" s="24">
        <v>2.0</v>
      </c>
      <c r="K1319" s="25">
        <f>IFERROR(VLOOKUP(B1319,DADOS!$A$2:$H$252,4,0)*J1319,"")</f>
        <v>0.585932</v>
      </c>
      <c r="L1319" s="26">
        <f t="shared" si="23"/>
        <v>0</v>
      </c>
      <c r="M1319" s="27"/>
      <c r="N1319" s="30"/>
      <c r="O1319" s="28"/>
      <c r="P1319" s="28"/>
      <c r="Q1319" s="28"/>
      <c r="R1319" s="28"/>
      <c r="S1319" s="28"/>
    </row>
    <row r="1320">
      <c r="A1320" s="17">
        <v>45790.0</v>
      </c>
      <c r="B1320" s="18" t="s">
        <v>34</v>
      </c>
      <c r="C1320" s="18" t="s">
        <v>168</v>
      </c>
      <c r="D1320" s="19">
        <v>0.3368055555555556</v>
      </c>
      <c r="E1320" s="19">
        <v>0.4409722222222222</v>
      </c>
      <c r="F1320" s="20">
        <f t="shared" si="24"/>
        <v>0.1041666667</v>
      </c>
      <c r="G1320" s="21">
        <f>IFERROR(VLOOKUP(B1320,DADOS!$A$2:$H$252,8,0),"")</f>
        <v>12</v>
      </c>
      <c r="H1320" s="22">
        <v>19.0</v>
      </c>
      <c r="I1320" s="23">
        <f>IFERROR(VLOOKUP(B1320,DADOS!$A$2:$H$252,4,0)*H1320,"")</f>
        <v>7.518034</v>
      </c>
      <c r="J1320" s="36"/>
      <c r="K1320" s="25">
        <f>IFERROR(VLOOKUP(B1320,DADOS!$A$2:$H$252,4,0)*J1320,"")</f>
        <v>0</v>
      </c>
      <c r="L1320" s="26">
        <f t="shared" si="23"/>
        <v>0</v>
      </c>
      <c r="M1320" s="27"/>
      <c r="N1320" s="30"/>
      <c r="O1320" s="28"/>
      <c r="P1320" s="28"/>
      <c r="Q1320" s="28"/>
      <c r="R1320" s="28"/>
      <c r="S1320" s="28"/>
    </row>
    <row r="1321">
      <c r="A1321" s="17">
        <v>45790.0</v>
      </c>
      <c r="B1321" s="18" t="s">
        <v>150</v>
      </c>
      <c r="C1321" s="18" t="s">
        <v>168</v>
      </c>
      <c r="D1321" s="19">
        <v>0.4444444444444444</v>
      </c>
      <c r="E1321" s="19">
        <v>0.7152777777777778</v>
      </c>
      <c r="F1321" s="20">
        <f t="shared" si="24"/>
        <v>0.2708333333</v>
      </c>
      <c r="G1321" s="21">
        <f>IFERROR(VLOOKUP(B1321,DADOS!$A$2:$H$252,8,0),"")</f>
        <v>12</v>
      </c>
      <c r="H1321" s="22">
        <v>15.0</v>
      </c>
      <c r="I1321" s="23">
        <f>IFERROR(VLOOKUP(B1321,DADOS!$A$2:$H$252,4,0)*H1321,"")</f>
        <v>2.574099</v>
      </c>
      <c r="J1321" s="24">
        <v>8.0</v>
      </c>
      <c r="K1321" s="25">
        <f>IFERROR(VLOOKUP(B1321,DADOS!$A$2:$H$252,4,0)*J1321,"")</f>
        <v>1.3728528</v>
      </c>
      <c r="L1321" s="26">
        <f t="shared" si="23"/>
        <v>0</v>
      </c>
      <c r="M1321" s="27"/>
      <c r="N1321" s="30"/>
      <c r="O1321" s="28"/>
      <c r="P1321" s="28"/>
      <c r="Q1321" s="28"/>
      <c r="R1321" s="28"/>
      <c r="S1321" s="28"/>
    </row>
    <row r="1322">
      <c r="A1322" s="17">
        <v>45790.0</v>
      </c>
      <c r="B1322" s="18" t="s">
        <v>115</v>
      </c>
      <c r="C1322" s="18" t="s">
        <v>165</v>
      </c>
      <c r="D1322" s="19">
        <v>0.3402777777777778</v>
      </c>
      <c r="E1322" s="19">
        <v>0.4513888888888889</v>
      </c>
      <c r="F1322" s="20">
        <f t="shared" si="24"/>
        <v>0.1111111111</v>
      </c>
      <c r="G1322" s="21">
        <f>IFERROR(VLOOKUP(B1322,DADOS!$A$2:$H$252,8,0),"")</f>
        <v>12</v>
      </c>
      <c r="H1322" s="22">
        <v>13.0</v>
      </c>
      <c r="I1322" s="23"/>
      <c r="J1322" s="24">
        <v>1.0</v>
      </c>
      <c r="K1322" s="25">
        <f>IFERROR(VLOOKUP(B1322,DADOS!$A$2:$H$252,4,0)*J1322,"")</f>
        <v>0.292966</v>
      </c>
      <c r="L1322" s="26" t="str">
        <f t="shared" si="23"/>
        <v/>
      </c>
      <c r="M1322" s="27"/>
      <c r="N1322" s="30"/>
      <c r="O1322" s="28"/>
      <c r="P1322" s="28"/>
      <c r="Q1322" s="28"/>
      <c r="R1322" s="28"/>
      <c r="S1322" s="28"/>
    </row>
    <row r="1323">
      <c r="A1323" s="17">
        <v>45790.0</v>
      </c>
      <c r="B1323" s="18" t="s">
        <v>105</v>
      </c>
      <c r="C1323" s="18" t="s">
        <v>165</v>
      </c>
      <c r="D1323" s="19">
        <v>0.4756944444444444</v>
      </c>
      <c r="E1323" s="19">
        <v>0.7180555555555556</v>
      </c>
      <c r="F1323" s="20">
        <f t="shared" si="24"/>
        <v>0.2423611111</v>
      </c>
      <c r="G1323" s="21">
        <f>IFERROR(VLOOKUP(B1323,DADOS!$A$2:$H$252,8,0),"")</f>
        <v>18</v>
      </c>
      <c r="H1323" s="22" t="s">
        <v>181</v>
      </c>
      <c r="I1323" s="23" t="str">
        <f>IFERROR(VLOOKUP(B1323,DADOS!$A$2:$H$252,4,0)*H1323,"")</f>
        <v/>
      </c>
      <c r="J1323" s="24">
        <v>1.0</v>
      </c>
      <c r="K1323" s="25">
        <f>IFERROR(VLOOKUP(B1323,DADOS!$A$2:$H$252,4,0)*J1323,"")</f>
        <v>0.0849794</v>
      </c>
      <c r="L1323" s="26" t="str">
        <f t="shared" si="23"/>
        <v/>
      </c>
      <c r="M1323" s="27"/>
      <c r="N1323" s="30"/>
      <c r="O1323" s="28"/>
      <c r="P1323" s="28"/>
      <c r="Q1323" s="28"/>
      <c r="R1323" s="28"/>
      <c r="S1323" s="28"/>
    </row>
    <row r="1324">
      <c r="A1324" s="17">
        <v>45791.0</v>
      </c>
      <c r="B1324" s="18" t="s">
        <v>62</v>
      </c>
      <c r="C1324" s="18" t="s">
        <v>168</v>
      </c>
      <c r="D1324" s="19">
        <v>0.3194444444444444</v>
      </c>
      <c r="E1324" s="19">
        <v>0.71875</v>
      </c>
      <c r="F1324" s="20">
        <f t="shared" si="24"/>
        <v>0.3993055556</v>
      </c>
      <c r="G1324" s="21">
        <f>IFERROR(VLOOKUP(B1324,DADOS!$A$2:$H$252,8,0),"")</f>
        <v>14</v>
      </c>
      <c r="H1324" s="22">
        <v>103.0</v>
      </c>
      <c r="I1324" s="23">
        <f>IFERROR(VLOOKUP(B1324,DADOS!$A$2:$H$252,4,0)*H1324,"")</f>
        <v>8.7528782</v>
      </c>
      <c r="J1324" s="24">
        <v>1.0</v>
      </c>
      <c r="K1324" s="25">
        <f>IFERROR(VLOOKUP(B1324,DADOS!$A$2:$H$252,4,0)*J1324,"")</f>
        <v>0.0849794</v>
      </c>
      <c r="L1324" s="26">
        <f t="shared" si="23"/>
        <v>0</v>
      </c>
      <c r="M1324" s="27"/>
      <c r="N1324" s="30"/>
      <c r="O1324" s="28"/>
      <c r="P1324" s="28"/>
      <c r="Q1324" s="28"/>
      <c r="R1324" s="28"/>
      <c r="S1324" s="28"/>
    </row>
    <row r="1325">
      <c r="A1325" s="17">
        <v>45791.0</v>
      </c>
      <c r="B1325" s="18" t="s">
        <v>105</v>
      </c>
      <c r="C1325" s="18" t="s">
        <v>165</v>
      </c>
      <c r="D1325" s="19">
        <v>0.3194444444444444</v>
      </c>
      <c r="E1325" s="19">
        <v>0.5763888888888888</v>
      </c>
      <c r="F1325" s="20">
        <f t="shared" si="24"/>
        <v>0.2569444444</v>
      </c>
      <c r="G1325" s="21">
        <f>IFERROR(VLOOKUP(B1325,DADOS!$A$2:$H$252,8,0),"")</f>
        <v>18</v>
      </c>
      <c r="H1325" s="22">
        <v>44.0</v>
      </c>
      <c r="I1325" s="23">
        <f>IFERROR(VLOOKUP(B1325,DADOS!$A$2:$H$252,4,0)*H1325,"")</f>
        <v>3.7390936</v>
      </c>
      <c r="J1325" s="24">
        <v>1.0</v>
      </c>
      <c r="K1325" s="25">
        <f>IFERROR(VLOOKUP(B1325,DADOS!$A$2:$H$252,4,0)*J1325,"")</f>
        <v>0.0849794</v>
      </c>
      <c r="L1325" s="26">
        <f t="shared" si="23"/>
        <v>0</v>
      </c>
      <c r="M1325" s="27"/>
      <c r="N1325" s="30"/>
      <c r="O1325" s="28"/>
      <c r="P1325" s="28"/>
      <c r="Q1325" s="28"/>
      <c r="R1325" s="28"/>
      <c r="S1325" s="28"/>
    </row>
    <row r="1326">
      <c r="A1326" s="17">
        <v>45791.0</v>
      </c>
      <c r="B1326" s="18" t="s">
        <v>56</v>
      </c>
      <c r="C1326" s="18" t="s">
        <v>172</v>
      </c>
      <c r="D1326" s="19"/>
      <c r="E1326" s="19"/>
      <c r="F1326" s="20">
        <f t="shared" si="24"/>
        <v>0</v>
      </c>
      <c r="G1326" s="21">
        <f>IFERROR(VLOOKUP(B1326,DADOS!$A$2:$H$252,8,0),"")</f>
        <v>162</v>
      </c>
      <c r="H1326" s="22">
        <v>58.0</v>
      </c>
      <c r="I1326" s="23">
        <f>IFERROR(VLOOKUP(B1326,DADOS!$A$2:$H$252,4,0)*H1326,"")</f>
        <v>0.55854</v>
      </c>
      <c r="J1326" s="24">
        <v>2.0</v>
      </c>
      <c r="K1326" s="25">
        <f>IFERROR(VLOOKUP(B1326,DADOS!$A$2:$H$252,4,0)*J1326,"")</f>
        <v>0.01926</v>
      </c>
      <c r="L1326" s="26">
        <f t="shared" si="23"/>
        <v>0</v>
      </c>
      <c r="M1326" s="27"/>
      <c r="N1326" s="30"/>
      <c r="O1326" s="28"/>
      <c r="P1326" s="28"/>
      <c r="Q1326" s="28"/>
      <c r="R1326" s="28"/>
      <c r="S1326" s="28"/>
    </row>
    <row r="1327">
      <c r="A1327" s="17">
        <v>45792.0</v>
      </c>
      <c r="B1327" s="18" t="s">
        <v>62</v>
      </c>
      <c r="C1327" s="18" t="s">
        <v>168</v>
      </c>
      <c r="D1327" s="19">
        <v>0.3333333333333333</v>
      </c>
      <c r="E1327" s="19">
        <v>0.46805555555555556</v>
      </c>
      <c r="F1327" s="20">
        <f t="shared" si="24"/>
        <v>0.1347222222</v>
      </c>
      <c r="G1327" s="21">
        <f>IFERROR(VLOOKUP(B1327,DADOS!$A$2:$H$252,8,0),"")</f>
        <v>14</v>
      </c>
      <c r="H1327" s="22">
        <v>53.0</v>
      </c>
      <c r="I1327" s="23">
        <f>IFERROR(VLOOKUP(B1327,DADOS!$A$2:$H$252,4,0)*H1327,"")</f>
        <v>4.5039082</v>
      </c>
      <c r="J1327" s="36"/>
      <c r="K1327" s="25">
        <f>IFERROR(VLOOKUP(B1327,DADOS!$A$2:$H$252,4,0)*J1327,"")</f>
        <v>0</v>
      </c>
      <c r="L1327" s="26">
        <f t="shared" si="23"/>
        <v>0</v>
      </c>
      <c r="M1327" s="27"/>
      <c r="N1327" s="30"/>
      <c r="O1327" s="28"/>
      <c r="P1327" s="28"/>
      <c r="Q1327" s="28"/>
      <c r="R1327" s="28"/>
      <c r="S1327" s="28"/>
    </row>
    <row r="1328">
      <c r="A1328" s="17">
        <v>45792.0</v>
      </c>
      <c r="B1328" s="18" t="s">
        <v>178</v>
      </c>
      <c r="C1328" s="18" t="s">
        <v>168</v>
      </c>
      <c r="D1328" s="19">
        <v>0.5451388888888888</v>
      </c>
      <c r="E1328" s="19">
        <v>0.6215277777777778</v>
      </c>
      <c r="F1328" s="20">
        <f t="shared" si="24"/>
        <v>0.07638888889</v>
      </c>
      <c r="G1328" s="21">
        <f>IFERROR(VLOOKUP(B1328,DADOS!$A$2:$H$252,8,0),"")</f>
        <v>35</v>
      </c>
      <c r="H1328" s="22">
        <v>41.0</v>
      </c>
      <c r="I1328" s="23">
        <f>IFERROR(VLOOKUP(B1328,DADOS!$A$2:$H$252,4,0)*H1328,"")</f>
        <v>8.68626</v>
      </c>
      <c r="J1328" s="36"/>
      <c r="K1328" s="25">
        <f>IFERROR(VLOOKUP(B1328,DADOS!$A$2:$H$252,4,0)*J1328,"")</f>
        <v>0</v>
      </c>
      <c r="L1328" s="26">
        <f t="shared" si="23"/>
        <v>0</v>
      </c>
      <c r="M1328" s="27"/>
      <c r="N1328" s="30"/>
      <c r="O1328" s="28"/>
      <c r="P1328" s="28"/>
      <c r="Q1328" s="28"/>
      <c r="R1328" s="28"/>
      <c r="S1328" s="28"/>
    </row>
    <row r="1329">
      <c r="A1329" s="17">
        <v>45792.0</v>
      </c>
      <c r="B1329" s="18" t="s">
        <v>18</v>
      </c>
      <c r="C1329" s="18" t="s">
        <v>168</v>
      </c>
      <c r="D1329" s="29">
        <v>0.6298611111111111</v>
      </c>
      <c r="E1329" s="19">
        <v>0.7173611111111111</v>
      </c>
      <c r="F1329" s="20">
        <f t="shared" si="24"/>
        <v>0.0875</v>
      </c>
      <c r="G1329" s="21">
        <f>IFERROR(VLOOKUP(B1329,DADOS!$A$2:$H$252,8,0),"")</f>
        <v>21</v>
      </c>
      <c r="H1329" s="22">
        <v>14.0</v>
      </c>
      <c r="I1329" s="23">
        <f>IFERROR(VLOOKUP(B1329,DADOS!$A$2:$H$252,4,0)*H1329,"")</f>
        <v>4.101524</v>
      </c>
      <c r="J1329" s="36"/>
      <c r="K1329" s="25">
        <f>IFERROR(VLOOKUP(B1329,DADOS!$A$2:$H$252,4,0)*J1329,"")</f>
        <v>0</v>
      </c>
      <c r="L1329" s="26">
        <f t="shared" si="23"/>
        <v>0</v>
      </c>
      <c r="M1329" s="27"/>
      <c r="N1329" s="30"/>
      <c r="O1329" s="28"/>
      <c r="P1329" s="28"/>
      <c r="Q1329" s="28"/>
      <c r="R1329" s="28"/>
      <c r="S1329" s="28"/>
    </row>
    <row r="1330">
      <c r="A1330" s="17">
        <v>45793.0</v>
      </c>
      <c r="B1330" s="18" t="s">
        <v>56</v>
      </c>
      <c r="C1330" s="18" t="s">
        <v>165</v>
      </c>
      <c r="D1330" s="19">
        <v>0.3645833333333333</v>
      </c>
      <c r="E1330" s="19">
        <v>0.4326388888888889</v>
      </c>
      <c r="F1330" s="20">
        <f t="shared" si="24"/>
        <v>0.06805555556</v>
      </c>
      <c r="G1330" s="21">
        <f>IFERROR(VLOOKUP(B1330,DADOS!$A$2:$H$252,8,0),"")</f>
        <v>162</v>
      </c>
      <c r="H1330" s="22">
        <v>134.0</v>
      </c>
      <c r="I1330" s="66">
        <v>2.0</v>
      </c>
      <c r="J1330" s="24">
        <v>2.0</v>
      </c>
      <c r="K1330" s="25">
        <f>IFERROR(VLOOKUP(B1330,DADOS!$A$2:$H$252,4,0)*J1330,"")</f>
        <v>0.01926</v>
      </c>
      <c r="L1330" s="26">
        <f t="shared" si="23"/>
        <v>0</v>
      </c>
      <c r="M1330" s="27"/>
      <c r="N1330" s="30"/>
      <c r="O1330" s="28"/>
      <c r="P1330" s="28"/>
      <c r="Q1330" s="28"/>
      <c r="R1330" s="28"/>
      <c r="S1330" s="28"/>
    </row>
    <row r="1331">
      <c r="A1331" s="17">
        <v>45793.0</v>
      </c>
      <c r="B1331" s="18" t="s">
        <v>76</v>
      </c>
      <c r="C1331" s="18" t="s">
        <v>165</v>
      </c>
      <c r="D1331" s="19">
        <v>0.4583333333333333</v>
      </c>
      <c r="E1331" s="19">
        <v>0.6736111111111112</v>
      </c>
      <c r="F1331" s="20">
        <f t="shared" si="24"/>
        <v>0.2152777778</v>
      </c>
      <c r="G1331" s="21">
        <f>IFERROR(VLOOKUP(B1331,DADOS!$A$2:$H$252,8,0),"")</f>
        <v>120</v>
      </c>
      <c r="H1331" s="22">
        <v>257.0</v>
      </c>
      <c r="I1331" s="23">
        <f>IFERROR(VLOOKUP(B1331,DADOS!$A$2:$H$252,4,0)*H1331,"")</f>
        <v>0.6682257</v>
      </c>
      <c r="J1331" s="24">
        <v>9.0</v>
      </c>
      <c r="K1331" s="25">
        <f>IFERROR(VLOOKUP(B1331,DADOS!$A$2:$H$252,4,0)*J1331,"")</f>
        <v>0.0234009</v>
      </c>
      <c r="L1331" s="26">
        <f t="shared" si="23"/>
        <v>0</v>
      </c>
      <c r="M1331" s="27"/>
      <c r="N1331" s="30"/>
      <c r="O1331" s="28"/>
      <c r="P1331" s="28"/>
      <c r="Q1331" s="28"/>
      <c r="R1331" s="28"/>
      <c r="S1331" s="28"/>
    </row>
    <row r="1332">
      <c r="A1332" s="17">
        <v>45796.0</v>
      </c>
      <c r="B1332" s="18" t="s">
        <v>18</v>
      </c>
      <c r="C1332" s="18" t="s">
        <v>168</v>
      </c>
      <c r="D1332" s="29">
        <v>0.31666666666666665</v>
      </c>
      <c r="E1332" s="19">
        <v>0.7083333333333334</v>
      </c>
      <c r="F1332" s="20">
        <f t="shared" si="24"/>
        <v>0.3916666667</v>
      </c>
      <c r="G1332" s="21">
        <f>IFERROR(VLOOKUP(B1332,DADOS!$A$2:$H$252,8,0),"")</f>
        <v>21</v>
      </c>
      <c r="H1332" s="22">
        <v>106.0</v>
      </c>
      <c r="I1332" s="23">
        <f>IFERROR(VLOOKUP(B1332,DADOS!$A$2:$H$252,4,0)*H1332,"")</f>
        <v>31.054396</v>
      </c>
      <c r="J1332" s="36"/>
      <c r="K1332" s="25">
        <f>IFERROR(VLOOKUP(B1332,DADOS!$A$2:$H$252,4,0)*J1332,"")</f>
        <v>0</v>
      </c>
      <c r="L1332" s="26">
        <f t="shared" si="23"/>
        <v>0</v>
      </c>
      <c r="M1332" s="27"/>
      <c r="N1332" s="30"/>
      <c r="O1332" s="28"/>
      <c r="P1332" s="28"/>
      <c r="Q1332" s="28"/>
      <c r="R1332" s="28"/>
      <c r="S1332" s="28"/>
    </row>
    <row r="1333">
      <c r="A1333" s="17">
        <v>45796.0</v>
      </c>
      <c r="B1333" s="18" t="s">
        <v>101</v>
      </c>
      <c r="C1333" s="18" t="s">
        <v>19</v>
      </c>
      <c r="D1333" s="19"/>
      <c r="E1333" s="19"/>
      <c r="F1333" s="20">
        <f t="shared" si="24"/>
        <v>0</v>
      </c>
      <c r="G1333" s="21" t="str">
        <f>IFERROR(VLOOKUP(B1333,DADOS!$A$2:$H$252,8,0),"")</f>
        <v/>
      </c>
      <c r="H1333" s="22">
        <v>23.0</v>
      </c>
      <c r="I1333" s="23">
        <f>IFERROR(VLOOKUP(B1333,DADOS!$A$2:$H$252,4,0)*H1333,"")</f>
        <v>3.6599992</v>
      </c>
      <c r="J1333" s="24">
        <v>3.0</v>
      </c>
      <c r="K1333" s="25">
        <f>IFERROR(VLOOKUP(B1333,DADOS!$A$2:$H$252,4,0)*J1333,"")</f>
        <v>0.4773912</v>
      </c>
      <c r="L1333" s="26">
        <f t="shared" si="23"/>
        <v>0</v>
      </c>
      <c r="M1333" s="27"/>
      <c r="N1333" s="30"/>
      <c r="O1333" s="28"/>
      <c r="P1333" s="28"/>
      <c r="Q1333" s="28"/>
      <c r="R1333" s="28"/>
      <c r="S1333" s="28"/>
    </row>
    <row r="1334">
      <c r="A1334" s="17">
        <v>45796.0</v>
      </c>
      <c r="B1334" s="18" t="s">
        <v>119</v>
      </c>
      <c r="C1334" s="18" t="s">
        <v>19</v>
      </c>
      <c r="D1334" s="19"/>
      <c r="E1334" s="19"/>
      <c r="F1334" s="20">
        <f t="shared" si="24"/>
        <v>0</v>
      </c>
      <c r="G1334" s="21">
        <f>IFERROR(VLOOKUP(B1334,DADOS!$A$2:$H$252,8,0),"")</f>
        <v>25</v>
      </c>
      <c r="H1334" s="22">
        <v>6.0</v>
      </c>
      <c r="I1334" s="23">
        <f>IFERROR(VLOOKUP(B1334,DADOS!$A$2:$H$252,4,0)*H1334,"")</f>
        <v>0.7811856</v>
      </c>
      <c r="J1334" s="36"/>
      <c r="K1334" s="25">
        <f>IFERROR(VLOOKUP(B1334,DADOS!$A$2:$H$252,4,0)*J1334,"")</f>
        <v>0</v>
      </c>
      <c r="L1334" s="26">
        <f t="shared" si="23"/>
        <v>0</v>
      </c>
      <c r="M1334" s="27"/>
      <c r="N1334" s="30"/>
      <c r="O1334" s="28"/>
      <c r="P1334" s="28"/>
      <c r="Q1334" s="28"/>
      <c r="R1334" s="28"/>
      <c r="S1334" s="28"/>
    </row>
    <row r="1335">
      <c r="A1335" s="17">
        <v>45796.0</v>
      </c>
      <c r="B1335" s="18" t="s">
        <v>182</v>
      </c>
      <c r="C1335" s="18" t="s">
        <v>19</v>
      </c>
      <c r="D1335" s="19"/>
      <c r="E1335" s="19"/>
      <c r="F1335" s="20">
        <f t="shared" si="24"/>
        <v>0</v>
      </c>
      <c r="G1335" s="21">
        <f>IFERROR(VLOOKUP(B1335,DADOS!$A$2:$H$252,8,0),"")</f>
        <v>120</v>
      </c>
      <c r="H1335" s="22">
        <v>18.0</v>
      </c>
      <c r="I1335" s="23">
        <f>IFERROR(VLOOKUP(B1335,DADOS!$A$2:$H$252,4,0)*H1335,"")</f>
        <v>5.858892</v>
      </c>
      <c r="J1335" s="24">
        <v>3.0</v>
      </c>
      <c r="K1335" s="25">
        <f>IFERROR(VLOOKUP(B1335,DADOS!$A$2:$H$252,4,0)*J1335,"")</f>
        <v>0.976482</v>
      </c>
      <c r="L1335" s="26">
        <f t="shared" si="23"/>
        <v>0</v>
      </c>
      <c r="M1335" s="27"/>
      <c r="N1335" s="30"/>
      <c r="O1335" s="28"/>
      <c r="P1335" s="28"/>
      <c r="Q1335" s="28"/>
      <c r="R1335" s="28"/>
      <c r="S1335" s="28"/>
    </row>
    <row r="1336">
      <c r="A1336" s="17">
        <v>45796.0</v>
      </c>
      <c r="B1336" s="18" t="s">
        <v>22</v>
      </c>
      <c r="C1336" s="18" t="s">
        <v>19</v>
      </c>
      <c r="D1336" s="19"/>
      <c r="E1336" s="19"/>
      <c r="F1336" s="20">
        <f t="shared" si="24"/>
        <v>0</v>
      </c>
      <c r="G1336" s="21">
        <f>IFERROR(VLOOKUP(B1336,DADOS!$A$2:$H$252,8,0),"")</f>
        <v>15</v>
      </c>
      <c r="H1336" s="22">
        <v>10.0</v>
      </c>
      <c r="I1336" s="23">
        <f>IFERROR(VLOOKUP(B1336,DADOS!$A$2:$H$252,4,0)*H1336,"")</f>
        <v>6.122754</v>
      </c>
      <c r="J1336" s="36"/>
      <c r="K1336" s="25">
        <f>IFERROR(VLOOKUP(B1336,DADOS!$A$2:$H$252,4,0)*J1336,"")</f>
        <v>0</v>
      </c>
      <c r="L1336" s="26">
        <f t="shared" si="23"/>
        <v>0</v>
      </c>
      <c r="M1336" s="27"/>
      <c r="N1336" s="30"/>
      <c r="O1336" s="28"/>
      <c r="P1336" s="28"/>
      <c r="Q1336" s="28"/>
      <c r="R1336" s="28"/>
      <c r="S1336" s="28"/>
    </row>
    <row r="1337">
      <c r="A1337" s="17">
        <v>45796.0</v>
      </c>
      <c r="B1337" s="18" t="s">
        <v>76</v>
      </c>
      <c r="C1337" s="18" t="s">
        <v>165</v>
      </c>
      <c r="D1337" s="19">
        <v>0.3194444444444444</v>
      </c>
      <c r="E1337" s="19">
        <v>0.4444444444444444</v>
      </c>
      <c r="F1337" s="20">
        <f t="shared" si="24"/>
        <v>0.125</v>
      </c>
      <c r="G1337" s="21">
        <f>IFERROR(VLOOKUP(B1337,DADOS!$A$2:$H$252,8,0),"")</f>
        <v>120</v>
      </c>
      <c r="H1337" s="22">
        <v>192.0</v>
      </c>
      <c r="I1337" s="23">
        <f>IFERROR(VLOOKUP(B1337,DADOS!$A$2:$H$252,4,0)*H1337,"")</f>
        <v>0.4992192</v>
      </c>
      <c r="J1337" s="36"/>
      <c r="K1337" s="25">
        <f>IFERROR(VLOOKUP(B1337,DADOS!$A$2:$H$252,4,0)*J1337,"")</f>
        <v>0</v>
      </c>
      <c r="L1337" s="26">
        <f t="shared" si="23"/>
        <v>0</v>
      </c>
      <c r="M1337" s="27"/>
      <c r="N1337" s="30"/>
      <c r="O1337" s="28"/>
      <c r="P1337" s="28"/>
      <c r="Q1337" s="28"/>
      <c r="R1337" s="28"/>
      <c r="S1337" s="28"/>
    </row>
    <row r="1338">
      <c r="A1338" s="17">
        <v>45797.0</v>
      </c>
      <c r="B1338" s="18" t="s">
        <v>18</v>
      </c>
      <c r="C1338" s="18" t="s">
        <v>168</v>
      </c>
      <c r="D1338" s="19">
        <v>0.3159722222222222</v>
      </c>
      <c r="E1338" s="19">
        <v>0.4340277777777778</v>
      </c>
      <c r="F1338" s="20">
        <f t="shared" si="24"/>
        <v>0.1180555556</v>
      </c>
      <c r="G1338" s="21">
        <f>IFERROR(VLOOKUP(B1338,DADOS!$A$2:$H$252,8,0),"")</f>
        <v>21</v>
      </c>
      <c r="H1338" s="22">
        <v>37.0</v>
      </c>
      <c r="I1338" s="23">
        <f>IFERROR(VLOOKUP(B1338,DADOS!$A$2:$H$252,4,0)*H1338,"")</f>
        <v>10.839742</v>
      </c>
      <c r="J1338" s="36"/>
      <c r="K1338" s="25">
        <f>IFERROR(VLOOKUP(B1338,DADOS!$A$2:$H$252,4,0)*J1338,"")</f>
        <v>0</v>
      </c>
      <c r="L1338" s="26">
        <f t="shared" si="23"/>
        <v>0</v>
      </c>
      <c r="M1338" s="27"/>
      <c r="N1338" s="30"/>
      <c r="O1338" s="28"/>
      <c r="P1338" s="28"/>
      <c r="Q1338" s="28"/>
      <c r="R1338" s="28"/>
      <c r="S1338" s="28"/>
    </row>
    <row r="1339">
      <c r="A1339" s="17">
        <v>45797.0</v>
      </c>
      <c r="B1339" s="18" t="s">
        <v>182</v>
      </c>
      <c r="C1339" s="18" t="s">
        <v>168</v>
      </c>
      <c r="D1339" s="19">
        <v>0.4375</v>
      </c>
      <c r="E1339" s="19">
        <v>0.5868055555555556</v>
      </c>
      <c r="F1339" s="20">
        <f t="shared" si="24"/>
        <v>0.1493055556</v>
      </c>
      <c r="G1339" s="21">
        <f>IFERROR(VLOOKUP(B1339,DADOS!$A$2:$H$252,8,0),"")</f>
        <v>120</v>
      </c>
      <c r="H1339" s="22">
        <v>23.0</v>
      </c>
      <c r="I1339" s="23">
        <f>IFERROR(VLOOKUP(B1339,DADOS!$A$2:$H$252,4,0)*H1339,"")</f>
        <v>7.486362</v>
      </c>
      <c r="J1339" s="36"/>
      <c r="K1339" s="25">
        <f>IFERROR(VLOOKUP(B1339,DADOS!$A$2:$H$252,4,0)*J1339,"")</f>
        <v>0</v>
      </c>
      <c r="L1339" s="26">
        <f t="shared" si="23"/>
        <v>0</v>
      </c>
      <c r="M1339" s="27"/>
      <c r="N1339" s="30"/>
      <c r="O1339" s="28"/>
      <c r="P1339" s="28"/>
      <c r="Q1339" s="28"/>
      <c r="R1339" s="28"/>
      <c r="S1339" s="28"/>
    </row>
    <row r="1340">
      <c r="A1340" s="17">
        <v>45797.0</v>
      </c>
      <c r="B1340" s="18" t="s">
        <v>18</v>
      </c>
      <c r="C1340" s="18" t="s">
        <v>168</v>
      </c>
      <c r="D1340" s="19">
        <v>0.5902777777777778</v>
      </c>
      <c r="E1340" s="19">
        <v>0.7152777777777778</v>
      </c>
      <c r="F1340" s="20">
        <f t="shared" si="24"/>
        <v>0.125</v>
      </c>
      <c r="G1340" s="21">
        <f>IFERROR(VLOOKUP(B1340,DADOS!$A$2:$H$252,8,0),"")</f>
        <v>21</v>
      </c>
      <c r="H1340" s="22">
        <v>43.0</v>
      </c>
      <c r="I1340" s="23">
        <f>IFERROR(VLOOKUP(B1340,DADOS!$A$2:$H$252,4,0)*H1340,"")</f>
        <v>12.597538</v>
      </c>
      <c r="J1340" s="36"/>
      <c r="K1340" s="25">
        <f>IFERROR(VLOOKUP(B1340,DADOS!$A$2:$H$252,4,0)*J1340,"")</f>
        <v>0</v>
      </c>
      <c r="L1340" s="26">
        <f t="shared" si="23"/>
        <v>0</v>
      </c>
      <c r="M1340" s="27"/>
      <c r="N1340" s="30"/>
      <c r="O1340" s="28"/>
      <c r="P1340" s="28"/>
      <c r="Q1340" s="28"/>
      <c r="R1340" s="28"/>
      <c r="S1340" s="28"/>
    </row>
    <row r="1341">
      <c r="A1341" s="17">
        <v>45797.0</v>
      </c>
      <c r="B1341" s="18" t="s">
        <v>22</v>
      </c>
      <c r="C1341" s="18" t="s">
        <v>19</v>
      </c>
      <c r="D1341" s="19">
        <v>0.3159722222222222</v>
      </c>
      <c r="E1341" s="19">
        <v>0.4270833333333333</v>
      </c>
      <c r="F1341" s="20">
        <f t="shared" si="24"/>
        <v>0.1111111111</v>
      </c>
      <c r="G1341" s="21">
        <f>IFERROR(VLOOKUP(B1341,DADOS!$A$2:$H$252,8,0),"")</f>
        <v>15</v>
      </c>
      <c r="H1341" s="22">
        <v>40.0</v>
      </c>
      <c r="I1341" s="23">
        <f>IFERROR(VLOOKUP(B1341,DADOS!$A$2:$H$252,4,0)*H1341,"")</f>
        <v>24.491016</v>
      </c>
      <c r="J1341" s="36"/>
      <c r="K1341" s="25">
        <f>IFERROR(VLOOKUP(B1341,DADOS!$A$2:$H$252,4,0)*J1341,"")</f>
        <v>0</v>
      </c>
      <c r="L1341" s="26">
        <f t="shared" si="23"/>
        <v>0</v>
      </c>
      <c r="M1341" s="27"/>
      <c r="N1341" s="30"/>
      <c r="O1341" s="28"/>
      <c r="P1341" s="28"/>
      <c r="Q1341" s="28"/>
      <c r="R1341" s="28"/>
      <c r="S1341" s="28"/>
    </row>
    <row r="1342">
      <c r="A1342" s="17">
        <v>45798.0</v>
      </c>
      <c r="B1342" s="18" t="s">
        <v>18</v>
      </c>
      <c r="C1342" s="18" t="s">
        <v>168</v>
      </c>
      <c r="D1342" s="19">
        <v>0.31666666666666665</v>
      </c>
      <c r="E1342" s="19">
        <v>0.3680555555555556</v>
      </c>
      <c r="F1342" s="20">
        <f t="shared" si="24"/>
        <v>0.05138888889</v>
      </c>
      <c r="G1342" s="21">
        <f>IFERROR(VLOOKUP(B1342,DADOS!$A$2:$H$252,8,0),"")</f>
        <v>21</v>
      </c>
      <c r="H1342" s="22">
        <v>1.0</v>
      </c>
      <c r="I1342" s="23">
        <f>IFERROR(VLOOKUP(B1342,DADOS!$A$2:$H$252,4,0)*H1342,"")</f>
        <v>0.292966</v>
      </c>
      <c r="J1342" s="36"/>
      <c r="K1342" s="25">
        <f>IFERROR(VLOOKUP(B1342,DADOS!$A$2:$H$252,4,0)*J1342,"")</f>
        <v>0</v>
      </c>
      <c r="L1342" s="26">
        <f t="shared" si="23"/>
        <v>0</v>
      </c>
      <c r="M1342" s="27"/>
      <c r="N1342" s="30"/>
      <c r="O1342" s="28"/>
      <c r="P1342" s="28"/>
      <c r="Q1342" s="28"/>
      <c r="R1342" s="28"/>
      <c r="S1342" s="28"/>
    </row>
    <row r="1343">
      <c r="A1343" s="17">
        <v>45798.0</v>
      </c>
      <c r="B1343" s="18" t="s">
        <v>34</v>
      </c>
      <c r="C1343" s="18" t="s">
        <v>168</v>
      </c>
      <c r="D1343" s="19">
        <v>0.375</v>
      </c>
      <c r="E1343" s="19">
        <v>0.4965277777777778</v>
      </c>
      <c r="F1343" s="20">
        <f t="shared" si="24"/>
        <v>0.1215277778</v>
      </c>
      <c r="G1343" s="21">
        <f>IFERROR(VLOOKUP(B1343,DADOS!$A$2:$H$252,8,0),"")</f>
        <v>12</v>
      </c>
      <c r="H1343" s="22">
        <v>30.0</v>
      </c>
      <c r="I1343" s="23">
        <f>IFERROR(VLOOKUP(B1343,DADOS!$A$2:$H$252,4,0)*H1343,"")</f>
        <v>11.87058</v>
      </c>
      <c r="J1343" s="36"/>
      <c r="K1343" s="25">
        <f>IFERROR(VLOOKUP(B1343,DADOS!$A$2:$H$252,4,0)*J1343,"")</f>
        <v>0</v>
      </c>
      <c r="L1343" s="26">
        <f t="shared" si="23"/>
        <v>0</v>
      </c>
      <c r="M1343" s="27"/>
      <c r="N1343" s="30"/>
      <c r="O1343" s="28"/>
      <c r="P1343" s="28"/>
      <c r="Q1343" s="28"/>
      <c r="R1343" s="28"/>
      <c r="S1343" s="28"/>
    </row>
    <row r="1344">
      <c r="A1344" s="17">
        <v>45798.0</v>
      </c>
      <c r="B1344" s="18" t="s">
        <v>18</v>
      </c>
      <c r="C1344" s="18" t="s">
        <v>168</v>
      </c>
      <c r="D1344" s="19">
        <v>0.5465277777777777</v>
      </c>
      <c r="E1344" s="19">
        <v>0.6215277777777778</v>
      </c>
      <c r="F1344" s="20">
        <f t="shared" si="24"/>
        <v>0.075</v>
      </c>
      <c r="G1344" s="21">
        <f>IFERROR(VLOOKUP(B1344,DADOS!$A$2:$H$252,8,0),"")</f>
        <v>21</v>
      </c>
      <c r="H1344" s="22">
        <v>36.0</v>
      </c>
      <c r="I1344" s="23">
        <f>IFERROR(VLOOKUP(B1344,DADOS!$A$2:$H$252,4,0)*H1344,"")</f>
        <v>10.546776</v>
      </c>
      <c r="J1344" s="36"/>
      <c r="K1344" s="25">
        <f>IFERROR(VLOOKUP(B1344,DADOS!$A$2:$H$252,4,0)*J1344,"")</f>
        <v>0</v>
      </c>
      <c r="L1344" s="26">
        <f t="shared" si="23"/>
        <v>0</v>
      </c>
      <c r="M1344" s="27"/>
      <c r="N1344" s="30"/>
      <c r="O1344" s="28"/>
      <c r="P1344" s="28"/>
      <c r="Q1344" s="28"/>
      <c r="R1344" s="28"/>
      <c r="S1344" s="28"/>
    </row>
    <row r="1345">
      <c r="A1345" s="17">
        <v>45798.0</v>
      </c>
      <c r="B1345" s="18" t="s">
        <v>34</v>
      </c>
      <c r="C1345" s="18" t="s">
        <v>168</v>
      </c>
      <c r="D1345" s="19">
        <v>0.6423611111111112</v>
      </c>
      <c r="E1345" s="19">
        <v>0.6805555555555556</v>
      </c>
      <c r="F1345" s="20">
        <f t="shared" si="24"/>
        <v>0.03819444444</v>
      </c>
      <c r="G1345" s="21">
        <f>IFERROR(VLOOKUP(B1345,DADOS!$A$2:$H$252,8,0),"")</f>
        <v>12</v>
      </c>
      <c r="H1345" s="22">
        <v>20.0</v>
      </c>
      <c r="I1345" s="23">
        <f>IFERROR(VLOOKUP(B1345,DADOS!$A$2:$H$252,4,0)*H1345,"")</f>
        <v>7.91372</v>
      </c>
      <c r="J1345" s="36"/>
      <c r="K1345" s="25">
        <f>IFERROR(VLOOKUP(B1345,DADOS!$A$2:$H$252,4,0)*J1345,"")</f>
        <v>0</v>
      </c>
      <c r="L1345" s="26">
        <f t="shared" si="23"/>
        <v>0</v>
      </c>
      <c r="M1345" s="27"/>
      <c r="N1345" s="30"/>
      <c r="O1345" s="28"/>
      <c r="P1345" s="28"/>
      <c r="Q1345" s="28"/>
      <c r="R1345" s="28"/>
      <c r="S1345" s="28"/>
    </row>
    <row r="1346">
      <c r="A1346" s="17">
        <v>45798.0</v>
      </c>
      <c r="B1346" s="18" t="s">
        <v>66</v>
      </c>
      <c r="C1346" s="18" t="s">
        <v>168</v>
      </c>
      <c r="D1346" s="19">
        <v>0.6875</v>
      </c>
      <c r="E1346" s="19">
        <v>0.7201388888888889</v>
      </c>
      <c r="F1346" s="20">
        <f t="shared" si="24"/>
        <v>0.03263888889</v>
      </c>
      <c r="G1346" s="21" t="str">
        <f>IFERROR(VLOOKUP(B1346,DADOS!$A$2:$H$252,8,0),"")</f>
        <v/>
      </c>
      <c r="H1346" s="22">
        <v>2.0</v>
      </c>
      <c r="I1346" s="23">
        <f>IFERROR(VLOOKUP(B1346,DADOS!$A$2:$H$252,4,0)*H1346,"")</f>
        <v>0.2675</v>
      </c>
      <c r="J1346" s="24">
        <v>1.0</v>
      </c>
      <c r="K1346" s="25">
        <f>IFERROR(VLOOKUP(B1346,DADOS!$A$2:$H$252,4,0)*J1346,"")</f>
        <v>0.13375</v>
      </c>
      <c r="L1346" s="26">
        <f t="shared" si="23"/>
        <v>0</v>
      </c>
      <c r="M1346" s="27"/>
      <c r="N1346" s="30"/>
      <c r="O1346" s="28"/>
      <c r="P1346" s="28"/>
      <c r="Q1346" s="28"/>
      <c r="R1346" s="28"/>
      <c r="S1346" s="28"/>
    </row>
    <row r="1347">
      <c r="A1347" s="17">
        <v>45799.0</v>
      </c>
      <c r="B1347" s="18" t="s">
        <v>66</v>
      </c>
      <c r="C1347" s="18" t="s">
        <v>168</v>
      </c>
      <c r="D1347" s="19"/>
      <c r="E1347" s="19"/>
      <c r="F1347" s="20">
        <f t="shared" si="24"/>
        <v>0</v>
      </c>
      <c r="G1347" s="21" t="str">
        <f>IFERROR(VLOOKUP(B1347,DADOS!$A$2:$H$252,8,0),"")</f>
        <v/>
      </c>
      <c r="H1347" s="22">
        <v>27.0</v>
      </c>
      <c r="I1347" s="23">
        <f>IFERROR(VLOOKUP(B1347,DADOS!$A$2:$H$252,4,0)*H1347,"")</f>
        <v>3.61125</v>
      </c>
      <c r="J1347" s="36"/>
      <c r="K1347" s="25">
        <f>IFERROR(VLOOKUP(B1347,DADOS!$A$2:$H$252,4,0)*J1347,"")</f>
        <v>0</v>
      </c>
      <c r="L1347" s="26">
        <f t="shared" si="23"/>
        <v>0</v>
      </c>
      <c r="M1347" s="27"/>
      <c r="N1347" s="30"/>
      <c r="O1347" s="28"/>
      <c r="P1347" s="28"/>
      <c r="Q1347" s="28"/>
      <c r="R1347" s="28"/>
      <c r="S1347" s="28"/>
    </row>
    <row r="1348">
      <c r="A1348" s="17">
        <v>45799.0</v>
      </c>
      <c r="B1348" s="18" t="s">
        <v>72</v>
      </c>
      <c r="C1348" s="18" t="s">
        <v>172</v>
      </c>
      <c r="D1348" s="19">
        <v>0.6388888888888888</v>
      </c>
      <c r="E1348" s="19">
        <v>0.71875</v>
      </c>
      <c r="F1348" s="20">
        <f t="shared" si="24"/>
        <v>0.07986111111</v>
      </c>
      <c r="G1348" s="21">
        <f>IFERROR(VLOOKUP(B1348,DADOS!$A$2:$H$252,8,0),"")</f>
        <v>43</v>
      </c>
      <c r="H1348" s="22">
        <v>81.0</v>
      </c>
      <c r="I1348" s="23">
        <f>IFERROR(VLOOKUP(B1348,DADOS!$A$2:$H$252,4,0)*H1348,"")</f>
        <v>1.38672</v>
      </c>
      <c r="J1348" s="24">
        <v>1.0</v>
      </c>
      <c r="K1348" s="25">
        <f>IFERROR(VLOOKUP(B1348,DADOS!$A$2:$H$252,4,0)*J1348,"")</f>
        <v>0.01712</v>
      </c>
      <c r="L1348" s="26">
        <f t="shared" si="23"/>
        <v>0</v>
      </c>
      <c r="M1348" s="27"/>
      <c r="N1348" s="30"/>
      <c r="O1348" s="28"/>
      <c r="P1348" s="28"/>
      <c r="Q1348" s="28"/>
      <c r="R1348" s="28"/>
      <c r="S1348" s="28"/>
    </row>
    <row r="1349">
      <c r="A1349" s="17">
        <v>45800.0</v>
      </c>
      <c r="B1349" s="18" t="s">
        <v>73</v>
      </c>
      <c r="C1349" s="18" t="s">
        <v>19</v>
      </c>
      <c r="D1349" s="19"/>
      <c r="E1349" s="19"/>
      <c r="F1349" s="20">
        <f t="shared" si="24"/>
        <v>0</v>
      </c>
      <c r="G1349" s="21">
        <f>IFERROR(VLOOKUP(B1349,DADOS!$A$2:$H$252,8,0),"")</f>
        <v>37</v>
      </c>
      <c r="H1349" s="22">
        <v>13.0</v>
      </c>
      <c r="I1349" s="23">
        <f>IFERROR(VLOOKUP(B1349,DADOS!$A$2:$H$252,4,0)*H1349,"")</f>
        <v>1.004302</v>
      </c>
      <c r="J1349" s="24">
        <v>2.0</v>
      </c>
      <c r="K1349" s="25">
        <f>IFERROR(VLOOKUP(B1349,DADOS!$A$2:$H$252,4,0)*J1349,"")</f>
        <v>0.154508</v>
      </c>
      <c r="L1349" s="26">
        <f t="shared" si="23"/>
        <v>0</v>
      </c>
      <c r="M1349" s="27"/>
      <c r="N1349" s="30"/>
      <c r="O1349" s="28"/>
      <c r="P1349" s="28"/>
      <c r="Q1349" s="28"/>
      <c r="R1349" s="28"/>
      <c r="S1349" s="28"/>
    </row>
    <row r="1350">
      <c r="A1350" s="17">
        <v>45800.0</v>
      </c>
      <c r="B1350" s="18" t="s">
        <v>66</v>
      </c>
      <c r="C1350" s="18" t="s">
        <v>19</v>
      </c>
      <c r="D1350" s="19"/>
      <c r="E1350" s="19"/>
      <c r="F1350" s="20">
        <f t="shared" si="24"/>
        <v>0</v>
      </c>
      <c r="G1350" s="21" t="str">
        <f>IFERROR(VLOOKUP(B1350,DADOS!$A$2:$H$252,8,0),"")</f>
        <v/>
      </c>
      <c r="H1350" s="22">
        <v>20.0</v>
      </c>
      <c r="I1350" s="23">
        <f>IFERROR(VLOOKUP(B1350,DADOS!$A$2:$H$252,4,0)*H1350,"")</f>
        <v>2.675</v>
      </c>
      <c r="J1350" s="24">
        <v>1.0</v>
      </c>
      <c r="K1350" s="25">
        <f>IFERROR(VLOOKUP(B1350,DADOS!$A$2:$H$252,4,0)*J1350,"")</f>
        <v>0.13375</v>
      </c>
      <c r="L1350" s="26">
        <f t="shared" si="23"/>
        <v>0</v>
      </c>
      <c r="M1350" s="27"/>
      <c r="N1350" s="30"/>
      <c r="O1350" s="28"/>
      <c r="P1350" s="28"/>
      <c r="Q1350" s="28"/>
      <c r="R1350" s="28"/>
      <c r="S1350" s="28"/>
    </row>
    <row r="1351">
      <c r="A1351" s="17">
        <v>45800.0</v>
      </c>
      <c r="B1351" s="18" t="s">
        <v>73</v>
      </c>
      <c r="C1351" s="18" t="s">
        <v>165</v>
      </c>
      <c r="D1351" s="19">
        <v>0.4166666666666667</v>
      </c>
      <c r="E1351" s="19">
        <v>0.625</v>
      </c>
      <c r="F1351" s="20">
        <f t="shared" si="24"/>
        <v>0.2083333333</v>
      </c>
      <c r="G1351" s="21">
        <f>IFERROR(VLOOKUP(B1351,DADOS!$A$2:$H$252,8,0),"")</f>
        <v>37</v>
      </c>
      <c r="H1351" s="22">
        <v>44.0</v>
      </c>
      <c r="I1351" s="23">
        <f>IFERROR(VLOOKUP(B1351,DADOS!$A$2:$H$252,4,0)*H1351,"")</f>
        <v>3.399176</v>
      </c>
      <c r="J1351" s="24">
        <v>2.0</v>
      </c>
      <c r="K1351" s="25">
        <f>IFERROR(VLOOKUP(B1351,DADOS!$A$2:$H$252,4,0)*J1351,"")</f>
        <v>0.154508</v>
      </c>
      <c r="L1351" s="26">
        <f t="shared" si="23"/>
        <v>0</v>
      </c>
      <c r="M1351" s="27"/>
      <c r="N1351" s="30"/>
      <c r="O1351" s="28"/>
      <c r="P1351" s="28"/>
      <c r="Q1351" s="28"/>
      <c r="R1351" s="28"/>
      <c r="S1351" s="28"/>
    </row>
    <row r="1352">
      <c r="A1352" s="17">
        <v>45800.0</v>
      </c>
      <c r="B1352" s="18" t="s">
        <v>72</v>
      </c>
      <c r="C1352" s="18" t="s">
        <v>172</v>
      </c>
      <c r="D1352" s="19">
        <v>0.3194444444444444</v>
      </c>
      <c r="E1352" s="19">
        <v>0.6458333333333334</v>
      </c>
      <c r="F1352" s="20">
        <f t="shared" si="24"/>
        <v>0.3263888889</v>
      </c>
      <c r="G1352" s="21">
        <f>IFERROR(VLOOKUP(B1352,DADOS!$A$2:$H$252,8,0),"")</f>
        <v>43</v>
      </c>
      <c r="H1352" s="22">
        <v>210.0</v>
      </c>
      <c r="I1352" s="23">
        <f>IFERROR(VLOOKUP(B1352,DADOS!$A$2:$H$252,4,0)*H1352,"")</f>
        <v>3.5952</v>
      </c>
      <c r="J1352" s="36"/>
      <c r="K1352" s="25">
        <f>IFERROR(VLOOKUP(B1352,DADOS!$A$2:$H$252,4,0)*J1352,"")</f>
        <v>0</v>
      </c>
      <c r="L1352" s="26">
        <f t="shared" si="23"/>
        <v>0</v>
      </c>
      <c r="M1352" s="27"/>
      <c r="N1352" s="30"/>
      <c r="O1352" s="28"/>
      <c r="P1352" s="28"/>
      <c r="Q1352" s="28"/>
      <c r="R1352" s="28"/>
      <c r="S1352" s="28"/>
    </row>
    <row r="1353">
      <c r="A1353" s="17">
        <v>45803.0</v>
      </c>
      <c r="B1353" s="18" t="s">
        <v>72</v>
      </c>
      <c r="C1353" s="18" t="s">
        <v>165</v>
      </c>
      <c r="D1353" s="19">
        <v>0.3298611111111111</v>
      </c>
      <c r="E1353" s="19">
        <v>0.4097222222222222</v>
      </c>
      <c r="F1353" s="20">
        <f t="shared" si="24"/>
        <v>0.07986111111</v>
      </c>
      <c r="G1353" s="21">
        <f>IFERROR(VLOOKUP(B1353,DADOS!$A$2:$H$252,8,0),"")</f>
        <v>43</v>
      </c>
      <c r="H1353" s="22">
        <v>33.0</v>
      </c>
      <c r="I1353" s="23">
        <f>IFERROR(VLOOKUP(B1353,DADOS!$A$2:$H$252,4,0)*H1353,"")</f>
        <v>0.56496</v>
      </c>
      <c r="J1353" s="36"/>
      <c r="K1353" s="25">
        <f>IFERROR(VLOOKUP(B1353,DADOS!$A$2:$H$252,4,0)*J1353,"")</f>
        <v>0</v>
      </c>
      <c r="L1353" s="26">
        <f t="shared" si="23"/>
        <v>0</v>
      </c>
      <c r="M1353" s="27"/>
      <c r="N1353" s="30"/>
      <c r="O1353" s="28"/>
      <c r="P1353" s="28"/>
      <c r="Q1353" s="28"/>
      <c r="R1353" s="28"/>
      <c r="S1353" s="28"/>
    </row>
    <row r="1354">
      <c r="A1354" s="17">
        <v>45803.0</v>
      </c>
      <c r="B1354" s="18" t="s">
        <v>66</v>
      </c>
      <c r="C1354" s="18" t="s">
        <v>165</v>
      </c>
      <c r="D1354" s="19">
        <v>0.4166666666666667</v>
      </c>
      <c r="E1354" s="19">
        <v>0.7083333333333334</v>
      </c>
      <c r="F1354" s="20">
        <f t="shared" si="24"/>
        <v>0.2916666667</v>
      </c>
      <c r="G1354" s="21" t="str">
        <f>IFERROR(VLOOKUP(B1354,DADOS!$A$2:$H$252,8,0),"")</f>
        <v/>
      </c>
      <c r="H1354" s="22">
        <v>56.0</v>
      </c>
      <c r="I1354" s="23">
        <f>IFERROR(VLOOKUP(B1354,DADOS!$A$2:$H$252,4,0)*H1354,"")</f>
        <v>7.49</v>
      </c>
      <c r="J1354" s="24">
        <v>3.0</v>
      </c>
      <c r="K1354" s="25">
        <f>IFERROR(VLOOKUP(B1354,DADOS!$A$2:$H$252,4,0)*J1354,"")</f>
        <v>0.40125</v>
      </c>
      <c r="L1354" s="26">
        <f t="shared" si="23"/>
        <v>0</v>
      </c>
      <c r="M1354" s="27"/>
      <c r="N1354" s="30"/>
      <c r="O1354" s="28"/>
      <c r="P1354" s="28"/>
      <c r="Q1354" s="28"/>
      <c r="R1354" s="28"/>
      <c r="S1354" s="28"/>
    </row>
    <row r="1355">
      <c r="A1355" s="17">
        <v>45804.0</v>
      </c>
      <c r="B1355" s="18" t="s">
        <v>66</v>
      </c>
      <c r="C1355" s="18" t="s">
        <v>165</v>
      </c>
      <c r="D1355" s="19">
        <v>0.3402777777777778</v>
      </c>
      <c r="E1355" s="19">
        <v>0.5756944444444444</v>
      </c>
      <c r="F1355" s="20">
        <f t="shared" si="24"/>
        <v>0.2354166667</v>
      </c>
      <c r="G1355" s="21" t="str">
        <f>IFERROR(VLOOKUP(B1355,DADOS!$A$2:$H$252,8,0),"")</f>
        <v/>
      </c>
      <c r="H1355" s="22">
        <v>38.0</v>
      </c>
      <c r="I1355" s="23">
        <f>IFERROR(VLOOKUP(B1355,DADOS!$A$2:$H$252,4,0)*H1355,"")</f>
        <v>5.0825</v>
      </c>
      <c r="J1355" s="24">
        <v>1.0</v>
      </c>
      <c r="K1355" s="25">
        <f>IFERROR(VLOOKUP(B1355,DADOS!$A$2:$H$252,4,0)*J1355,"")</f>
        <v>0.13375</v>
      </c>
      <c r="L1355" s="26">
        <f t="shared" si="23"/>
        <v>0</v>
      </c>
      <c r="M1355" s="27"/>
      <c r="N1355" s="30"/>
      <c r="O1355" s="28"/>
      <c r="P1355" s="28"/>
      <c r="Q1355" s="28"/>
      <c r="R1355" s="28"/>
      <c r="S1355" s="28"/>
    </row>
    <row r="1356">
      <c r="A1356" s="17">
        <v>45804.0</v>
      </c>
      <c r="B1356" s="18" t="s">
        <v>53</v>
      </c>
      <c r="C1356" s="18" t="s">
        <v>165</v>
      </c>
      <c r="D1356" s="19">
        <v>0.5902777777777778</v>
      </c>
      <c r="E1356" s="19">
        <v>0.6458333333333334</v>
      </c>
      <c r="F1356" s="20">
        <f t="shared" si="24"/>
        <v>0.05555555556</v>
      </c>
      <c r="G1356" s="21">
        <f>IFERROR(VLOOKUP(B1356,DADOS!$A$2:$H$252,8,0),"")</f>
        <v>120</v>
      </c>
      <c r="H1356" s="22">
        <v>60.0</v>
      </c>
      <c r="I1356" s="23">
        <f>IFERROR(VLOOKUP(B1356,DADOS!$A$2:$H$252,4,0)*H1356,"")</f>
        <v>0.5778</v>
      </c>
      <c r="J1356" s="24">
        <v>2.0</v>
      </c>
      <c r="K1356" s="25">
        <f>IFERROR(VLOOKUP(B1356,DADOS!$A$2:$H$252,4,0)*J1356,"")</f>
        <v>0.01926</v>
      </c>
      <c r="L1356" s="26">
        <f t="shared" si="23"/>
        <v>0</v>
      </c>
      <c r="M1356" s="27"/>
      <c r="N1356" s="30"/>
      <c r="O1356" s="28"/>
      <c r="P1356" s="28"/>
      <c r="Q1356" s="28"/>
      <c r="R1356" s="28"/>
      <c r="S1356" s="28"/>
    </row>
    <row r="1357">
      <c r="A1357" s="17">
        <v>45805.0</v>
      </c>
      <c r="B1357" s="18" t="s">
        <v>171</v>
      </c>
      <c r="C1357" s="18" t="s">
        <v>19</v>
      </c>
      <c r="D1357" s="19"/>
      <c r="E1357" s="19"/>
      <c r="F1357" s="20">
        <f t="shared" si="24"/>
        <v>0</v>
      </c>
      <c r="G1357" s="21">
        <f>IFERROR(VLOOKUP(B1357,DADOS!$A$2:$H$252,8,0),"")</f>
        <v>75</v>
      </c>
      <c r="H1357" s="22">
        <v>150.0</v>
      </c>
      <c r="I1357" s="23">
        <f>IFERROR(VLOOKUP(B1357,DADOS!$A$2:$H$252,4,0)*H1357,"")</f>
        <v>23.112</v>
      </c>
      <c r="J1357" s="24">
        <v>9.0</v>
      </c>
      <c r="K1357" s="25">
        <f>IFERROR(VLOOKUP(B1357,DADOS!$A$2:$H$252,4,0)*J1357,"")</f>
        <v>1.38672</v>
      </c>
      <c r="L1357" s="26">
        <f t="shared" si="23"/>
        <v>0</v>
      </c>
      <c r="M1357" s="27"/>
      <c r="N1357" s="30"/>
      <c r="O1357" s="28"/>
      <c r="P1357" s="28"/>
      <c r="Q1357" s="28"/>
      <c r="R1357" s="28"/>
      <c r="S1357" s="28"/>
    </row>
    <row r="1358">
      <c r="A1358" s="17">
        <v>45805.0</v>
      </c>
      <c r="B1358" s="18" t="s">
        <v>25</v>
      </c>
      <c r="C1358" s="18" t="s">
        <v>165</v>
      </c>
      <c r="D1358" s="19">
        <v>0.3263888888888889</v>
      </c>
      <c r="E1358" s="19">
        <v>0.7152777777777778</v>
      </c>
      <c r="F1358" s="20">
        <f t="shared" si="24"/>
        <v>0.3888888889</v>
      </c>
      <c r="G1358" s="21">
        <f>IFERROR(VLOOKUP(B1358,DADOS!$A$2:$H$252,8,0),"")</f>
        <v>40</v>
      </c>
      <c r="H1358" s="22">
        <v>153.0</v>
      </c>
      <c r="I1358" s="23">
        <f>IFERROR(VLOOKUP(B1358,DADOS!$A$2:$H$252,4,0)*H1358,"")</f>
        <v>15.847128</v>
      </c>
      <c r="J1358" s="36"/>
      <c r="K1358" s="25">
        <f>IFERROR(VLOOKUP(B1358,DADOS!$A$2:$H$252,4,0)*J1358,"")</f>
        <v>0</v>
      </c>
      <c r="L1358" s="26">
        <f t="shared" si="23"/>
        <v>0</v>
      </c>
      <c r="M1358" s="27"/>
      <c r="N1358" s="30"/>
      <c r="O1358" s="28"/>
      <c r="P1358" s="28"/>
      <c r="Q1358" s="28"/>
      <c r="R1358" s="28"/>
      <c r="S1358" s="28"/>
    </row>
    <row r="1359">
      <c r="A1359" s="17">
        <v>45806.0</v>
      </c>
      <c r="B1359" s="18" t="s">
        <v>25</v>
      </c>
      <c r="C1359" s="18" t="s">
        <v>165</v>
      </c>
      <c r="D1359" s="19">
        <v>0.3402777777777778</v>
      </c>
      <c r="E1359" s="19">
        <v>0.4444444444444444</v>
      </c>
      <c r="F1359" s="20">
        <f t="shared" si="24"/>
        <v>0.1041666667</v>
      </c>
      <c r="G1359" s="21">
        <f>IFERROR(VLOOKUP(B1359,DADOS!$A$2:$H$252,8,0),"")</f>
        <v>40</v>
      </c>
      <c r="H1359" s="22">
        <v>45.0</v>
      </c>
      <c r="I1359" s="23">
        <f>IFERROR(VLOOKUP(B1359,DADOS!$A$2:$H$252,4,0)*H1359,"")</f>
        <v>4.66092</v>
      </c>
      <c r="J1359" s="36"/>
      <c r="K1359" s="25">
        <f>IFERROR(VLOOKUP(B1359,DADOS!$A$2:$H$252,4,0)*J1359,"")</f>
        <v>0</v>
      </c>
      <c r="L1359" s="26">
        <f t="shared" si="23"/>
        <v>0</v>
      </c>
      <c r="M1359" s="27"/>
      <c r="N1359" s="30"/>
      <c r="O1359" s="28"/>
      <c r="P1359" s="28"/>
      <c r="Q1359" s="28"/>
      <c r="R1359" s="28"/>
      <c r="S1359" s="28"/>
    </row>
    <row r="1360">
      <c r="A1360" s="17">
        <v>45806.0</v>
      </c>
      <c r="B1360" s="18" t="s">
        <v>18</v>
      </c>
      <c r="C1360" s="18" t="s">
        <v>165</v>
      </c>
      <c r="D1360" s="19">
        <v>0.5659722222222222</v>
      </c>
      <c r="E1360" s="19">
        <v>0.7152777777777778</v>
      </c>
      <c r="F1360" s="20">
        <f t="shared" si="24"/>
        <v>0.1493055556</v>
      </c>
      <c r="G1360" s="21">
        <f>IFERROR(VLOOKUP(B1360,DADOS!$A$2:$H$252,8,0),"")</f>
        <v>21</v>
      </c>
      <c r="H1360" s="22">
        <v>33.0</v>
      </c>
      <c r="I1360" s="23">
        <f>IFERROR(VLOOKUP(B1360,DADOS!$A$2:$H$252,4,0)*H1360,"")</f>
        <v>9.667878</v>
      </c>
      <c r="J1360" s="24">
        <v>2.0</v>
      </c>
      <c r="K1360" s="25">
        <f>IFERROR(VLOOKUP(B1360,DADOS!$A$2:$H$252,4,0)*J1360,"")</f>
        <v>0.585932</v>
      </c>
      <c r="L1360" s="26">
        <f t="shared" si="23"/>
        <v>0</v>
      </c>
      <c r="M1360" s="27"/>
      <c r="N1360" s="30"/>
      <c r="O1360" s="28"/>
      <c r="P1360" s="28"/>
      <c r="Q1360" s="28"/>
      <c r="R1360" s="28"/>
      <c r="S1360" s="28"/>
    </row>
    <row r="1361">
      <c r="A1361" s="17">
        <v>45807.0</v>
      </c>
      <c r="B1361" s="18" t="s">
        <v>183</v>
      </c>
      <c r="C1361" s="18" t="s">
        <v>19</v>
      </c>
      <c r="D1361" s="19"/>
      <c r="E1361" s="19"/>
      <c r="F1361" s="20">
        <f t="shared" si="24"/>
        <v>0</v>
      </c>
      <c r="G1361" s="21">
        <f>IFERROR(VLOOKUP(B1361,DADOS!$A$2:$H$252,8,0),"")</f>
        <v>40</v>
      </c>
      <c r="H1361" s="22">
        <v>15.0</v>
      </c>
      <c r="I1361" s="23">
        <f>IFERROR(VLOOKUP(B1361,DADOS!$A$2:$H$252,4,0)*H1361,"")</f>
        <v>2.218752</v>
      </c>
      <c r="J1361" s="36"/>
      <c r="K1361" s="25">
        <f>IFERROR(VLOOKUP(B1361,DADOS!$A$2:$H$252,4,0)*J1361,"")</f>
        <v>0</v>
      </c>
      <c r="L1361" s="26">
        <f t="shared" si="23"/>
        <v>0</v>
      </c>
      <c r="M1361" s="27"/>
      <c r="N1361" s="30"/>
      <c r="O1361" s="28"/>
      <c r="P1361" s="28"/>
      <c r="Q1361" s="28"/>
      <c r="R1361" s="28"/>
      <c r="S1361" s="28"/>
    </row>
    <row r="1362">
      <c r="A1362" s="17">
        <v>45807.0</v>
      </c>
      <c r="B1362" s="18" t="s">
        <v>184</v>
      </c>
      <c r="C1362" s="18" t="s">
        <v>19</v>
      </c>
      <c r="D1362" s="19"/>
      <c r="E1362" s="19"/>
      <c r="F1362" s="20">
        <f t="shared" si="24"/>
        <v>0</v>
      </c>
      <c r="G1362" s="21">
        <f>IFERROR(VLOOKUP(B1362,DADOS!$A$2:$H$252,8,0),"")</f>
        <v>40</v>
      </c>
      <c r="H1362" s="22">
        <v>5.0</v>
      </c>
      <c r="I1362" s="23">
        <f>IFERROR(VLOOKUP(B1362,DADOS!$A$2:$H$252,4,0)*H1362,"")</f>
        <v>0.739584</v>
      </c>
      <c r="J1362" s="36"/>
      <c r="K1362" s="25">
        <f>IFERROR(VLOOKUP(B1362,DADOS!$A$2:$H$252,4,0)*J1362,"")</f>
        <v>0</v>
      </c>
      <c r="L1362" s="26">
        <f t="shared" si="23"/>
        <v>0</v>
      </c>
      <c r="M1362" s="27"/>
      <c r="N1362" s="30"/>
      <c r="O1362" s="28"/>
      <c r="P1362" s="28"/>
      <c r="Q1362" s="28"/>
      <c r="R1362" s="28"/>
      <c r="S1362" s="28"/>
    </row>
    <row r="1363">
      <c r="A1363" s="17">
        <v>45807.0</v>
      </c>
      <c r="B1363" s="18" t="s">
        <v>18</v>
      </c>
      <c r="C1363" s="18" t="s">
        <v>165</v>
      </c>
      <c r="D1363" s="19">
        <v>0.3194444444444444</v>
      </c>
      <c r="E1363" s="19">
        <v>0.4652777777777778</v>
      </c>
      <c r="F1363" s="20">
        <f t="shared" si="24"/>
        <v>0.1458333333</v>
      </c>
      <c r="G1363" s="21">
        <f>IFERROR(VLOOKUP(B1363,DADOS!$A$2:$H$252,8,0),"")</f>
        <v>21</v>
      </c>
      <c r="H1363" s="22">
        <v>35.0</v>
      </c>
      <c r="I1363" s="23">
        <f>IFERROR(VLOOKUP(B1363,DADOS!$A$2:$H$252,4,0)*H1363,"")</f>
        <v>10.25381</v>
      </c>
      <c r="J1363" s="36"/>
      <c r="K1363" s="25">
        <f>IFERROR(VLOOKUP(B1363,DADOS!$A$2:$H$252,4,0)*J1363,"")</f>
        <v>0</v>
      </c>
      <c r="L1363" s="26">
        <f t="shared" si="23"/>
        <v>0</v>
      </c>
      <c r="M1363" s="27"/>
      <c r="N1363" s="30"/>
      <c r="O1363" s="28"/>
      <c r="P1363" s="28"/>
      <c r="Q1363" s="28"/>
      <c r="R1363" s="28"/>
      <c r="S1363" s="28"/>
    </row>
    <row r="1364">
      <c r="A1364" s="17">
        <v>45810.0</v>
      </c>
      <c r="B1364" s="18" t="s">
        <v>183</v>
      </c>
      <c r="C1364" s="18" t="s">
        <v>165</v>
      </c>
      <c r="D1364" s="19"/>
      <c r="E1364" s="19"/>
      <c r="F1364" s="20">
        <f t="shared" si="24"/>
        <v>0</v>
      </c>
      <c r="G1364" s="21">
        <f>IFERROR(VLOOKUP(B1364,DADOS!$A$2:$H$252,8,0),"")</f>
        <v>40</v>
      </c>
      <c r="H1364" s="22">
        <v>54.0</v>
      </c>
      <c r="I1364" s="23">
        <f>IFERROR(VLOOKUP(B1364,DADOS!$A$2:$H$252,4,0)*H1364,"")</f>
        <v>7.9875072</v>
      </c>
      <c r="J1364" s="36"/>
      <c r="K1364" s="25">
        <f>IFERROR(VLOOKUP(B1364,DADOS!$A$2:$H$252,4,0)*J1364,"")</f>
        <v>0</v>
      </c>
      <c r="L1364" s="26">
        <f t="shared" si="23"/>
        <v>0</v>
      </c>
      <c r="M1364" s="27"/>
      <c r="N1364" s="30"/>
      <c r="O1364" s="28"/>
      <c r="P1364" s="28"/>
      <c r="Q1364" s="28"/>
      <c r="R1364" s="28"/>
      <c r="S1364" s="28"/>
    </row>
    <row r="1365">
      <c r="A1365" s="17">
        <v>45810.0</v>
      </c>
      <c r="B1365" s="18" t="s">
        <v>184</v>
      </c>
      <c r="C1365" s="18" t="s">
        <v>165</v>
      </c>
      <c r="D1365" s="19"/>
      <c r="E1365" s="19"/>
      <c r="F1365" s="20">
        <f t="shared" si="24"/>
        <v>0</v>
      </c>
      <c r="G1365" s="21">
        <f>IFERROR(VLOOKUP(B1365,DADOS!$A$2:$H$252,8,0),"")</f>
        <v>40</v>
      </c>
      <c r="H1365" s="22">
        <v>54.0</v>
      </c>
      <c r="I1365" s="23">
        <f>IFERROR(VLOOKUP(B1365,DADOS!$A$2:$H$252,4,0)*H1365,"")</f>
        <v>7.9875072</v>
      </c>
      <c r="J1365" s="24">
        <v>1.0</v>
      </c>
      <c r="K1365" s="25">
        <f>IFERROR(VLOOKUP(B1365,DADOS!$A$2:$H$252,4,0)*J1365,"")</f>
        <v>0.1479168</v>
      </c>
      <c r="L1365" s="26">
        <f t="shared" si="23"/>
        <v>0</v>
      </c>
      <c r="M1365" s="30" t="s">
        <v>83</v>
      </c>
      <c r="N1365" s="30" t="s">
        <v>88</v>
      </c>
      <c r="O1365" s="28"/>
      <c r="P1365" s="28"/>
      <c r="Q1365" s="28"/>
      <c r="R1365" s="28"/>
      <c r="S1365" s="28"/>
    </row>
    <row r="1366">
      <c r="A1366" s="17">
        <v>45811.0</v>
      </c>
      <c r="B1366" s="18" t="s">
        <v>37</v>
      </c>
      <c r="C1366" s="18" t="s">
        <v>165</v>
      </c>
      <c r="D1366" s="19"/>
      <c r="E1366" s="19"/>
      <c r="F1366" s="20">
        <f t="shared" si="24"/>
        <v>0</v>
      </c>
      <c r="G1366" s="21" t="str">
        <f>IFERROR(VLOOKUP(B1366,DADOS!$A$2:$H$252,8,0),"")</f>
        <v/>
      </c>
      <c r="H1366" s="22">
        <v>170.0</v>
      </c>
      <c r="I1366" s="23" t="str">
        <f>IFERROR(VLOOKUP(B1366,DADOS!$A$2:$H$252,4,0)*H1366,"")</f>
        <v/>
      </c>
      <c r="J1366" s="36"/>
      <c r="K1366" s="25" t="str">
        <f>IFERROR(VLOOKUP(B1366,DADOS!$A$2:$H$252,4,0)*J1366,"")</f>
        <v/>
      </c>
      <c r="L1366" s="26" t="str">
        <f t="shared" si="23"/>
        <v/>
      </c>
      <c r="M1366" s="27"/>
      <c r="N1366" s="30"/>
      <c r="O1366" s="28"/>
      <c r="P1366" s="28"/>
      <c r="Q1366" s="28"/>
      <c r="R1366" s="28"/>
      <c r="S1366" s="28"/>
    </row>
    <row r="1367">
      <c r="A1367" s="43">
        <v>45811.0</v>
      </c>
      <c r="B1367" s="44" t="s">
        <v>72</v>
      </c>
      <c r="C1367" s="44"/>
      <c r="D1367" s="45"/>
      <c r="E1367" s="45"/>
      <c r="F1367" s="20">
        <f t="shared" si="24"/>
        <v>0</v>
      </c>
      <c r="G1367" s="46">
        <f>IFERROR(VLOOKUP(B1367,DADOS!$A$2:$H$252,8,0),"")</f>
        <v>43</v>
      </c>
      <c r="H1367" s="47"/>
      <c r="I1367" s="48">
        <f>IFERROR(VLOOKUP(B1367,DADOS!$A$2:$H$252,4,0)*H1367,"")</f>
        <v>0</v>
      </c>
      <c r="J1367" s="46">
        <v>3.0</v>
      </c>
      <c r="K1367" s="49">
        <f>IFERROR(VLOOKUP(B1367,DADOS!$A$2:$H$252,4,0)*J1367,"")</f>
        <v>0.05136</v>
      </c>
      <c r="L1367" s="26" t="str">
        <f t="shared" si="23"/>
        <v/>
      </c>
      <c r="M1367" s="33" t="s">
        <v>83</v>
      </c>
      <c r="N1367" s="33" t="s">
        <v>88</v>
      </c>
      <c r="O1367" s="28"/>
      <c r="P1367" s="28"/>
      <c r="Q1367" s="28"/>
      <c r="R1367" s="28"/>
      <c r="S1367" s="28"/>
    </row>
    <row r="1368">
      <c r="A1368" s="43">
        <v>45811.0</v>
      </c>
      <c r="B1368" s="44" t="s">
        <v>55</v>
      </c>
      <c r="C1368" s="44"/>
      <c r="D1368" s="45"/>
      <c r="E1368" s="45"/>
      <c r="F1368" s="20">
        <f t="shared" si="24"/>
        <v>0</v>
      </c>
      <c r="G1368" s="46">
        <f>IFERROR(VLOOKUP(B1368,DADOS!$A$2:$H$252,8,0),"")</f>
        <v>60</v>
      </c>
      <c r="H1368" s="47"/>
      <c r="I1368" s="48">
        <f>IFERROR(VLOOKUP(B1368,DADOS!$A$2:$H$252,4,0)*H1368,"")</f>
        <v>0</v>
      </c>
      <c r="J1368" s="46">
        <v>3.0</v>
      </c>
      <c r="K1368" s="49">
        <f>IFERROR(VLOOKUP(B1368,DADOS!$A$2:$H$252,4,0)*J1368,"")</f>
        <v>0.05136</v>
      </c>
      <c r="L1368" s="26" t="str">
        <f t="shared" si="23"/>
        <v/>
      </c>
      <c r="M1368" s="33" t="s">
        <v>39</v>
      </c>
      <c r="N1368" s="33" t="s">
        <v>163</v>
      </c>
      <c r="O1368" s="63"/>
      <c r="P1368" s="63"/>
      <c r="Q1368" s="63"/>
      <c r="R1368" s="63"/>
      <c r="S1368" s="63"/>
      <c r="T1368" s="64"/>
      <c r="U1368" s="64"/>
      <c r="V1368" s="64"/>
      <c r="W1368" s="64"/>
      <c r="X1368" s="64"/>
      <c r="Y1368" s="64"/>
      <c r="Z1368" s="64"/>
      <c r="AA1368" s="64"/>
      <c r="AB1368" s="64"/>
      <c r="AC1368" s="64"/>
      <c r="AD1368" s="64"/>
      <c r="AE1368" s="64"/>
      <c r="AF1368" s="64"/>
      <c r="AG1368" s="64"/>
      <c r="AH1368" s="64"/>
      <c r="AI1368" s="64"/>
      <c r="AJ1368" s="64"/>
    </row>
    <row r="1369">
      <c r="A1369" s="43">
        <v>45811.0</v>
      </c>
      <c r="B1369" s="44" t="s">
        <v>55</v>
      </c>
      <c r="C1369" s="44"/>
      <c r="D1369" s="45"/>
      <c r="E1369" s="45"/>
      <c r="F1369" s="20">
        <f t="shared" si="24"/>
        <v>0</v>
      </c>
      <c r="G1369" s="46">
        <f>IFERROR(VLOOKUP(B1369,DADOS!$A$2:$H$252,8,0),"")</f>
        <v>60</v>
      </c>
      <c r="H1369" s="47"/>
      <c r="I1369" s="48">
        <f>IFERROR(VLOOKUP(B1369,DADOS!$A$2:$H$252,4,0)*H1369,"")</f>
        <v>0</v>
      </c>
      <c r="J1369" s="46">
        <v>2.0</v>
      </c>
      <c r="K1369" s="49">
        <f>IFERROR(VLOOKUP(B1369,DADOS!$A$2:$H$252,4,0)*J1369,"")</f>
        <v>0.03424</v>
      </c>
      <c r="L1369" s="26" t="str">
        <f t="shared" si="23"/>
        <v/>
      </c>
      <c r="M1369" s="33" t="s">
        <v>83</v>
      </c>
      <c r="N1369" s="33" t="s">
        <v>88</v>
      </c>
      <c r="O1369" s="63"/>
      <c r="P1369" s="63"/>
      <c r="Q1369" s="63"/>
      <c r="R1369" s="63"/>
      <c r="S1369" s="63"/>
      <c r="T1369" s="64"/>
      <c r="U1369" s="64"/>
      <c r="V1369" s="64"/>
      <c r="W1369" s="64"/>
      <c r="X1369" s="64"/>
      <c r="Y1369" s="64"/>
      <c r="Z1369" s="64"/>
      <c r="AA1369" s="64"/>
      <c r="AB1369" s="64"/>
      <c r="AC1369" s="64"/>
      <c r="AD1369" s="64"/>
      <c r="AE1369" s="64"/>
      <c r="AF1369" s="64"/>
      <c r="AG1369" s="64"/>
      <c r="AH1369" s="64"/>
      <c r="AI1369" s="64"/>
      <c r="AJ1369" s="64"/>
    </row>
    <row r="1370">
      <c r="A1370" s="43">
        <v>45811.0</v>
      </c>
      <c r="B1370" s="44" t="s">
        <v>96</v>
      </c>
      <c r="C1370" s="44"/>
      <c r="D1370" s="45"/>
      <c r="E1370" s="45"/>
      <c r="F1370" s="20">
        <f t="shared" si="24"/>
        <v>0</v>
      </c>
      <c r="G1370" s="46">
        <f>IFERROR(VLOOKUP(B1370,DADOS!$A$2:$H$252,8,0),"")</f>
        <v>27</v>
      </c>
      <c r="H1370" s="47"/>
      <c r="I1370" s="48">
        <f>IFERROR(VLOOKUP(B1370,DADOS!$A$2:$H$252,4,0)*H1370,"")</f>
        <v>0</v>
      </c>
      <c r="J1370" s="46">
        <v>2.0</v>
      </c>
      <c r="K1370" s="49">
        <f>IFERROR(VLOOKUP(B1370,DADOS!$A$2:$H$252,4,0)*J1370,"")</f>
        <v>0.18832</v>
      </c>
      <c r="L1370" s="26" t="str">
        <f t="shared" si="23"/>
        <v/>
      </c>
      <c r="M1370" s="33" t="s">
        <v>83</v>
      </c>
      <c r="N1370" s="33" t="s">
        <v>88</v>
      </c>
      <c r="O1370" s="63"/>
      <c r="P1370" s="63"/>
      <c r="Q1370" s="63"/>
      <c r="R1370" s="63"/>
      <c r="S1370" s="63"/>
      <c r="T1370" s="64"/>
      <c r="U1370" s="64"/>
      <c r="V1370" s="64"/>
      <c r="W1370" s="64"/>
      <c r="X1370" s="64"/>
      <c r="Y1370" s="64"/>
      <c r="Z1370" s="64"/>
      <c r="AA1370" s="64"/>
      <c r="AB1370" s="64"/>
      <c r="AC1370" s="64"/>
      <c r="AD1370" s="64"/>
      <c r="AE1370" s="64"/>
      <c r="AF1370" s="64"/>
      <c r="AG1370" s="64"/>
      <c r="AH1370" s="64"/>
      <c r="AI1370" s="64"/>
      <c r="AJ1370" s="64"/>
    </row>
    <row r="1371">
      <c r="A1371" s="43">
        <v>45811.0</v>
      </c>
      <c r="B1371" s="44" t="s">
        <v>34</v>
      </c>
      <c r="C1371" s="44"/>
      <c r="D1371" s="45"/>
      <c r="E1371" s="45"/>
      <c r="F1371" s="20">
        <f t="shared" si="24"/>
        <v>0</v>
      </c>
      <c r="G1371" s="46">
        <f>IFERROR(VLOOKUP(B1371,DADOS!$A$2:$H$252,8,0),"")</f>
        <v>12</v>
      </c>
      <c r="H1371" s="47"/>
      <c r="I1371" s="48">
        <f>IFERROR(VLOOKUP(B1371,DADOS!$A$2:$H$252,4,0)*H1371,"")</f>
        <v>0</v>
      </c>
      <c r="J1371" s="46">
        <v>1.0</v>
      </c>
      <c r="K1371" s="49">
        <f>IFERROR(VLOOKUP(B1371,DADOS!$A$2:$H$252,4,0)*J1371,"")</f>
        <v>0.395686</v>
      </c>
      <c r="L1371" s="26" t="str">
        <f t="shared" si="23"/>
        <v/>
      </c>
      <c r="M1371" s="33" t="s">
        <v>83</v>
      </c>
      <c r="N1371" s="33" t="s">
        <v>88</v>
      </c>
      <c r="O1371" s="63"/>
      <c r="P1371" s="63"/>
      <c r="Q1371" s="63"/>
      <c r="R1371" s="63"/>
      <c r="S1371" s="63"/>
      <c r="T1371" s="64"/>
      <c r="U1371" s="64"/>
      <c r="V1371" s="64"/>
      <c r="W1371" s="64"/>
      <c r="X1371" s="64"/>
      <c r="Y1371" s="64"/>
      <c r="Z1371" s="64"/>
      <c r="AA1371" s="64"/>
      <c r="AB1371" s="64"/>
      <c r="AC1371" s="64"/>
      <c r="AD1371" s="64"/>
      <c r="AE1371" s="64"/>
      <c r="AF1371" s="64"/>
      <c r="AG1371" s="64"/>
      <c r="AH1371" s="64"/>
      <c r="AI1371" s="64"/>
      <c r="AJ1371" s="64"/>
    </row>
    <row r="1372">
      <c r="A1372" s="43">
        <v>45811.0</v>
      </c>
      <c r="B1372" s="44" t="s">
        <v>51</v>
      </c>
      <c r="C1372" s="44"/>
      <c r="D1372" s="45"/>
      <c r="E1372" s="45"/>
      <c r="F1372" s="20">
        <f t="shared" si="24"/>
        <v>0</v>
      </c>
      <c r="G1372" s="46">
        <f>IFERROR(VLOOKUP(B1372,DADOS!$A$2:$H$252,8,0),"")</f>
        <v>28</v>
      </c>
      <c r="H1372" s="47"/>
      <c r="I1372" s="48">
        <f>IFERROR(VLOOKUP(B1372,DADOS!$A$2:$H$252,4,0)*H1372,"")</f>
        <v>0</v>
      </c>
      <c r="J1372" s="46">
        <v>1.0</v>
      </c>
      <c r="K1372" s="49">
        <f>IFERROR(VLOOKUP(B1372,DADOS!$A$2:$H$252,4,0)*J1372,"")</f>
        <v>0.1139336</v>
      </c>
      <c r="L1372" s="26" t="str">
        <f t="shared" si="23"/>
        <v/>
      </c>
      <c r="M1372" s="33" t="s">
        <v>83</v>
      </c>
      <c r="N1372" s="33" t="s">
        <v>88</v>
      </c>
      <c r="O1372" s="63"/>
      <c r="P1372" s="63"/>
      <c r="Q1372" s="63"/>
      <c r="R1372" s="63"/>
      <c r="S1372" s="63"/>
      <c r="T1372" s="64"/>
      <c r="U1372" s="64"/>
      <c r="V1372" s="64"/>
      <c r="W1372" s="64"/>
      <c r="X1372" s="64"/>
      <c r="Y1372" s="64"/>
      <c r="Z1372" s="64"/>
      <c r="AA1372" s="64"/>
      <c r="AB1372" s="64"/>
      <c r="AC1372" s="64"/>
      <c r="AD1372" s="64"/>
      <c r="AE1372" s="64"/>
      <c r="AF1372" s="64"/>
      <c r="AG1372" s="64"/>
      <c r="AH1372" s="64"/>
      <c r="AI1372" s="64"/>
      <c r="AJ1372" s="64"/>
    </row>
    <row r="1373">
      <c r="A1373" s="43">
        <v>45811.0</v>
      </c>
      <c r="B1373" s="44" t="s">
        <v>94</v>
      </c>
      <c r="C1373" s="44"/>
      <c r="D1373" s="45"/>
      <c r="E1373" s="45"/>
      <c r="F1373" s="20">
        <f t="shared" si="24"/>
        <v>0</v>
      </c>
      <c r="G1373" s="46">
        <f>IFERROR(VLOOKUP(B1373,DADOS!$A$2:$H$252,8,0),"")</f>
        <v>100</v>
      </c>
      <c r="H1373" s="47"/>
      <c r="I1373" s="48">
        <f>IFERROR(VLOOKUP(B1373,DADOS!$A$2:$H$252,4,0)*H1373,"")</f>
        <v>0</v>
      </c>
      <c r="J1373" s="46">
        <v>1.0</v>
      </c>
      <c r="K1373" s="49">
        <f>IFERROR(VLOOKUP(B1373,DADOS!$A$2:$H$252,4,0)*J1373,"")</f>
        <v>0.0377496</v>
      </c>
      <c r="L1373" s="26" t="str">
        <f t="shared" si="23"/>
        <v/>
      </c>
      <c r="M1373" s="33" t="s">
        <v>83</v>
      </c>
      <c r="N1373" s="33" t="s">
        <v>88</v>
      </c>
      <c r="O1373" s="63"/>
      <c r="P1373" s="63"/>
      <c r="Q1373" s="63"/>
      <c r="R1373" s="63"/>
      <c r="S1373" s="63"/>
      <c r="T1373" s="64"/>
      <c r="U1373" s="64"/>
      <c r="V1373" s="64"/>
      <c r="W1373" s="64"/>
      <c r="X1373" s="64"/>
      <c r="Y1373" s="64"/>
      <c r="Z1373" s="64"/>
      <c r="AA1373" s="64"/>
      <c r="AB1373" s="64"/>
      <c r="AC1373" s="64"/>
      <c r="AD1373" s="64"/>
      <c r="AE1373" s="64"/>
      <c r="AF1373" s="64"/>
      <c r="AG1373" s="64"/>
      <c r="AH1373" s="64"/>
      <c r="AI1373" s="64"/>
      <c r="AJ1373" s="64"/>
    </row>
    <row r="1374">
      <c r="A1374" s="43">
        <v>45811.0</v>
      </c>
      <c r="B1374" s="44" t="s">
        <v>98</v>
      </c>
      <c r="C1374" s="44"/>
      <c r="D1374" s="45"/>
      <c r="E1374" s="45"/>
      <c r="F1374" s="20">
        <f t="shared" si="24"/>
        <v>0</v>
      </c>
      <c r="G1374" s="46">
        <f>IFERROR(VLOOKUP(B1374,DADOS!$A$2:$H$252,8,0),"")</f>
        <v>100</v>
      </c>
      <c r="H1374" s="47"/>
      <c r="I1374" s="48">
        <f>IFERROR(VLOOKUP(B1374,DADOS!$A$2:$H$252,4,0)*H1374,"")</f>
        <v>0</v>
      </c>
      <c r="J1374" s="46">
        <v>3.0</v>
      </c>
      <c r="K1374" s="49">
        <f>IFERROR(VLOOKUP(B1374,DADOS!$A$2:$H$252,4,0)*J1374,"")</f>
        <v>0.80892</v>
      </c>
      <c r="L1374" s="26" t="str">
        <f t="shared" si="23"/>
        <v/>
      </c>
      <c r="M1374" s="33" t="s">
        <v>83</v>
      </c>
      <c r="N1374" s="33" t="s">
        <v>88</v>
      </c>
      <c r="O1374" s="63"/>
      <c r="P1374" s="63"/>
      <c r="Q1374" s="63"/>
      <c r="R1374" s="63"/>
      <c r="S1374" s="63"/>
      <c r="T1374" s="64"/>
      <c r="U1374" s="64"/>
      <c r="V1374" s="64"/>
      <c r="W1374" s="64"/>
      <c r="X1374" s="64"/>
      <c r="Y1374" s="64"/>
      <c r="Z1374" s="64"/>
      <c r="AA1374" s="64"/>
      <c r="AB1374" s="64"/>
      <c r="AC1374" s="64"/>
      <c r="AD1374" s="64"/>
      <c r="AE1374" s="64"/>
      <c r="AF1374" s="64"/>
      <c r="AG1374" s="64"/>
      <c r="AH1374" s="64"/>
      <c r="AI1374" s="64"/>
      <c r="AJ1374" s="64"/>
    </row>
    <row r="1375">
      <c r="A1375" s="43">
        <v>45811.0</v>
      </c>
      <c r="B1375" s="44" t="s">
        <v>26</v>
      </c>
      <c r="C1375" s="44"/>
      <c r="D1375" s="45"/>
      <c r="E1375" s="45"/>
      <c r="F1375" s="20">
        <f t="shared" si="24"/>
        <v>0</v>
      </c>
      <c r="G1375" s="46">
        <f>IFERROR(VLOOKUP(B1375,DADOS!$A$2:$H$252,8,0),"")</f>
        <v>50</v>
      </c>
      <c r="H1375" s="47"/>
      <c r="I1375" s="48">
        <f>IFERROR(VLOOKUP(B1375,DADOS!$A$2:$H$252,4,0)*H1375,"")</f>
        <v>0</v>
      </c>
      <c r="J1375" s="46">
        <v>1.0</v>
      </c>
      <c r="K1375" s="49">
        <f>IFERROR(VLOOKUP(B1375,DADOS!$A$2:$H$252,4,0)*J1375,"")</f>
        <v>0.1139336</v>
      </c>
      <c r="L1375" s="26" t="str">
        <f t="shared" si="23"/>
        <v/>
      </c>
      <c r="M1375" s="33" t="s">
        <v>83</v>
      </c>
      <c r="N1375" s="33" t="s">
        <v>85</v>
      </c>
      <c r="O1375" s="63"/>
      <c r="P1375" s="63"/>
      <c r="Q1375" s="63"/>
      <c r="R1375" s="63"/>
      <c r="S1375" s="63"/>
      <c r="T1375" s="64"/>
      <c r="U1375" s="64"/>
      <c r="V1375" s="64"/>
      <c r="W1375" s="64"/>
      <c r="X1375" s="64"/>
      <c r="Y1375" s="64"/>
      <c r="Z1375" s="64"/>
      <c r="AA1375" s="64"/>
      <c r="AB1375" s="64"/>
      <c r="AC1375" s="64"/>
      <c r="AD1375" s="64"/>
      <c r="AE1375" s="64"/>
      <c r="AF1375" s="64"/>
      <c r="AG1375" s="64"/>
      <c r="AH1375" s="64"/>
      <c r="AI1375" s="64"/>
      <c r="AJ1375" s="64"/>
    </row>
    <row r="1376">
      <c r="A1376" s="43">
        <v>45811.0</v>
      </c>
      <c r="B1376" s="44" t="s">
        <v>119</v>
      </c>
      <c r="C1376" s="44"/>
      <c r="D1376" s="45"/>
      <c r="E1376" s="45"/>
      <c r="F1376" s="20">
        <f t="shared" si="24"/>
        <v>0</v>
      </c>
      <c r="G1376" s="46">
        <f>IFERROR(VLOOKUP(B1376,DADOS!$A$2:$H$252,8,0),"")</f>
        <v>25</v>
      </c>
      <c r="H1376" s="47"/>
      <c r="I1376" s="48">
        <f>IFERROR(VLOOKUP(B1376,DADOS!$A$2:$H$252,4,0)*H1376,"")</f>
        <v>0</v>
      </c>
      <c r="J1376" s="46">
        <v>2.0</v>
      </c>
      <c r="K1376" s="49">
        <f>IFERROR(VLOOKUP(B1376,DADOS!$A$2:$H$252,4,0)*J1376,"")</f>
        <v>0.2603952</v>
      </c>
      <c r="L1376" s="26" t="str">
        <f t="shared" si="23"/>
        <v/>
      </c>
      <c r="M1376" s="33" t="s">
        <v>39</v>
      </c>
      <c r="N1376" s="33" t="s">
        <v>86</v>
      </c>
      <c r="O1376" s="63"/>
      <c r="P1376" s="63"/>
      <c r="Q1376" s="63"/>
      <c r="R1376" s="63"/>
      <c r="S1376" s="63"/>
      <c r="T1376" s="64"/>
      <c r="U1376" s="64"/>
      <c r="V1376" s="64"/>
      <c r="W1376" s="64"/>
      <c r="X1376" s="64"/>
      <c r="Y1376" s="64"/>
      <c r="Z1376" s="64"/>
      <c r="AA1376" s="64"/>
      <c r="AB1376" s="64"/>
      <c r="AC1376" s="64"/>
      <c r="AD1376" s="64"/>
      <c r="AE1376" s="64"/>
      <c r="AF1376" s="64"/>
      <c r="AG1376" s="64"/>
      <c r="AH1376" s="64"/>
      <c r="AI1376" s="64"/>
      <c r="AJ1376" s="64"/>
    </row>
    <row r="1377">
      <c r="A1377" s="43">
        <v>45811.0</v>
      </c>
      <c r="B1377" s="44" t="s">
        <v>27</v>
      </c>
      <c r="C1377" s="44"/>
      <c r="D1377" s="45"/>
      <c r="E1377" s="45"/>
      <c r="F1377" s="20">
        <f t="shared" si="24"/>
        <v>0</v>
      </c>
      <c r="G1377" s="46">
        <f>IFERROR(VLOOKUP(B1377,DADOS!$A$2:$H$252,8,0),"")</f>
        <v>30</v>
      </c>
      <c r="H1377" s="47"/>
      <c r="I1377" s="48">
        <f>IFERROR(VLOOKUP(B1377,DADOS!$A$2:$H$252,4,0)*H1377,"")</f>
        <v>0</v>
      </c>
      <c r="J1377" s="46">
        <v>1.0</v>
      </c>
      <c r="K1377" s="49">
        <f>IFERROR(VLOOKUP(B1377,DADOS!$A$2:$H$252,4,0)*J1377,"")</f>
        <v>0.01712</v>
      </c>
      <c r="L1377" s="26" t="str">
        <f t="shared" si="23"/>
        <v/>
      </c>
      <c r="M1377" s="33" t="s">
        <v>39</v>
      </c>
      <c r="N1377" s="33" t="s">
        <v>163</v>
      </c>
      <c r="O1377" s="63"/>
      <c r="P1377" s="63"/>
      <c r="Q1377" s="63"/>
      <c r="R1377" s="63"/>
      <c r="S1377" s="63"/>
      <c r="T1377" s="64"/>
      <c r="U1377" s="64"/>
      <c r="V1377" s="64"/>
      <c r="W1377" s="64"/>
      <c r="X1377" s="64"/>
      <c r="Y1377" s="64"/>
      <c r="Z1377" s="64"/>
      <c r="AA1377" s="64"/>
      <c r="AB1377" s="64"/>
      <c r="AC1377" s="64"/>
      <c r="AD1377" s="64"/>
      <c r="AE1377" s="64"/>
      <c r="AF1377" s="64"/>
      <c r="AG1377" s="64"/>
      <c r="AH1377" s="64"/>
      <c r="AI1377" s="64"/>
      <c r="AJ1377" s="64"/>
    </row>
    <row r="1378">
      <c r="A1378" s="43">
        <v>45811.0</v>
      </c>
      <c r="B1378" s="44" t="s">
        <v>59</v>
      </c>
      <c r="C1378" s="44"/>
      <c r="D1378" s="45"/>
      <c r="E1378" s="45"/>
      <c r="F1378" s="20">
        <f t="shared" si="24"/>
        <v>0</v>
      </c>
      <c r="G1378" s="46">
        <f>IFERROR(VLOOKUP(B1378,DADOS!$A$2:$H$252,8,0),"")</f>
        <v>50</v>
      </c>
      <c r="H1378" s="47"/>
      <c r="I1378" s="48">
        <f>IFERROR(VLOOKUP(B1378,DADOS!$A$2:$H$252,4,0)*H1378,"")</f>
        <v>0</v>
      </c>
      <c r="J1378" s="46">
        <v>1.0</v>
      </c>
      <c r="K1378" s="49">
        <f>IFERROR(VLOOKUP(B1378,DADOS!$A$2:$H$252,4,0)*J1378,"")</f>
        <v>0.01712</v>
      </c>
      <c r="L1378" s="26" t="str">
        <f t="shared" si="23"/>
        <v/>
      </c>
      <c r="M1378" s="33" t="s">
        <v>39</v>
      </c>
      <c r="N1378" s="33" t="s">
        <v>163</v>
      </c>
      <c r="O1378" s="63"/>
      <c r="P1378" s="63"/>
      <c r="Q1378" s="63"/>
      <c r="R1378" s="63"/>
      <c r="S1378" s="63"/>
      <c r="T1378" s="64"/>
      <c r="U1378" s="64"/>
      <c r="V1378" s="64"/>
      <c r="W1378" s="64"/>
      <c r="X1378" s="64"/>
      <c r="Y1378" s="64"/>
      <c r="Z1378" s="64"/>
      <c r="AA1378" s="64"/>
      <c r="AB1378" s="64"/>
      <c r="AC1378" s="64"/>
      <c r="AD1378" s="64"/>
      <c r="AE1378" s="64"/>
      <c r="AF1378" s="64"/>
      <c r="AG1378" s="64"/>
      <c r="AH1378" s="64"/>
      <c r="AI1378" s="64"/>
      <c r="AJ1378" s="64"/>
    </row>
    <row r="1379">
      <c r="A1379" s="43">
        <v>45811.0</v>
      </c>
      <c r="B1379" s="44" t="s">
        <v>16</v>
      </c>
      <c r="C1379" s="44"/>
      <c r="D1379" s="45"/>
      <c r="E1379" s="45"/>
      <c r="F1379" s="20">
        <f t="shared" si="24"/>
        <v>0</v>
      </c>
      <c r="G1379" s="46">
        <f>IFERROR(VLOOKUP(B1379,DADOS!$A$2:$H$252,8,0),"")</f>
        <v>150</v>
      </c>
      <c r="H1379" s="47"/>
      <c r="I1379" s="48">
        <f>IFERROR(VLOOKUP(B1379,DADOS!$A$2:$H$252,4,0)*H1379,"")</f>
        <v>0</v>
      </c>
      <c r="J1379" s="46">
        <v>3.0</v>
      </c>
      <c r="K1379" s="49">
        <f>IFERROR(VLOOKUP(B1379,DADOS!$A$2:$H$252,4,0)*J1379,"")</f>
        <v>0.0867984</v>
      </c>
      <c r="L1379" s="26" t="str">
        <f t="shared" si="23"/>
        <v/>
      </c>
      <c r="M1379" s="33" t="s">
        <v>39</v>
      </c>
      <c r="N1379" s="33" t="s">
        <v>163</v>
      </c>
      <c r="O1379" s="63"/>
      <c r="P1379" s="63"/>
      <c r="Q1379" s="63"/>
      <c r="R1379" s="63"/>
      <c r="S1379" s="63"/>
      <c r="T1379" s="64"/>
      <c r="U1379" s="64"/>
      <c r="V1379" s="64"/>
      <c r="W1379" s="64"/>
      <c r="X1379" s="64"/>
      <c r="Y1379" s="64"/>
      <c r="Z1379" s="64"/>
      <c r="AA1379" s="64"/>
      <c r="AB1379" s="64"/>
      <c r="AC1379" s="64"/>
      <c r="AD1379" s="64"/>
      <c r="AE1379" s="64"/>
      <c r="AF1379" s="64"/>
      <c r="AG1379" s="64"/>
      <c r="AH1379" s="64"/>
      <c r="AI1379" s="64"/>
      <c r="AJ1379" s="64"/>
    </row>
    <row r="1380">
      <c r="A1380" s="43">
        <v>45811.0</v>
      </c>
      <c r="B1380" s="44" t="s">
        <v>26</v>
      </c>
      <c r="C1380" s="44"/>
      <c r="D1380" s="45"/>
      <c r="E1380" s="45"/>
      <c r="F1380" s="20">
        <f t="shared" si="24"/>
        <v>0</v>
      </c>
      <c r="G1380" s="46">
        <f>IFERROR(VLOOKUP(B1380,DADOS!$A$2:$H$252,8,0),"")</f>
        <v>50</v>
      </c>
      <c r="H1380" s="47"/>
      <c r="I1380" s="48">
        <f>IFERROR(VLOOKUP(B1380,DADOS!$A$2:$H$252,4,0)*H1380,"")</f>
        <v>0</v>
      </c>
      <c r="J1380" s="46">
        <v>2.0</v>
      </c>
      <c r="K1380" s="49">
        <f>IFERROR(VLOOKUP(B1380,DADOS!$A$2:$H$252,4,0)*J1380,"")</f>
        <v>0.2278672</v>
      </c>
      <c r="L1380" s="26" t="str">
        <f t="shared" si="23"/>
        <v/>
      </c>
      <c r="M1380" s="33" t="s">
        <v>83</v>
      </c>
      <c r="N1380" s="33" t="s">
        <v>163</v>
      </c>
      <c r="O1380" s="63"/>
      <c r="P1380" s="63"/>
      <c r="Q1380" s="63"/>
      <c r="R1380" s="63"/>
      <c r="S1380" s="63"/>
      <c r="T1380" s="64"/>
      <c r="U1380" s="64"/>
      <c r="V1380" s="64"/>
      <c r="W1380" s="64"/>
      <c r="X1380" s="64"/>
      <c r="Y1380" s="64"/>
      <c r="Z1380" s="64"/>
      <c r="AA1380" s="64"/>
      <c r="AB1380" s="64"/>
      <c r="AC1380" s="64"/>
      <c r="AD1380" s="64"/>
      <c r="AE1380" s="64"/>
      <c r="AF1380" s="64"/>
      <c r="AG1380" s="64"/>
      <c r="AH1380" s="64"/>
      <c r="AI1380" s="64"/>
      <c r="AJ1380" s="64"/>
    </row>
    <row r="1381">
      <c r="A1381" s="43">
        <v>45811.0</v>
      </c>
      <c r="B1381" s="44" t="s">
        <v>37</v>
      </c>
      <c r="C1381" s="44"/>
      <c r="D1381" s="45"/>
      <c r="E1381" s="45"/>
      <c r="F1381" s="20">
        <f t="shared" si="24"/>
        <v>0</v>
      </c>
      <c r="G1381" s="46" t="str">
        <f>IFERROR(VLOOKUP(B1381,DADOS!$A$2:$H$252,8,0),"")</f>
        <v/>
      </c>
      <c r="H1381" s="47"/>
      <c r="I1381" s="48" t="str">
        <f>IFERROR(VLOOKUP(B1381,DADOS!$A$2:$H$252,4,0)*H1381,"")</f>
        <v/>
      </c>
      <c r="J1381" s="46">
        <v>1.0</v>
      </c>
      <c r="K1381" s="49" t="str">
        <f>IFERROR(VLOOKUP(B1381,DADOS!$A$2:$H$252,4,0)*J1381,"")</f>
        <v/>
      </c>
      <c r="L1381" s="26" t="str">
        <f t="shared" si="23"/>
        <v/>
      </c>
      <c r="M1381" s="33" t="s">
        <v>83</v>
      </c>
      <c r="N1381" s="33" t="s">
        <v>87</v>
      </c>
      <c r="O1381" s="63"/>
      <c r="P1381" s="63"/>
      <c r="Q1381" s="63"/>
      <c r="R1381" s="63"/>
      <c r="S1381" s="63"/>
      <c r="T1381" s="64"/>
      <c r="U1381" s="64"/>
      <c r="V1381" s="64"/>
      <c r="W1381" s="64"/>
      <c r="X1381" s="64"/>
      <c r="Y1381" s="64"/>
      <c r="Z1381" s="64"/>
      <c r="AA1381" s="64"/>
      <c r="AB1381" s="64"/>
      <c r="AC1381" s="64"/>
      <c r="AD1381" s="64"/>
      <c r="AE1381" s="64"/>
      <c r="AF1381" s="64"/>
      <c r="AG1381" s="64"/>
      <c r="AH1381" s="64"/>
      <c r="AI1381" s="64"/>
      <c r="AJ1381" s="64"/>
    </row>
    <row r="1382">
      <c r="A1382" s="43">
        <v>45811.0</v>
      </c>
      <c r="B1382" s="44" t="s">
        <v>49</v>
      </c>
      <c r="C1382" s="44"/>
      <c r="D1382" s="45"/>
      <c r="E1382" s="45"/>
      <c r="F1382" s="20">
        <f t="shared" si="24"/>
        <v>0</v>
      </c>
      <c r="G1382" s="46">
        <f>IFERROR(VLOOKUP(B1382,DADOS!$A$2:$H$252,8,0),"")</f>
        <v>42</v>
      </c>
      <c r="H1382" s="47"/>
      <c r="I1382" s="48">
        <f>IFERROR(VLOOKUP(B1382,DADOS!$A$2:$H$252,4,0)*H1382,"")</f>
        <v>0</v>
      </c>
      <c r="J1382" s="46">
        <v>4.0</v>
      </c>
      <c r="K1382" s="49">
        <f>IFERROR(VLOOKUP(B1382,DADOS!$A$2:$H$252,4,0)*J1382,"")</f>
        <v>0.2721224</v>
      </c>
      <c r="L1382" s="26" t="str">
        <f t="shared" si="23"/>
        <v/>
      </c>
      <c r="M1382" s="33" t="s">
        <v>83</v>
      </c>
      <c r="N1382" s="33" t="s">
        <v>87</v>
      </c>
      <c r="O1382" s="63"/>
      <c r="P1382" s="63"/>
      <c r="Q1382" s="63"/>
      <c r="R1382" s="63"/>
      <c r="S1382" s="63"/>
      <c r="T1382" s="64"/>
      <c r="U1382" s="64"/>
      <c r="V1382" s="64"/>
      <c r="W1382" s="64"/>
      <c r="X1382" s="64"/>
      <c r="Y1382" s="64"/>
      <c r="Z1382" s="64"/>
      <c r="AA1382" s="64"/>
      <c r="AB1382" s="64"/>
      <c r="AC1382" s="64"/>
      <c r="AD1382" s="64"/>
      <c r="AE1382" s="64"/>
      <c r="AF1382" s="64"/>
      <c r="AG1382" s="64"/>
      <c r="AH1382" s="64"/>
      <c r="AI1382" s="64"/>
      <c r="AJ1382" s="64"/>
    </row>
    <row r="1383">
      <c r="A1383" s="43">
        <v>45811.0</v>
      </c>
      <c r="B1383" s="44" t="s">
        <v>99</v>
      </c>
      <c r="C1383" s="44"/>
      <c r="D1383" s="45"/>
      <c r="E1383" s="45"/>
      <c r="F1383" s="20">
        <f t="shared" si="24"/>
        <v>0</v>
      </c>
      <c r="G1383" s="46">
        <f>IFERROR(VLOOKUP(B1383,DADOS!$A$2:$H$252,8,0),"")</f>
        <v>26</v>
      </c>
      <c r="H1383" s="47"/>
      <c r="I1383" s="48">
        <f>IFERROR(VLOOKUP(B1383,DADOS!$A$2:$H$252,4,0)*H1383,"")</f>
        <v>0</v>
      </c>
      <c r="J1383" s="46">
        <v>1.0</v>
      </c>
      <c r="K1383" s="49">
        <f>IFERROR(VLOOKUP(B1383,DADOS!$A$2:$H$252,4,0)*J1383,"")</f>
        <v>0.09416</v>
      </c>
      <c r="L1383" s="26" t="str">
        <f t="shared" si="23"/>
        <v/>
      </c>
      <c r="M1383" s="33" t="s">
        <v>39</v>
      </c>
      <c r="N1383" s="33" t="s">
        <v>104</v>
      </c>
      <c r="O1383" s="63"/>
      <c r="P1383" s="63"/>
      <c r="Q1383" s="63"/>
      <c r="R1383" s="63"/>
      <c r="S1383" s="63"/>
      <c r="T1383" s="64"/>
      <c r="U1383" s="64"/>
      <c r="V1383" s="64"/>
      <c r="W1383" s="64"/>
      <c r="X1383" s="64"/>
      <c r="Y1383" s="64"/>
      <c r="Z1383" s="64"/>
      <c r="AA1383" s="64"/>
      <c r="AB1383" s="64"/>
      <c r="AC1383" s="64"/>
      <c r="AD1383" s="64"/>
      <c r="AE1383" s="64"/>
      <c r="AF1383" s="64"/>
      <c r="AG1383" s="64"/>
      <c r="AH1383" s="64"/>
      <c r="AI1383" s="64"/>
      <c r="AJ1383" s="64"/>
    </row>
    <row r="1384">
      <c r="A1384" s="43">
        <v>45811.0</v>
      </c>
      <c r="B1384" s="44" t="s">
        <v>75</v>
      </c>
      <c r="C1384" s="44"/>
      <c r="D1384" s="45"/>
      <c r="E1384" s="45"/>
      <c r="F1384" s="20">
        <f t="shared" si="24"/>
        <v>0</v>
      </c>
      <c r="G1384" s="46">
        <f>IFERROR(VLOOKUP(B1384,DADOS!$A$2:$H$252,8,0),"")</f>
        <v>23</v>
      </c>
      <c r="H1384" s="47"/>
      <c r="I1384" s="48">
        <f>IFERROR(VLOOKUP(B1384,DADOS!$A$2:$H$252,4,0)*H1384,"")</f>
        <v>0</v>
      </c>
      <c r="J1384" s="46">
        <v>1.0</v>
      </c>
      <c r="K1384" s="49">
        <f>IFERROR(VLOOKUP(B1384,DADOS!$A$2:$H$252,4,0)*J1384,"")</f>
        <v>0.1139336</v>
      </c>
      <c r="L1384" s="26" t="str">
        <f t="shared" si="23"/>
        <v/>
      </c>
      <c r="M1384" s="33" t="s">
        <v>118</v>
      </c>
      <c r="N1384" s="33" t="s">
        <v>104</v>
      </c>
      <c r="O1384" s="63"/>
      <c r="P1384" s="63"/>
      <c r="Q1384" s="63"/>
      <c r="R1384" s="63"/>
      <c r="S1384" s="63"/>
      <c r="T1384" s="64"/>
      <c r="U1384" s="64"/>
      <c r="V1384" s="64"/>
      <c r="W1384" s="64"/>
      <c r="X1384" s="64"/>
      <c r="Y1384" s="64"/>
      <c r="Z1384" s="64"/>
      <c r="AA1384" s="64"/>
      <c r="AB1384" s="64"/>
      <c r="AC1384" s="64"/>
      <c r="AD1384" s="64"/>
      <c r="AE1384" s="64"/>
      <c r="AF1384" s="64"/>
      <c r="AG1384" s="64"/>
      <c r="AH1384" s="64"/>
      <c r="AI1384" s="64"/>
      <c r="AJ1384" s="64"/>
    </row>
    <row r="1385">
      <c r="A1385" s="43">
        <v>45811.0</v>
      </c>
      <c r="B1385" s="44" t="s">
        <v>98</v>
      </c>
      <c r="C1385" s="44"/>
      <c r="D1385" s="45"/>
      <c r="E1385" s="45"/>
      <c r="F1385" s="20">
        <f t="shared" si="24"/>
        <v>0</v>
      </c>
      <c r="G1385" s="46">
        <f>IFERROR(VLOOKUP(B1385,DADOS!$A$2:$H$252,8,0),"")</f>
        <v>100</v>
      </c>
      <c r="H1385" s="47"/>
      <c r="I1385" s="48">
        <f>IFERROR(VLOOKUP(B1385,DADOS!$A$2:$H$252,4,0)*H1385,"")</f>
        <v>0</v>
      </c>
      <c r="J1385" s="46">
        <v>1.0</v>
      </c>
      <c r="K1385" s="49">
        <f>IFERROR(VLOOKUP(B1385,DADOS!$A$2:$H$252,4,0)*J1385,"")</f>
        <v>0.26964</v>
      </c>
      <c r="L1385" s="26" t="str">
        <f t="shared" si="23"/>
        <v/>
      </c>
      <c r="M1385" s="33" t="s">
        <v>118</v>
      </c>
      <c r="N1385" s="33" t="s">
        <v>104</v>
      </c>
      <c r="O1385" s="63"/>
      <c r="P1385" s="63"/>
      <c r="Q1385" s="63"/>
      <c r="R1385" s="63"/>
      <c r="S1385" s="63"/>
      <c r="T1385" s="64"/>
      <c r="U1385" s="64"/>
      <c r="V1385" s="64"/>
      <c r="W1385" s="64"/>
      <c r="X1385" s="64"/>
      <c r="Y1385" s="64"/>
      <c r="Z1385" s="64"/>
      <c r="AA1385" s="64"/>
      <c r="AB1385" s="64"/>
      <c r="AC1385" s="64"/>
      <c r="AD1385" s="64"/>
      <c r="AE1385" s="64"/>
      <c r="AF1385" s="64"/>
      <c r="AG1385" s="64"/>
      <c r="AH1385" s="64"/>
      <c r="AI1385" s="64"/>
      <c r="AJ1385" s="64"/>
    </row>
    <row r="1386">
      <c r="A1386" s="43">
        <v>45811.0</v>
      </c>
      <c r="B1386" s="44" t="s">
        <v>99</v>
      </c>
      <c r="C1386" s="44"/>
      <c r="D1386" s="45"/>
      <c r="E1386" s="45"/>
      <c r="F1386" s="20">
        <f t="shared" si="24"/>
        <v>0</v>
      </c>
      <c r="G1386" s="46">
        <f>IFERROR(VLOOKUP(B1386,DADOS!$A$2:$H$252,8,0),"")</f>
        <v>26</v>
      </c>
      <c r="H1386" s="47"/>
      <c r="I1386" s="48">
        <f>IFERROR(VLOOKUP(B1386,DADOS!$A$2:$H$252,4,0)*H1386,"")</f>
        <v>0</v>
      </c>
      <c r="J1386" s="46">
        <v>1.0</v>
      </c>
      <c r="K1386" s="49">
        <f>IFERROR(VLOOKUP(B1386,DADOS!$A$2:$H$252,4,0)*J1386,"")</f>
        <v>0.09416</v>
      </c>
      <c r="L1386" s="26" t="str">
        <f t="shared" si="23"/>
        <v/>
      </c>
      <c r="M1386" s="33" t="s">
        <v>118</v>
      </c>
      <c r="N1386" s="33" t="s">
        <v>104</v>
      </c>
      <c r="O1386" s="63"/>
      <c r="P1386" s="63"/>
      <c r="Q1386" s="63"/>
      <c r="R1386" s="63"/>
      <c r="S1386" s="63"/>
      <c r="T1386" s="64"/>
      <c r="U1386" s="64"/>
      <c r="V1386" s="64"/>
      <c r="W1386" s="64"/>
      <c r="X1386" s="64"/>
      <c r="Y1386" s="64"/>
      <c r="Z1386" s="64"/>
      <c r="AA1386" s="64"/>
      <c r="AB1386" s="64"/>
      <c r="AC1386" s="64"/>
      <c r="AD1386" s="64"/>
      <c r="AE1386" s="64"/>
      <c r="AF1386" s="64"/>
      <c r="AG1386" s="64"/>
      <c r="AH1386" s="64"/>
      <c r="AI1386" s="64"/>
      <c r="AJ1386" s="64"/>
    </row>
    <row r="1387">
      <c r="A1387" s="43">
        <v>45811.0</v>
      </c>
      <c r="B1387" s="44" t="s">
        <v>122</v>
      </c>
      <c r="C1387" s="44"/>
      <c r="D1387" s="45"/>
      <c r="E1387" s="45"/>
      <c r="F1387" s="20">
        <f t="shared" si="24"/>
        <v>0</v>
      </c>
      <c r="G1387" s="46">
        <f>IFERROR(VLOOKUP(B1387,DADOS!$A$2:$H$252,8,0),"")</f>
        <v>17</v>
      </c>
      <c r="H1387" s="47"/>
      <c r="I1387" s="48">
        <f>IFERROR(VLOOKUP(B1387,DADOS!$A$2:$H$252,4,0)*H1387,"")</f>
        <v>0</v>
      </c>
      <c r="J1387" s="46">
        <v>1.0</v>
      </c>
      <c r="K1387" s="49">
        <f>IFERROR(VLOOKUP(B1387,DADOS!$A$2:$H$252,4,0)*J1387,"")</f>
        <v>0.1716066</v>
      </c>
      <c r="L1387" s="26" t="str">
        <f t="shared" si="23"/>
        <v/>
      </c>
      <c r="M1387" s="33" t="s">
        <v>39</v>
      </c>
      <c r="N1387" s="33" t="s">
        <v>46</v>
      </c>
      <c r="O1387" s="63"/>
      <c r="P1387" s="63"/>
      <c r="Q1387" s="63"/>
      <c r="R1387" s="63"/>
      <c r="S1387" s="63"/>
      <c r="T1387" s="64"/>
      <c r="U1387" s="64"/>
      <c r="V1387" s="64"/>
      <c r="W1387" s="64"/>
      <c r="X1387" s="64"/>
      <c r="Y1387" s="64"/>
      <c r="Z1387" s="64"/>
      <c r="AA1387" s="64"/>
      <c r="AB1387" s="64"/>
      <c r="AC1387" s="64"/>
      <c r="AD1387" s="64"/>
      <c r="AE1387" s="64"/>
      <c r="AF1387" s="64"/>
      <c r="AG1387" s="64"/>
      <c r="AH1387" s="64"/>
      <c r="AI1387" s="64"/>
      <c r="AJ1387" s="64"/>
    </row>
    <row r="1388">
      <c r="A1388" s="43">
        <v>45811.0</v>
      </c>
      <c r="B1388" s="44" t="s">
        <v>105</v>
      </c>
      <c r="C1388" s="44"/>
      <c r="D1388" s="45"/>
      <c r="E1388" s="45"/>
      <c r="F1388" s="20">
        <f t="shared" si="24"/>
        <v>0</v>
      </c>
      <c r="G1388" s="46">
        <f>IFERROR(VLOOKUP(B1388,DADOS!$A$2:$H$252,8,0),"")</f>
        <v>18</v>
      </c>
      <c r="H1388" s="47"/>
      <c r="I1388" s="48">
        <f>IFERROR(VLOOKUP(B1388,DADOS!$A$2:$H$252,4,0)*H1388,"")</f>
        <v>0</v>
      </c>
      <c r="J1388" s="46">
        <v>1.0</v>
      </c>
      <c r="K1388" s="49">
        <f>IFERROR(VLOOKUP(B1388,DADOS!$A$2:$H$252,4,0)*J1388,"")</f>
        <v>0.0849794</v>
      </c>
      <c r="L1388" s="26" t="str">
        <f t="shared" si="23"/>
        <v/>
      </c>
      <c r="M1388" s="33" t="s">
        <v>39</v>
      </c>
      <c r="N1388" s="33" t="s">
        <v>86</v>
      </c>
      <c r="O1388" s="63"/>
      <c r="P1388" s="63"/>
      <c r="Q1388" s="63"/>
      <c r="R1388" s="63"/>
      <c r="S1388" s="63"/>
      <c r="T1388" s="64"/>
      <c r="U1388" s="64"/>
      <c r="V1388" s="64"/>
      <c r="W1388" s="64"/>
      <c r="X1388" s="64"/>
      <c r="Y1388" s="64"/>
      <c r="Z1388" s="64"/>
      <c r="AA1388" s="64"/>
      <c r="AB1388" s="64"/>
      <c r="AC1388" s="64"/>
      <c r="AD1388" s="64"/>
      <c r="AE1388" s="64"/>
      <c r="AF1388" s="64"/>
      <c r="AG1388" s="64"/>
      <c r="AH1388" s="64"/>
      <c r="AI1388" s="64"/>
      <c r="AJ1388" s="64"/>
    </row>
    <row r="1389">
      <c r="A1389" s="43">
        <v>45811.0</v>
      </c>
      <c r="B1389" s="44" t="s">
        <v>24</v>
      </c>
      <c r="C1389" s="44"/>
      <c r="D1389" s="45"/>
      <c r="E1389" s="45"/>
      <c r="F1389" s="20">
        <f t="shared" si="24"/>
        <v>0</v>
      </c>
      <c r="G1389" s="46">
        <f>IFERROR(VLOOKUP(B1389,DADOS!$A$2:$H$252,8,0),"")</f>
        <v>37</v>
      </c>
      <c r="H1389" s="47"/>
      <c r="I1389" s="48">
        <f>IFERROR(VLOOKUP(B1389,DADOS!$A$2:$H$252,4,0)*H1389,"")</f>
        <v>0</v>
      </c>
      <c r="J1389" s="46">
        <v>5.0</v>
      </c>
      <c r="K1389" s="49">
        <f>IFERROR(VLOOKUP(B1389,DADOS!$A$2:$H$252,4,0)*J1389,"")</f>
        <v>0.569668</v>
      </c>
      <c r="L1389" s="26" t="str">
        <f t="shared" si="23"/>
        <v/>
      </c>
      <c r="M1389" s="33" t="s">
        <v>39</v>
      </c>
      <c r="N1389" s="33" t="s">
        <v>84</v>
      </c>
      <c r="O1389" s="63"/>
      <c r="P1389" s="63"/>
      <c r="Q1389" s="63"/>
      <c r="R1389" s="63"/>
      <c r="S1389" s="63"/>
      <c r="T1389" s="64"/>
      <c r="U1389" s="64"/>
      <c r="V1389" s="64"/>
      <c r="W1389" s="64"/>
      <c r="X1389" s="64"/>
      <c r="Y1389" s="64"/>
      <c r="Z1389" s="64"/>
      <c r="AA1389" s="64"/>
      <c r="AB1389" s="64"/>
      <c r="AC1389" s="64"/>
      <c r="AD1389" s="64"/>
      <c r="AE1389" s="64"/>
      <c r="AF1389" s="64"/>
      <c r="AG1389" s="64"/>
      <c r="AH1389" s="64"/>
      <c r="AI1389" s="64"/>
      <c r="AJ1389" s="64"/>
    </row>
    <row r="1390" ht="15.0" customHeight="1">
      <c r="A1390" s="43">
        <v>45811.0</v>
      </c>
      <c r="B1390" s="44" t="s">
        <v>150</v>
      </c>
      <c r="C1390" s="44"/>
      <c r="D1390" s="45"/>
      <c r="E1390" s="45"/>
      <c r="F1390" s="20">
        <f t="shared" si="24"/>
        <v>0</v>
      </c>
      <c r="G1390" s="46">
        <f>IFERROR(VLOOKUP(B1390,DADOS!$A$2:$H$252,8,0),"")</f>
        <v>12</v>
      </c>
      <c r="H1390" s="47"/>
      <c r="I1390" s="48">
        <f>IFERROR(VLOOKUP(B1390,DADOS!$A$2:$H$252,4,0)*H1390,"")</f>
        <v>0</v>
      </c>
      <c r="J1390" s="46">
        <v>3.0</v>
      </c>
      <c r="K1390" s="49">
        <f>IFERROR(VLOOKUP(B1390,DADOS!$A$2:$H$252,4,0)*J1390,"")</f>
        <v>0.5148198</v>
      </c>
      <c r="L1390" s="26" t="str">
        <f t="shared" si="23"/>
        <v/>
      </c>
      <c r="M1390" s="33" t="s">
        <v>110</v>
      </c>
      <c r="N1390" s="33" t="s">
        <v>144</v>
      </c>
      <c r="O1390" s="63"/>
      <c r="P1390" s="63"/>
      <c r="Q1390" s="63"/>
      <c r="R1390" s="63"/>
      <c r="S1390" s="63"/>
      <c r="T1390" s="64"/>
      <c r="U1390" s="64"/>
      <c r="V1390" s="64"/>
      <c r="W1390" s="64"/>
      <c r="X1390" s="64"/>
      <c r="Y1390" s="64"/>
      <c r="Z1390" s="64"/>
      <c r="AA1390" s="64"/>
      <c r="AB1390" s="64"/>
      <c r="AC1390" s="64"/>
      <c r="AD1390" s="64"/>
      <c r="AE1390" s="64"/>
      <c r="AF1390" s="64"/>
      <c r="AG1390" s="64"/>
      <c r="AH1390" s="64"/>
      <c r="AI1390" s="64"/>
      <c r="AJ1390" s="64"/>
    </row>
    <row r="1391">
      <c r="A1391" s="17">
        <v>45812.0</v>
      </c>
      <c r="B1391" s="18" t="s">
        <v>22</v>
      </c>
      <c r="C1391" s="18" t="s">
        <v>19</v>
      </c>
      <c r="D1391" s="19"/>
      <c r="E1391" s="19"/>
      <c r="F1391" s="20">
        <f t="shared" si="24"/>
        <v>0</v>
      </c>
      <c r="G1391" s="21">
        <f>IFERROR(VLOOKUP(B1391,DADOS!$A$2:$H$252,8,0),"")</f>
        <v>15</v>
      </c>
      <c r="H1391" s="22">
        <v>40.0</v>
      </c>
      <c r="I1391" s="23">
        <f>IFERROR(VLOOKUP(B1391,DADOS!$A$2:$H$252,4,0)*H1391,"")</f>
        <v>24.491016</v>
      </c>
      <c r="J1391" s="36"/>
      <c r="K1391" s="25">
        <f>IFERROR(VLOOKUP(B1391,DADOS!$A$2:$H$252,4,0)*J1391,"")</f>
        <v>0</v>
      </c>
      <c r="L1391" s="26">
        <f t="shared" si="23"/>
        <v>0</v>
      </c>
      <c r="M1391" s="27"/>
      <c r="N1391" s="30"/>
      <c r="O1391" s="63"/>
      <c r="P1391" s="63"/>
      <c r="Q1391" s="63"/>
      <c r="R1391" s="63"/>
      <c r="S1391" s="63"/>
      <c r="T1391" s="64"/>
      <c r="U1391" s="64"/>
      <c r="V1391" s="64"/>
      <c r="W1391" s="64"/>
      <c r="X1391" s="64"/>
      <c r="Y1391" s="64"/>
      <c r="Z1391" s="64"/>
      <c r="AA1391" s="64"/>
      <c r="AB1391" s="64"/>
      <c r="AC1391" s="64"/>
      <c r="AD1391" s="64"/>
      <c r="AE1391" s="64"/>
      <c r="AF1391" s="64"/>
      <c r="AG1391" s="64"/>
      <c r="AH1391" s="64"/>
      <c r="AI1391" s="64"/>
      <c r="AJ1391" s="64"/>
    </row>
    <row r="1392">
      <c r="A1392" s="17">
        <v>45812.0</v>
      </c>
      <c r="B1392" s="18" t="s">
        <v>37</v>
      </c>
      <c r="C1392" s="18" t="s">
        <v>165</v>
      </c>
      <c r="D1392" s="19"/>
      <c r="E1392" s="19"/>
      <c r="F1392" s="20">
        <f t="shared" si="24"/>
        <v>0</v>
      </c>
      <c r="G1392" s="21" t="str">
        <f>IFERROR(VLOOKUP(B1392,DADOS!$A$2:$H$252,8,0),"")</f>
        <v/>
      </c>
      <c r="H1392" s="22">
        <v>29.0</v>
      </c>
      <c r="I1392" s="23" t="str">
        <f>IFERROR(VLOOKUP(B1392,DADOS!$A$2:$H$252,4,0)*H1392,"")</f>
        <v/>
      </c>
      <c r="J1392" s="36"/>
      <c r="K1392" s="25" t="str">
        <f>IFERROR(VLOOKUP(B1392,DADOS!$A$2:$H$252,4,0)*J1392,"")</f>
        <v/>
      </c>
      <c r="L1392" s="26" t="str">
        <f t="shared" si="23"/>
        <v/>
      </c>
      <c r="M1392" s="27"/>
      <c r="N1392" s="30"/>
      <c r="O1392" s="28"/>
      <c r="P1392" s="28"/>
      <c r="Q1392" s="28"/>
      <c r="R1392" s="28"/>
      <c r="S1392" s="28"/>
    </row>
    <row r="1393">
      <c r="A1393" s="17">
        <v>45812.0</v>
      </c>
      <c r="B1393" s="18" t="s">
        <v>79</v>
      </c>
      <c r="C1393" s="18" t="s">
        <v>165</v>
      </c>
      <c r="D1393" s="19"/>
      <c r="E1393" s="19"/>
      <c r="F1393" s="20">
        <f t="shared" si="24"/>
        <v>0</v>
      </c>
      <c r="G1393" s="21">
        <f>IFERROR(VLOOKUP(B1393,DADOS!$A$2:$H$252,8,0),"")</f>
        <v>87</v>
      </c>
      <c r="H1393" s="22">
        <v>238.0</v>
      </c>
      <c r="I1393" s="23">
        <f>IFERROR(VLOOKUP(B1393,DADOS!$A$2:$H$252,4,0)*H1393,"")</f>
        <v>4.07456</v>
      </c>
      <c r="J1393" s="24">
        <v>10.0</v>
      </c>
      <c r="K1393" s="25">
        <f>IFERROR(VLOOKUP(B1393,DADOS!$A$2:$H$252,4,0)*J1393,"")</f>
        <v>0.1712</v>
      </c>
      <c r="L1393" s="26">
        <f t="shared" si="23"/>
        <v>0</v>
      </c>
      <c r="M1393" s="27"/>
      <c r="N1393" s="30"/>
      <c r="O1393" s="28"/>
      <c r="P1393" s="28"/>
      <c r="Q1393" s="28"/>
      <c r="R1393" s="28"/>
      <c r="S1393" s="28"/>
    </row>
    <row r="1394">
      <c r="A1394" s="17">
        <v>45812.0</v>
      </c>
      <c r="B1394" s="18" t="s">
        <v>79</v>
      </c>
      <c r="C1394" s="18" t="s">
        <v>165</v>
      </c>
      <c r="D1394" s="19"/>
      <c r="E1394" s="19"/>
      <c r="F1394" s="20">
        <f t="shared" si="24"/>
        <v>0</v>
      </c>
      <c r="G1394" s="21">
        <f>IFERROR(VLOOKUP(B1394,DADOS!$A$2:$H$252,8,0),"")</f>
        <v>87</v>
      </c>
      <c r="H1394" s="22">
        <v>59.0</v>
      </c>
      <c r="I1394" s="23">
        <f>IFERROR(VLOOKUP(B1394,DADOS!$A$2:$H$252,4,0)*H1394,"")</f>
        <v>1.01008</v>
      </c>
      <c r="J1394" s="24">
        <v>3.0</v>
      </c>
      <c r="K1394" s="25">
        <f>IFERROR(VLOOKUP(B1394,DADOS!$A$2:$H$252,4,0)*J1394,"")</f>
        <v>0.05136</v>
      </c>
      <c r="L1394" s="26">
        <f t="shared" si="23"/>
        <v>0</v>
      </c>
      <c r="M1394" s="27"/>
      <c r="N1394" s="30"/>
      <c r="O1394" s="28"/>
      <c r="P1394" s="28"/>
      <c r="Q1394" s="28"/>
      <c r="R1394" s="28"/>
      <c r="S1394" s="28"/>
    </row>
    <row r="1395">
      <c r="A1395" s="17">
        <v>45813.0</v>
      </c>
      <c r="B1395" s="18" t="s">
        <v>59</v>
      </c>
      <c r="C1395" s="18" t="s">
        <v>165</v>
      </c>
      <c r="D1395" s="19"/>
      <c r="E1395" s="19"/>
      <c r="F1395" s="20">
        <f t="shared" si="24"/>
        <v>0</v>
      </c>
      <c r="G1395" s="21">
        <f>IFERROR(VLOOKUP(B1395,DADOS!$A$2:$H$252,8,0),"")</f>
        <v>50</v>
      </c>
      <c r="H1395" s="22">
        <v>103.0</v>
      </c>
      <c r="I1395" s="23">
        <f>IFERROR(VLOOKUP(B1395,DADOS!$A$2:$H$252,4,0)*H1395,"")</f>
        <v>1.76336</v>
      </c>
      <c r="J1395" s="24">
        <v>3.0</v>
      </c>
      <c r="K1395" s="25">
        <f>IFERROR(VLOOKUP(B1395,DADOS!$A$2:$H$252,4,0)*J1395,"")</f>
        <v>0.05136</v>
      </c>
      <c r="L1395" s="26">
        <f t="shared" si="23"/>
        <v>0</v>
      </c>
      <c r="M1395" s="27"/>
      <c r="N1395" s="30"/>
      <c r="O1395" s="28"/>
      <c r="P1395" s="28"/>
      <c r="Q1395" s="28"/>
      <c r="R1395" s="28"/>
      <c r="S1395" s="28"/>
    </row>
    <row r="1396">
      <c r="A1396" s="17">
        <v>45814.0</v>
      </c>
      <c r="B1396" s="18" t="s">
        <v>185</v>
      </c>
      <c r="C1396" s="18" t="s">
        <v>19</v>
      </c>
      <c r="D1396" s="19"/>
      <c r="E1396" s="19"/>
      <c r="F1396" s="20">
        <f t="shared" si="24"/>
        <v>0</v>
      </c>
      <c r="G1396" s="21">
        <f>IFERROR(VLOOKUP(B1396,DADOS!$A$2:$H$252,8,0),"")</f>
        <v>35</v>
      </c>
      <c r="H1396" s="22">
        <v>70.0</v>
      </c>
      <c r="I1396" s="23">
        <f>IFERROR(VLOOKUP(B1396,DADOS!$A$2:$H$252,4,0)*H1396,"")</f>
        <v>14.8302</v>
      </c>
      <c r="J1396" s="36"/>
      <c r="K1396" s="25">
        <f>IFERROR(VLOOKUP(B1396,DADOS!$A$2:$H$252,4,0)*J1396,"")</f>
        <v>0</v>
      </c>
      <c r="L1396" s="26">
        <f t="shared" si="23"/>
        <v>0</v>
      </c>
      <c r="M1396" s="27"/>
      <c r="N1396" s="30"/>
      <c r="O1396" s="28"/>
      <c r="P1396" s="28"/>
      <c r="Q1396" s="28"/>
      <c r="R1396" s="28"/>
      <c r="S1396" s="28"/>
    </row>
    <row r="1397">
      <c r="A1397" s="17">
        <v>45814.0</v>
      </c>
      <c r="B1397" s="18" t="s">
        <v>138</v>
      </c>
      <c r="C1397" s="18" t="s">
        <v>19</v>
      </c>
      <c r="D1397" s="19"/>
      <c r="E1397" s="19"/>
      <c r="F1397" s="20">
        <f t="shared" si="24"/>
        <v>0</v>
      </c>
      <c r="G1397" s="21">
        <f>IFERROR(VLOOKUP(B1397,DADOS!$A$2:$H$252,8,0),"")</f>
        <v>15</v>
      </c>
      <c r="H1397" s="22">
        <v>13.0</v>
      </c>
      <c r="I1397" s="23">
        <f>IFERROR(VLOOKUP(B1397,DADOS!$A$2:$H$252,4,0)*H1397,"")</f>
        <v>4.231422</v>
      </c>
      <c r="J1397" s="36"/>
      <c r="K1397" s="25">
        <f>IFERROR(VLOOKUP(B1397,DADOS!$A$2:$H$252,4,0)*J1397,"")</f>
        <v>0</v>
      </c>
      <c r="L1397" s="26">
        <f t="shared" si="23"/>
        <v>0</v>
      </c>
      <c r="M1397" s="27"/>
      <c r="N1397" s="30"/>
      <c r="O1397" s="28"/>
      <c r="P1397" s="28"/>
      <c r="Q1397" s="28"/>
      <c r="R1397" s="28"/>
      <c r="S1397" s="28"/>
    </row>
    <row r="1398">
      <c r="A1398" s="17">
        <v>45814.0</v>
      </c>
      <c r="B1398" s="18" t="s">
        <v>59</v>
      </c>
      <c r="C1398" s="18" t="s">
        <v>165</v>
      </c>
      <c r="D1398" s="19">
        <v>0.3194444444444444</v>
      </c>
      <c r="E1398" s="19">
        <v>0.6770833333333334</v>
      </c>
      <c r="F1398" s="20">
        <f t="shared" si="24"/>
        <v>0.3576388889</v>
      </c>
      <c r="G1398" s="21">
        <f>IFERROR(VLOOKUP(B1398,DADOS!$A$2:$H$252,8,0),"")</f>
        <v>50</v>
      </c>
      <c r="H1398" s="22">
        <v>185.0</v>
      </c>
      <c r="I1398" s="23">
        <f>IFERROR(VLOOKUP(B1398,DADOS!$A$2:$H$252,4,0)*H1398,"")</f>
        <v>3.1672</v>
      </c>
      <c r="J1398" s="24">
        <v>8.0</v>
      </c>
      <c r="K1398" s="25">
        <f>IFERROR(VLOOKUP(B1398,DADOS!$A$2:$H$252,4,0)*J1398,"")</f>
        <v>0.13696</v>
      </c>
      <c r="L1398" s="26">
        <f t="shared" si="23"/>
        <v>0</v>
      </c>
      <c r="M1398" s="27"/>
      <c r="N1398" s="30"/>
      <c r="O1398" s="28"/>
      <c r="P1398" s="28"/>
      <c r="Q1398" s="28"/>
      <c r="R1398" s="28"/>
      <c r="S1398" s="28"/>
    </row>
    <row r="1399">
      <c r="A1399" s="17">
        <v>45817.0</v>
      </c>
      <c r="B1399" s="18" t="s">
        <v>31</v>
      </c>
      <c r="C1399" s="18" t="s">
        <v>168</v>
      </c>
      <c r="D1399" s="19">
        <v>0.3194444444444444</v>
      </c>
      <c r="E1399" s="19">
        <v>0.71875</v>
      </c>
      <c r="F1399" s="20">
        <f t="shared" si="24"/>
        <v>0.3993055556</v>
      </c>
      <c r="G1399" s="21">
        <f>IFERROR(VLOOKUP(B1399,DADOS!$A$2:$H$252,8,0),"")</f>
        <v>10</v>
      </c>
      <c r="H1399" s="22">
        <v>44.0</v>
      </c>
      <c r="I1399" s="23">
        <f>IFERROR(VLOOKUP(B1399,DADOS!$A$2:$H$252,4,0)*H1399,"")</f>
        <v>5.9659776</v>
      </c>
      <c r="J1399" s="24">
        <v>8.0</v>
      </c>
      <c r="K1399" s="25">
        <f>IFERROR(VLOOKUP(B1399,DADOS!$A$2:$H$252,4,0)*J1399,"")</f>
        <v>1.0847232</v>
      </c>
      <c r="L1399" s="26">
        <f t="shared" si="23"/>
        <v>0</v>
      </c>
      <c r="M1399" s="27"/>
      <c r="N1399" s="30"/>
      <c r="O1399" s="28"/>
      <c r="P1399" s="28"/>
      <c r="Q1399" s="28"/>
      <c r="R1399" s="28"/>
      <c r="S1399" s="28"/>
    </row>
    <row r="1400">
      <c r="A1400" s="17">
        <v>45817.0</v>
      </c>
      <c r="B1400" s="18" t="s">
        <v>138</v>
      </c>
      <c r="C1400" s="18" t="s">
        <v>19</v>
      </c>
      <c r="D1400" s="19"/>
      <c r="E1400" s="19"/>
      <c r="F1400" s="20">
        <f t="shared" si="24"/>
        <v>0</v>
      </c>
      <c r="G1400" s="21">
        <f>IFERROR(VLOOKUP(B1400,DADOS!$A$2:$H$252,8,0),"")</f>
        <v>15</v>
      </c>
      <c r="H1400" s="22">
        <v>30.0</v>
      </c>
      <c r="I1400" s="23">
        <f>IFERROR(VLOOKUP(B1400,DADOS!$A$2:$H$252,4,0)*H1400,"")</f>
        <v>9.76482</v>
      </c>
      <c r="J1400" s="36"/>
      <c r="K1400" s="25">
        <f>IFERROR(VLOOKUP(B1400,DADOS!$A$2:$H$252,4,0)*J1400,"")</f>
        <v>0</v>
      </c>
      <c r="L1400" s="26">
        <f t="shared" si="23"/>
        <v>0</v>
      </c>
      <c r="M1400" s="27"/>
      <c r="N1400" s="30"/>
      <c r="O1400" s="28"/>
      <c r="P1400" s="28"/>
      <c r="Q1400" s="28"/>
      <c r="R1400" s="28"/>
      <c r="S1400" s="28"/>
    </row>
    <row r="1401">
      <c r="A1401" s="17">
        <v>45817.0</v>
      </c>
      <c r="B1401" s="18" t="s">
        <v>186</v>
      </c>
      <c r="C1401" s="18" t="s">
        <v>19</v>
      </c>
      <c r="D1401" s="19"/>
      <c r="E1401" s="19"/>
      <c r="F1401" s="20">
        <f t="shared" si="24"/>
        <v>0</v>
      </c>
      <c r="G1401" s="21">
        <f>IFERROR(VLOOKUP(B1401,DADOS!$A$2:$H$252,8,0),"")</f>
        <v>25</v>
      </c>
      <c r="H1401" s="22">
        <v>59.0</v>
      </c>
      <c r="I1401" s="23">
        <f>IFERROR(VLOOKUP(B1401,DADOS!$A$2:$H$252,4,0)*H1401,"")</f>
        <v>16.363296</v>
      </c>
      <c r="J1401" s="24">
        <v>3.0</v>
      </c>
      <c r="K1401" s="25">
        <f>IFERROR(VLOOKUP(B1401,DADOS!$A$2:$H$252,4,0)*J1401,"")</f>
        <v>0.832032</v>
      </c>
      <c r="L1401" s="26">
        <f t="shared" si="23"/>
        <v>0</v>
      </c>
      <c r="M1401" s="27"/>
      <c r="N1401" s="30"/>
      <c r="O1401" s="28"/>
      <c r="P1401" s="28"/>
      <c r="Q1401" s="28"/>
      <c r="R1401" s="28"/>
      <c r="S1401" s="28"/>
    </row>
    <row r="1402">
      <c r="A1402" s="17">
        <v>45817.0</v>
      </c>
      <c r="B1402" s="18" t="s">
        <v>59</v>
      </c>
      <c r="C1402" s="18" t="s">
        <v>165</v>
      </c>
      <c r="D1402" s="19"/>
      <c r="E1402" s="19"/>
      <c r="F1402" s="20">
        <f t="shared" si="24"/>
        <v>0</v>
      </c>
      <c r="G1402" s="21">
        <f>IFERROR(VLOOKUP(B1402,DADOS!$A$2:$H$252,8,0),"")</f>
        <v>50</v>
      </c>
      <c r="H1402" s="22">
        <v>39.0</v>
      </c>
      <c r="I1402" s="23">
        <f>IFERROR(VLOOKUP(B1402,DADOS!$A$2:$H$252,4,0)*H1402,"")</f>
        <v>0.66768</v>
      </c>
      <c r="J1402" s="24">
        <v>1.0</v>
      </c>
      <c r="K1402" s="25">
        <f>IFERROR(VLOOKUP(B1402,DADOS!$A$2:$H$252,4,0)*J1402,"")</f>
        <v>0.01712</v>
      </c>
      <c r="L1402" s="26">
        <f t="shared" si="23"/>
        <v>0</v>
      </c>
      <c r="M1402" s="27"/>
      <c r="N1402" s="30"/>
      <c r="O1402" s="28"/>
      <c r="P1402" s="28"/>
      <c r="Q1402" s="28"/>
      <c r="R1402" s="28"/>
      <c r="S1402" s="28"/>
    </row>
    <row r="1403">
      <c r="A1403" s="17">
        <v>45817.0</v>
      </c>
      <c r="B1403" s="18" t="s">
        <v>27</v>
      </c>
      <c r="C1403" s="18" t="s">
        <v>165</v>
      </c>
      <c r="D1403" s="19"/>
      <c r="E1403" s="19"/>
      <c r="F1403" s="20">
        <f t="shared" si="24"/>
        <v>0</v>
      </c>
      <c r="G1403" s="21">
        <f>IFERROR(VLOOKUP(B1403,DADOS!$A$2:$H$252,8,0),"")</f>
        <v>30</v>
      </c>
      <c r="H1403" s="22">
        <v>131.0</v>
      </c>
      <c r="I1403" s="23">
        <f>IFERROR(VLOOKUP(B1403,DADOS!$A$2:$H$252,4,0)*H1403,"")</f>
        <v>2.24272</v>
      </c>
      <c r="J1403" s="24">
        <v>20.0</v>
      </c>
      <c r="K1403" s="25">
        <f>IFERROR(VLOOKUP(B1403,DADOS!$A$2:$H$252,4,0)*J1403,"")</f>
        <v>0.3424</v>
      </c>
      <c r="L1403" s="26">
        <f t="shared" si="23"/>
        <v>0</v>
      </c>
      <c r="M1403" s="27"/>
      <c r="N1403" s="30"/>
      <c r="O1403" s="28"/>
      <c r="P1403" s="28"/>
      <c r="Q1403" s="28"/>
      <c r="R1403" s="28"/>
      <c r="S1403" s="28"/>
    </row>
    <row r="1404">
      <c r="A1404" s="17">
        <v>45818.0</v>
      </c>
      <c r="B1404" s="18" t="s">
        <v>31</v>
      </c>
      <c r="C1404" s="18" t="s">
        <v>168</v>
      </c>
      <c r="D1404" s="19">
        <v>0.3333333333333333</v>
      </c>
      <c r="E1404" s="19">
        <v>0.5798611111111112</v>
      </c>
      <c r="F1404" s="20">
        <f t="shared" si="24"/>
        <v>0.2465277778</v>
      </c>
      <c r="G1404" s="21">
        <f>IFERROR(VLOOKUP(B1404,DADOS!$A$2:$H$252,8,0),"")</f>
        <v>10</v>
      </c>
      <c r="H1404" s="22">
        <v>27.0</v>
      </c>
      <c r="I1404" s="23">
        <f>IFERROR(VLOOKUP(B1404,DADOS!$A$2:$H$252,4,0)*H1404,"")</f>
        <v>3.6609408</v>
      </c>
      <c r="J1404" s="24">
        <v>1.0</v>
      </c>
      <c r="K1404" s="25">
        <f>IFERROR(VLOOKUP(B1404,DADOS!$A$2:$H$252,4,0)*J1404,"")</f>
        <v>0.1355904</v>
      </c>
      <c r="L1404" s="26">
        <f t="shared" si="23"/>
        <v>0</v>
      </c>
      <c r="M1404" s="27"/>
      <c r="N1404" s="30"/>
      <c r="O1404" s="28"/>
      <c r="P1404" s="28"/>
      <c r="Q1404" s="28"/>
      <c r="R1404" s="28"/>
      <c r="S1404" s="28"/>
    </row>
    <row r="1405">
      <c r="A1405" s="17">
        <v>45818.0</v>
      </c>
      <c r="B1405" s="18" t="s">
        <v>186</v>
      </c>
      <c r="C1405" s="18" t="s">
        <v>168</v>
      </c>
      <c r="D1405" s="19">
        <v>0.5868055555555556</v>
      </c>
      <c r="E1405" s="19">
        <v>0.65625</v>
      </c>
      <c r="F1405" s="20">
        <f t="shared" si="24"/>
        <v>0.06944444444</v>
      </c>
      <c r="G1405" s="21">
        <f>IFERROR(VLOOKUP(B1405,DADOS!$A$2:$H$252,8,0),"")</f>
        <v>25</v>
      </c>
      <c r="H1405" s="22">
        <v>28.0</v>
      </c>
      <c r="I1405" s="23">
        <f>IFERROR(VLOOKUP(B1405,DADOS!$A$2:$H$252,4,0)*H1405,"")</f>
        <v>7.765632</v>
      </c>
      <c r="J1405" s="24">
        <v>2.0</v>
      </c>
      <c r="K1405" s="25">
        <f>IFERROR(VLOOKUP(B1405,DADOS!$A$2:$H$252,4,0)*J1405,"")</f>
        <v>0.554688</v>
      </c>
      <c r="L1405" s="26">
        <f t="shared" si="23"/>
        <v>0</v>
      </c>
      <c r="M1405" s="27"/>
      <c r="N1405" s="30"/>
      <c r="O1405" s="28"/>
      <c r="P1405" s="28"/>
      <c r="Q1405" s="28"/>
      <c r="R1405" s="28"/>
      <c r="S1405" s="28"/>
    </row>
    <row r="1406">
      <c r="A1406" s="17">
        <v>45818.0</v>
      </c>
      <c r="B1406" s="18" t="s">
        <v>75</v>
      </c>
      <c r="C1406" s="18" t="s">
        <v>168</v>
      </c>
      <c r="D1406" s="19">
        <v>0.6631944444444444</v>
      </c>
      <c r="E1406" s="32">
        <v>1715.0</v>
      </c>
      <c r="F1406" s="20">
        <f t="shared" si="24"/>
        <v>1714.336806</v>
      </c>
      <c r="G1406" s="21">
        <f>IFERROR(VLOOKUP(B1406,DADOS!$A$2:$H$252,8,0),"")</f>
        <v>23</v>
      </c>
      <c r="H1406" s="22">
        <v>14.0</v>
      </c>
      <c r="I1406" s="23">
        <f>IFERROR(VLOOKUP(B1406,DADOS!$A$2:$H$252,4,0)*H1406,"")</f>
        <v>1.5950704</v>
      </c>
      <c r="J1406" s="24">
        <v>3.0</v>
      </c>
      <c r="K1406" s="25">
        <f>IFERROR(VLOOKUP(B1406,DADOS!$A$2:$H$252,4,0)*J1406,"")</f>
        <v>0.3418008</v>
      </c>
      <c r="L1406" s="26">
        <f t="shared" si="23"/>
        <v>0</v>
      </c>
      <c r="M1406" s="27"/>
      <c r="N1406" s="30"/>
      <c r="O1406" s="28"/>
      <c r="P1406" s="28"/>
      <c r="Q1406" s="28"/>
      <c r="R1406" s="28"/>
      <c r="S1406" s="28"/>
    </row>
    <row r="1407">
      <c r="A1407" s="17">
        <v>45818.0</v>
      </c>
      <c r="B1407" s="18" t="s">
        <v>27</v>
      </c>
      <c r="C1407" s="18" t="s">
        <v>165</v>
      </c>
      <c r="D1407" s="19">
        <v>0.3333333333333333</v>
      </c>
      <c r="E1407" s="19">
        <v>0.65625</v>
      </c>
      <c r="F1407" s="20">
        <f t="shared" si="24"/>
        <v>0.3229166667</v>
      </c>
      <c r="G1407" s="21">
        <f>IFERROR(VLOOKUP(B1407,DADOS!$A$2:$H$252,8,0),"")</f>
        <v>30</v>
      </c>
      <c r="H1407" s="22">
        <v>169.0</v>
      </c>
      <c r="I1407" s="23">
        <f>IFERROR(VLOOKUP(B1407,DADOS!$A$2:$H$252,4,0)*H1407,"")</f>
        <v>2.89328</v>
      </c>
      <c r="J1407" s="24">
        <v>3.0</v>
      </c>
      <c r="K1407" s="25">
        <f>IFERROR(VLOOKUP(B1407,DADOS!$A$2:$H$252,4,0)*J1407,"")</f>
        <v>0.05136</v>
      </c>
      <c r="L1407" s="26">
        <f t="shared" si="23"/>
        <v>0</v>
      </c>
      <c r="M1407" s="27"/>
      <c r="N1407" s="30"/>
      <c r="O1407" s="28"/>
      <c r="P1407" s="28"/>
      <c r="Q1407" s="28"/>
      <c r="R1407" s="28"/>
      <c r="S1407" s="28"/>
    </row>
    <row r="1408">
      <c r="A1408" s="17">
        <v>45819.0</v>
      </c>
      <c r="B1408" s="18" t="s">
        <v>75</v>
      </c>
      <c r="C1408" s="18" t="s">
        <v>168</v>
      </c>
      <c r="D1408" s="19"/>
      <c r="E1408" s="19"/>
      <c r="F1408" s="20">
        <f t="shared" si="24"/>
        <v>0</v>
      </c>
      <c r="G1408" s="21">
        <f>IFERROR(VLOOKUP(B1408,DADOS!$A$2:$H$252,8,0),"")</f>
        <v>23</v>
      </c>
      <c r="H1408" s="22">
        <v>86.0</v>
      </c>
      <c r="I1408" s="23">
        <f>IFERROR(VLOOKUP(B1408,DADOS!$A$2:$H$252,4,0)*H1408,"")</f>
        <v>9.7982896</v>
      </c>
      <c r="J1408" s="36"/>
      <c r="K1408" s="25">
        <f>IFERROR(VLOOKUP(B1408,DADOS!$A$2:$H$252,4,0)*J1408,"")</f>
        <v>0</v>
      </c>
      <c r="L1408" s="26">
        <f t="shared" si="23"/>
        <v>0</v>
      </c>
      <c r="M1408" s="27"/>
      <c r="N1408" s="30"/>
      <c r="O1408" s="28"/>
      <c r="P1408" s="28"/>
      <c r="Q1408" s="28"/>
      <c r="R1408" s="28"/>
      <c r="S1408" s="28"/>
    </row>
    <row r="1409">
      <c r="A1409" s="17">
        <v>45819.0</v>
      </c>
      <c r="B1409" s="18" t="s">
        <v>178</v>
      </c>
      <c r="C1409" s="18" t="s">
        <v>168</v>
      </c>
      <c r="D1409" s="19">
        <v>0.6131944444444445</v>
      </c>
      <c r="E1409" s="19">
        <v>0.7090277777777778</v>
      </c>
      <c r="F1409" s="20">
        <f t="shared" si="24"/>
        <v>0.09583333333</v>
      </c>
      <c r="G1409" s="21">
        <f>IFERROR(VLOOKUP(B1409,DADOS!$A$2:$H$252,8,0),"")</f>
        <v>35</v>
      </c>
      <c r="H1409" s="22">
        <v>69.0</v>
      </c>
      <c r="I1409" s="23">
        <f>IFERROR(VLOOKUP(B1409,DADOS!$A$2:$H$252,4,0)*H1409,"")</f>
        <v>14.61834</v>
      </c>
      <c r="J1409" s="24">
        <v>1.0</v>
      </c>
      <c r="K1409" s="25">
        <f>IFERROR(VLOOKUP(B1409,DADOS!$A$2:$H$252,4,0)*J1409,"")</f>
        <v>0.21186</v>
      </c>
      <c r="L1409" s="26">
        <f t="shared" si="23"/>
        <v>0</v>
      </c>
      <c r="M1409" s="27"/>
      <c r="N1409" s="30"/>
      <c r="O1409" s="28"/>
      <c r="P1409" s="28"/>
      <c r="Q1409" s="28"/>
      <c r="R1409" s="28"/>
      <c r="S1409" s="28"/>
    </row>
    <row r="1410">
      <c r="A1410" s="17">
        <v>45819.0</v>
      </c>
      <c r="B1410" s="18" t="s">
        <v>94</v>
      </c>
      <c r="C1410" s="18" t="s">
        <v>19</v>
      </c>
      <c r="D1410" s="19"/>
      <c r="E1410" s="19"/>
      <c r="F1410" s="20">
        <f t="shared" si="24"/>
        <v>0</v>
      </c>
      <c r="G1410" s="21">
        <f>IFERROR(VLOOKUP(B1410,DADOS!$A$2:$H$252,8,0),"")</f>
        <v>100</v>
      </c>
      <c r="H1410" s="22">
        <v>15.0</v>
      </c>
      <c r="I1410" s="23">
        <f>IFERROR(VLOOKUP(B1410,DADOS!$A$2:$H$252,4,0)*H1410,"")</f>
        <v>0.566244</v>
      </c>
      <c r="J1410" s="24">
        <v>2.0</v>
      </c>
      <c r="K1410" s="25">
        <f>IFERROR(VLOOKUP(B1410,DADOS!$A$2:$H$252,4,0)*J1410,"")</f>
        <v>0.0754992</v>
      </c>
      <c r="L1410" s="26">
        <f t="shared" si="23"/>
        <v>0</v>
      </c>
      <c r="M1410" s="27"/>
      <c r="N1410" s="30"/>
      <c r="O1410" s="28"/>
      <c r="P1410" s="28"/>
      <c r="Q1410" s="28"/>
      <c r="R1410" s="28"/>
      <c r="S1410" s="28"/>
    </row>
    <row r="1411">
      <c r="A1411" s="17">
        <v>45820.0</v>
      </c>
      <c r="B1411" s="18" t="s">
        <v>94</v>
      </c>
      <c r="C1411" s="18" t="s">
        <v>165</v>
      </c>
      <c r="D1411" s="19"/>
      <c r="E1411" s="19"/>
      <c r="F1411" s="20">
        <f t="shared" si="24"/>
        <v>0</v>
      </c>
      <c r="G1411" s="21">
        <f>IFERROR(VLOOKUP(B1411,DADOS!$A$2:$H$252,8,0),"")</f>
        <v>100</v>
      </c>
      <c r="H1411" s="22">
        <v>56.0</v>
      </c>
      <c r="I1411" s="23">
        <f>IFERROR(VLOOKUP(B1411,DADOS!$A$2:$H$252,4,0)*H1411,"")</f>
        <v>2.1139776</v>
      </c>
      <c r="J1411" s="24">
        <v>7.0</v>
      </c>
      <c r="K1411" s="25">
        <f>IFERROR(VLOOKUP(B1411,DADOS!$A$2:$H$252,4,0)*J1411,"")</f>
        <v>0.2642472</v>
      </c>
      <c r="L1411" s="26">
        <f t="shared" si="23"/>
        <v>0</v>
      </c>
      <c r="M1411" s="27"/>
      <c r="N1411" s="30"/>
      <c r="O1411" s="28"/>
      <c r="P1411" s="28"/>
      <c r="Q1411" s="28"/>
      <c r="R1411" s="28"/>
      <c r="S1411" s="28"/>
    </row>
    <row r="1412">
      <c r="A1412" s="17">
        <v>45820.0</v>
      </c>
      <c r="B1412" s="18" t="s">
        <v>98</v>
      </c>
      <c r="C1412" s="18" t="s">
        <v>165</v>
      </c>
      <c r="D1412" s="19"/>
      <c r="E1412" s="19"/>
      <c r="F1412" s="20">
        <f t="shared" si="24"/>
        <v>0</v>
      </c>
      <c r="G1412" s="21">
        <f>IFERROR(VLOOKUP(B1412,DADOS!$A$2:$H$252,8,0),"")</f>
        <v>100</v>
      </c>
      <c r="H1412" s="22">
        <v>79.0</v>
      </c>
      <c r="I1412" s="23">
        <f>IFERROR(VLOOKUP(B1412,DADOS!$A$2:$H$252,4,0)*H1412,"")</f>
        <v>21.30156</v>
      </c>
      <c r="J1412" s="24">
        <v>4.0</v>
      </c>
      <c r="K1412" s="25">
        <f>IFERROR(VLOOKUP(B1412,DADOS!$A$2:$H$252,4,0)*J1412,"")</f>
        <v>1.07856</v>
      </c>
      <c r="L1412" s="26">
        <f t="shared" si="23"/>
        <v>0</v>
      </c>
      <c r="M1412" s="27"/>
      <c r="N1412" s="30"/>
      <c r="O1412" s="28"/>
      <c r="P1412" s="28"/>
      <c r="Q1412" s="28"/>
      <c r="R1412" s="28"/>
      <c r="S1412" s="28"/>
    </row>
    <row r="1413">
      <c r="A1413" s="17">
        <v>45821.0</v>
      </c>
      <c r="B1413" s="18" t="s">
        <v>122</v>
      </c>
      <c r="C1413" s="18" t="s">
        <v>168</v>
      </c>
      <c r="D1413" s="19"/>
      <c r="E1413" s="19"/>
      <c r="F1413" s="20">
        <f t="shared" si="24"/>
        <v>0</v>
      </c>
      <c r="G1413" s="21">
        <f>IFERROR(VLOOKUP(B1413,DADOS!$A$2:$H$252,8,0),"")</f>
        <v>17</v>
      </c>
      <c r="H1413" s="22">
        <v>42.0</v>
      </c>
      <c r="I1413" s="23">
        <f>IFERROR(VLOOKUP(B1413,DADOS!$A$2:$H$252,4,0)*H1413,"")</f>
        <v>7.2074772</v>
      </c>
      <c r="J1413" s="24">
        <v>7.0</v>
      </c>
      <c r="K1413" s="25">
        <f>IFERROR(VLOOKUP(B1413,DADOS!$A$2:$H$252,4,0)*J1413,"")</f>
        <v>1.2012462</v>
      </c>
      <c r="L1413" s="26">
        <f t="shared" si="23"/>
        <v>0</v>
      </c>
      <c r="M1413" s="27"/>
      <c r="N1413" s="30"/>
      <c r="O1413" s="28"/>
      <c r="P1413" s="28"/>
      <c r="Q1413" s="28"/>
      <c r="R1413" s="28"/>
      <c r="S1413" s="28"/>
    </row>
    <row r="1414">
      <c r="A1414" s="17">
        <v>45821.0</v>
      </c>
      <c r="B1414" s="18" t="s">
        <v>98</v>
      </c>
      <c r="C1414" s="18" t="s">
        <v>165</v>
      </c>
      <c r="D1414" s="19"/>
      <c r="E1414" s="19"/>
      <c r="F1414" s="20">
        <f t="shared" si="24"/>
        <v>0</v>
      </c>
      <c r="G1414" s="21">
        <f>IFERROR(VLOOKUP(B1414,DADOS!$A$2:$H$252,8,0),"")</f>
        <v>100</v>
      </c>
      <c r="H1414" s="22">
        <v>140.0</v>
      </c>
      <c r="I1414" s="23">
        <f>IFERROR(VLOOKUP(B1414,DADOS!$A$2:$H$252,4,0)*H1414,"")</f>
        <v>37.7496</v>
      </c>
      <c r="J1414" s="24">
        <v>3.0</v>
      </c>
      <c r="K1414" s="25">
        <f>IFERROR(VLOOKUP(B1414,DADOS!$A$2:$H$252,4,0)*J1414,"")</f>
        <v>0.80892</v>
      </c>
      <c r="L1414" s="26">
        <f t="shared" si="23"/>
        <v>0</v>
      </c>
      <c r="M1414" s="27"/>
      <c r="N1414" s="30"/>
      <c r="O1414" s="28"/>
      <c r="P1414" s="28"/>
      <c r="Q1414" s="28"/>
      <c r="R1414" s="28"/>
      <c r="S1414" s="28"/>
    </row>
    <row r="1415">
      <c r="A1415" s="17">
        <v>45821.0</v>
      </c>
      <c r="B1415" s="18" t="s">
        <v>152</v>
      </c>
      <c r="C1415" s="18" t="s">
        <v>165</v>
      </c>
      <c r="D1415" s="19"/>
      <c r="E1415" s="19"/>
      <c r="F1415" s="20">
        <f t="shared" si="24"/>
        <v>0</v>
      </c>
      <c r="G1415" s="21">
        <f>IFERROR(VLOOKUP(B1415,DADOS!$A$2:$H$252,8,0),"")</f>
        <v>45</v>
      </c>
      <c r="H1415" s="22">
        <v>62.0</v>
      </c>
      <c r="I1415" s="23">
        <f>IFERROR(VLOOKUP(B1415,DADOS!$A$2:$H$252,4,0)*H1415,"")</f>
        <v>2.3404752</v>
      </c>
      <c r="J1415" s="24">
        <v>5.0</v>
      </c>
      <c r="K1415" s="25">
        <f>IFERROR(VLOOKUP(B1415,DADOS!$A$2:$H$252,4,0)*J1415,"")</f>
        <v>0.188748</v>
      </c>
      <c r="L1415" s="26">
        <f t="shared" si="23"/>
        <v>0</v>
      </c>
      <c r="M1415" s="27"/>
      <c r="N1415" s="30"/>
      <c r="O1415" s="28"/>
      <c r="P1415" s="28"/>
      <c r="Q1415" s="28"/>
      <c r="R1415" s="28"/>
      <c r="S1415" s="28"/>
    </row>
    <row r="1416">
      <c r="A1416" s="17">
        <v>45824.0</v>
      </c>
      <c r="B1416" s="18" t="s">
        <v>99</v>
      </c>
      <c r="C1416" s="18" t="s">
        <v>168</v>
      </c>
      <c r="D1416" s="19">
        <v>0.3611111111111111</v>
      </c>
      <c r="E1416" s="19">
        <v>0.65625</v>
      </c>
      <c r="F1416" s="20">
        <f t="shared" si="24"/>
        <v>0.2951388889</v>
      </c>
      <c r="G1416" s="21">
        <f>IFERROR(VLOOKUP(B1416,DADOS!$A$2:$H$252,8,0),"")</f>
        <v>26</v>
      </c>
      <c r="H1416" s="22">
        <v>150.0</v>
      </c>
      <c r="I1416" s="23">
        <f>IFERROR(VLOOKUP(B1416,DADOS!$A$2:$H$252,4,0)*H1416,"")</f>
        <v>14.124</v>
      </c>
      <c r="J1416" s="36"/>
      <c r="K1416" s="25">
        <f>IFERROR(VLOOKUP(B1416,DADOS!$A$2:$H$252,4,0)*J1416,"")</f>
        <v>0</v>
      </c>
      <c r="L1416" s="26">
        <f t="shared" si="23"/>
        <v>0</v>
      </c>
      <c r="M1416" s="27"/>
      <c r="N1416" s="30"/>
      <c r="O1416" s="28"/>
      <c r="P1416" s="28"/>
      <c r="Q1416" s="28"/>
      <c r="R1416" s="28"/>
      <c r="S1416" s="28"/>
    </row>
    <row r="1417">
      <c r="A1417" s="17">
        <v>45824.0</v>
      </c>
      <c r="B1417" s="18" t="s">
        <v>150</v>
      </c>
      <c r="C1417" s="18" t="s">
        <v>168</v>
      </c>
      <c r="D1417" s="19">
        <v>0.6597222222222222</v>
      </c>
      <c r="E1417" s="19">
        <v>0.7201388888888889</v>
      </c>
      <c r="F1417" s="20">
        <f t="shared" si="24"/>
        <v>0.06041666667</v>
      </c>
      <c r="G1417" s="21">
        <f>IFERROR(VLOOKUP(B1417,DADOS!$A$2:$H$252,8,0),"")</f>
        <v>12</v>
      </c>
      <c r="H1417" s="22">
        <v>3.0</v>
      </c>
      <c r="I1417" s="23">
        <f>IFERROR(VLOOKUP(B1417,DADOS!$A$2:$H$252,4,0)*H1417,"")</f>
        <v>0.5148198</v>
      </c>
      <c r="J1417" s="36"/>
      <c r="K1417" s="25">
        <f>IFERROR(VLOOKUP(B1417,DADOS!$A$2:$H$252,4,0)*J1417,"")</f>
        <v>0</v>
      </c>
      <c r="L1417" s="26">
        <f t="shared" si="23"/>
        <v>0</v>
      </c>
      <c r="M1417" s="27"/>
      <c r="N1417" s="30"/>
      <c r="O1417" s="28"/>
      <c r="P1417" s="28"/>
      <c r="Q1417" s="28"/>
      <c r="R1417" s="28"/>
      <c r="S1417" s="28"/>
    </row>
    <row r="1418">
      <c r="A1418" s="17">
        <v>45824.0</v>
      </c>
      <c r="B1418" s="18" t="s">
        <v>152</v>
      </c>
      <c r="C1418" s="18" t="s">
        <v>165</v>
      </c>
      <c r="D1418" s="19">
        <v>0.3194444444444444</v>
      </c>
      <c r="E1418" s="19">
        <v>0.4166666666666667</v>
      </c>
      <c r="F1418" s="20">
        <f t="shared" si="24"/>
        <v>0.09722222222</v>
      </c>
      <c r="G1418" s="21">
        <f>IFERROR(VLOOKUP(B1418,DADOS!$A$2:$H$252,8,0),"")</f>
        <v>45</v>
      </c>
      <c r="H1418" s="22">
        <v>36.0</v>
      </c>
      <c r="I1418" s="23">
        <f>IFERROR(VLOOKUP(B1418,DADOS!$A$2:$H$252,4,0)*H1418,"")</f>
        <v>1.3589856</v>
      </c>
      <c r="J1418" s="36"/>
      <c r="K1418" s="25">
        <f>IFERROR(VLOOKUP(B1418,DADOS!$A$2:$H$252,4,0)*J1418,"")</f>
        <v>0</v>
      </c>
      <c r="L1418" s="26">
        <f t="shared" si="23"/>
        <v>0</v>
      </c>
      <c r="M1418" s="27"/>
      <c r="N1418" s="30"/>
      <c r="O1418" s="28"/>
      <c r="P1418" s="28"/>
      <c r="Q1418" s="28"/>
      <c r="R1418" s="28"/>
      <c r="S1418" s="28"/>
    </row>
    <row r="1419">
      <c r="A1419" s="17">
        <v>45824.0</v>
      </c>
      <c r="B1419" s="18" t="s">
        <v>53</v>
      </c>
      <c r="C1419" s="18" t="s">
        <v>165</v>
      </c>
      <c r="D1419" s="19">
        <v>0.4375</v>
      </c>
      <c r="E1419" s="19">
        <v>0.6180555555555556</v>
      </c>
      <c r="F1419" s="20">
        <f t="shared" si="24"/>
        <v>0.1805555556</v>
      </c>
      <c r="G1419" s="21">
        <f>IFERROR(VLOOKUP(B1419,DADOS!$A$2:$H$252,8,0),"")</f>
        <v>120</v>
      </c>
      <c r="H1419" s="22">
        <v>229.0</v>
      </c>
      <c r="I1419" s="23">
        <f>IFERROR(VLOOKUP(B1419,DADOS!$A$2:$H$252,4,0)*H1419,"")</f>
        <v>2.20527</v>
      </c>
      <c r="J1419" s="36"/>
      <c r="K1419" s="25">
        <f>IFERROR(VLOOKUP(B1419,DADOS!$A$2:$H$252,4,0)*J1419,"")</f>
        <v>0</v>
      </c>
      <c r="L1419" s="26">
        <f t="shared" si="23"/>
        <v>0</v>
      </c>
      <c r="M1419" s="27"/>
      <c r="N1419" s="30"/>
      <c r="O1419" s="28"/>
      <c r="P1419" s="28"/>
      <c r="Q1419" s="28"/>
      <c r="R1419" s="28"/>
      <c r="S1419" s="28"/>
    </row>
    <row r="1420">
      <c r="A1420" s="17">
        <v>45824.0</v>
      </c>
      <c r="B1420" s="18" t="s">
        <v>55</v>
      </c>
      <c r="C1420" s="18" t="s">
        <v>165</v>
      </c>
      <c r="D1420" s="19">
        <v>0.6666666666666666</v>
      </c>
      <c r="E1420" s="19">
        <v>0.71875</v>
      </c>
      <c r="F1420" s="20">
        <f t="shared" si="24"/>
        <v>0.05208333333</v>
      </c>
      <c r="G1420" s="21">
        <f>IFERROR(VLOOKUP(B1420,DADOS!$A$2:$H$252,8,0),"")</f>
        <v>60</v>
      </c>
      <c r="H1420" s="22">
        <v>17.0</v>
      </c>
      <c r="I1420" s="23">
        <f>IFERROR(VLOOKUP(B1420,DADOS!$A$2:$H$252,4,0)*H1420,"")</f>
        <v>0.29104</v>
      </c>
      <c r="J1420" s="36"/>
      <c r="K1420" s="25">
        <f>IFERROR(VLOOKUP(B1420,DADOS!$A$2:$H$252,4,0)*J1420,"")</f>
        <v>0</v>
      </c>
      <c r="L1420" s="26">
        <f t="shared" si="23"/>
        <v>0</v>
      </c>
      <c r="M1420" s="27"/>
      <c r="N1420" s="30"/>
      <c r="O1420" s="28"/>
      <c r="P1420" s="28"/>
      <c r="Q1420" s="28"/>
      <c r="R1420" s="28"/>
      <c r="S1420" s="28"/>
    </row>
    <row r="1421">
      <c r="A1421" s="17">
        <v>45825.0</v>
      </c>
      <c r="B1421" s="18" t="s">
        <v>150</v>
      </c>
      <c r="C1421" s="18" t="s">
        <v>168</v>
      </c>
      <c r="D1421" s="19">
        <v>0.3402777777777778</v>
      </c>
      <c r="E1421" s="19">
        <v>0.71875</v>
      </c>
      <c r="F1421" s="20">
        <f t="shared" si="24"/>
        <v>0.3784722222</v>
      </c>
      <c r="G1421" s="21">
        <f>IFERROR(VLOOKUP(B1421,DADOS!$A$2:$H$252,8,0),"")</f>
        <v>12</v>
      </c>
      <c r="H1421" s="22">
        <v>30.0</v>
      </c>
      <c r="I1421" s="23">
        <f>IFERROR(VLOOKUP(B1421,DADOS!$A$2:$H$252,4,0)*H1421,"")</f>
        <v>5.148198</v>
      </c>
      <c r="J1421" s="24">
        <v>11.0</v>
      </c>
      <c r="K1421" s="25">
        <f>IFERROR(VLOOKUP(B1421,DADOS!$A$2:$H$252,4,0)*J1421,"")</f>
        <v>1.8876726</v>
      </c>
      <c r="L1421" s="26">
        <f t="shared" si="23"/>
        <v>0</v>
      </c>
      <c r="M1421" s="27"/>
      <c r="N1421" s="30"/>
      <c r="O1421" s="28"/>
      <c r="P1421" s="28"/>
      <c r="Q1421" s="28"/>
      <c r="R1421" s="28"/>
      <c r="S1421" s="28"/>
    </row>
    <row r="1422">
      <c r="A1422" s="17">
        <v>45825.0</v>
      </c>
      <c r="B1422" s="18" t="s">
        <v>187</v>
      </c>
      <c r="C1422" s="18" t="s">
        <v>19</v>
      </c>
      <c r="D1422" s="19"/>
      <c r="E1422" s="19"/>
      <c r="F1422" s="20">
        <f t="shared" si="24"/>
        <v>0</v>
      </c>
      <c r="G1422" s="21">
        <f>IFERROR(VLOOKUP(B1422,DADOS!$A$2:$H$252,8,0),"")</f>
        <v>40</v>
      </c>
      <c r="H1422" s="22">
        <v>4.0</v>
      </c>
      <c r="I1422" s="23">
        <f>IFERROR(VLOOKUP(B1422,DADOS!$A$2:$H$252,4,0)*H1422,"")</f>
        <v>1.109376</v>
      </c>
      <c r="J1422" s="36"/>
      <c r="K1422" s="25">
        <f>IFERROR(VLOOKUP(B1422,DADOS!$A$2:$H$252,4,0)*J1422,"")</f>
        <v>0</v>
      </c>
      <c r="L1422" s="26">
        <f t="shared" si="23"/>
        <v>0</v>
      </c>
      <c r="M1422" s="27"/>
      <c r="N1422" s="30"/>
      <c r="O1422" s="28"/>
      <c r="P1422" s="28"/>
      <c r="Q1422" s="28"/>
      <c r="R1422" s="28"/>
      <c r="S1422" s="28"/>
    </row>
    <row r="1423">
      <c r="A1423" s="17">
        <v>45825.0</v>
      </c>
      <c r="B1423" s="18" t="s">
        <v>55</v>
      </c>
      <c r="C1423" s="18" t="s">
        <v>165</v>
      </c>
      <c r="D1423" s="19">
        <v>0.3368055555555556</v>
      </c>
      <c r="E1423" s="19">
        <v>0.71875</v>
      </c>
      <c r="F1423" s="20">
        <f t="shared" si="24"/>
        <v>0.3819444444</v>
      </c>
      <c r="G1423" s="21">
        <f>IFERROR(VLOOKUP(B1423,DADOS!$A$2:$H$252,8,0),"")</f>
        <v>60</v>
      </c>
      <c r="H1423" s="22">
        <v>166.0</v>
      </c>
      <c r="I1423" s="23">
        <f>IFERROR(VLOOKUP(B1423,DADOS!$A$2:$H$252,4,0)*H1423,"")</f>
        <v>2.84192</v>
      </c>
      <c r="J1423" s="24">
        <v>4.0</v>
      </c>
      <c r="K1423" s="25">
        <f>IFERROR(VLOOKUP(B1423,DADOS!$A$2:$H$252,4,0)*J1423,"")</f>
        <v>0.06848</v>
      </c>
      <c r="L1423" s="26">
        <f t="shared" si="23"/>
        <v>0</v>
      </c>
      <c r="M1423" s="27"/>
      <c r="N1423" s="30"/>
      <c r="O1423" s="28"/>
      <c r="P1423" s="28"/>
      <c r="Q1423" s="28"/>
      <c r="R1423" s="28"/>
      <c r="S1423" s="28"/>
    </row>
    <row r="1424">
      <c r="A1424" s="17">
        <v>45825.0</v>
      </c>
      <c r="B1424" s="18" t="s">
        <v>99</v>
      </c>
      <c r="C1424" s="18" t="s">
        <v>146</v>
      </c>
      <c r="D1424" s="19">
        <v>0.3402777777777778</v>
      </c>
      <c r="E1424" s="19">
        <v>0.4930555555555556</v>
      </c>
      <c r="F1424" s="20">
        <f t="shared" si="24"/>
        <v>0.1527777778</v>
      </c>
      <c r="G1424" s="21">
        <f>IFERROR(VLOOKUP(B1424,DADOS!$A$2:$H$252,8,0),"")</f>
        <v>26</v>
      </c>
      <c r="H1424" s="22">
        <v>50.0</v>
      </c>
      <c r="I1424" s="23">
        <f>IFERROR(VLOOKUP(B1424,DADOS!$A$2:$H$252,4,0)*H1424,"")</f>
        <v>4.708</v>
      </c>
      <c r="J1424" s="24">
        <v>7.0</v>
      </c>
      <c r="K1424" s="25">
        <f>IFERROR(VLOOKUP(B1424,DADOS!$A$2:$H$252,4,0)*J1424,"")</f>
        <v>0.65912</v>
      </c>
      <c r="L1424" s="26">
        <f t="shared" si="23"/>
        <v>0</v>
      </c>
      <c r="M1424" s="27"/>
      <c r="N1424" s="30"/>
      <c r="O1424" s="28"/>
      <c r="P1424" s="28"/>
      <c r="Q1424" s="28"/>
      <c r="R1424" s="28"/>
      <c r="S1424" s="28"/>
    </row>
    <row r="1425">
      <c r="A1425" s="17">
        <v>45826.0</v>
      </c>
      <c r="B1425" s="18" t="s">
        <v>150</v>
      </c>
      <c r="C1425" s="18" t="s">
        <v>168</v>
      </c>
      <c r="D1425" s="19">
        <v>0.3194444444444444</v>
      </c>
      <c r="E1425" s="19">
        <v>0.3611111111111111</v>
      </c>
      <c r="F1425" s="20">
        <f t="shared" si="24"/>
        <v>0.04166666667</v>
      </c>
      <c r="G1425" s="21">
        <f>IFERROR(VLOOKUP(B1425,DADOS!$A$2:$H$252,8,0),"")</f>
        <v>12</v>
      </c>
      <c r="H1425" s="22">
        <v>6.0</v>
      </c>
      <c r="I1425" s="23">
        <f>IFERROR(VLOOKUP(B1425,DADOS!$A$2:$H$252,4,0)*H1425,"")</f>
        <v>1.0296396</v>
      </c>
      <c r="J1425" s="36"/>
      <c r="K1425" s="25">
        <f>IFERROR(VLOOKUP(B1425,DADOS!$A$2:$H$252,4,0)*J1425,"")</f>
        <v>0</v>
      </c>
      <c r="L1425" s="26">
        <f t="shared" si="23"/>
        <v>0</v>
      </c>
      <c r="M1425" s="27"/>
      <c r="N1425" s="30"/>
      <c r="O1425" s="28"/>
      <c r="P1425" s="28"/>
      <c r="Q1425" s="28"/>
      <c r="R1425" s="28"/>
      <c r="S1425" s="28"/>
    </row>
    <row r="1426">
      <c r="A1426" s="17">
        <v>45826.0</v>
      </c>
      <c r="B1426" s="18" t="s">
        <v>187</v>
      </c>
      <c r="C1426" s="18" t="s">
        <v>168</v>
      </c>
      <c r="D1426" s="19">
        <v>0.3680555555555556</v>
      </c>
      <c r="E1426" s="19">
        <v>0.4465277777777778</v>
      </c>
      <c r="F1426" s="20">
        <f t="shared" si="24"/>
        <v>0.07847222222</v>
      </c>
      <c r="G1426" s="21">
        <f>IFERROR(VLOOKUP(B1426,DADOS!$A$2:$H$252,8,0),"")</f>
        <v>40</v>
      </c>
      <c r="H1426" s="22">
        <v>38.0</v>
      </c>
      <c r="I1426" s="23">
        <f>IFERROR(VLOOKUP(B1426,DADOS!$A$2:$H$252,4,0)*H1426,"")</f>
        <v>10.539072</v>
      </c>
      <c r="J1426" s="36"/>
      <c r="K1426" s="25">
        <f>IFERROR(VLOOKUP(B1426,DADOS!$A$2:$H$252,4,0)*J1426,"")</f>
        <v>0</v>
      </c>
      <c r="L1426" s="26">
        <f t="shared" si="23"/>
        <v>0</v>
      </c>
      <c r="M1426" s="27"/>
      <c r="N1426" s="30"/>
      <c r="O1426" s="28"/>
      <c r="P1426" s="28"/>
      <c r="Q1426" s="28"/>
      <c r="R1426" s="28"/>
      <c r="S1426" s="28"/>
    </row>
    <row r="1427">
      <c r="A1427" s="17">
        <v>45826.0</v>
      </c>
      <c r="B1427" s="18" t="s">
        <v>185</v>
      </c>
      <c r="C1427" s="18" t="s">
        <v>168</v>
      </c>
      <c r="D1427" s="19">
        <v>0.4583333333333333</v>
      </c>
      <c r="E1427" s="19">
        <v>0.6375</v>
      </c>
      <c r="F1427" s="20">
        <f t="shared" si="24"/>
        <v>0.1791666667</v>
      </c>
      <c r="G1427" s="21">
        <f>IFERROR(VLOOKUP(B1427,DADOS!$A$2:$H$252,8,0),"")</f>
        <v>35</v>
      </c>
      <c r="H1427" s="22">
        <v>67.0</v>
      </c>
      <c r="I1427" s="23">
        <f>IFERROR(VLOOKUP(B1427,DADOS!$A$2:$H$252,4,0)*H1427,"")</f>
        <v>14.19462</v>
      </c>
      <c r="J1427" s="24">
        <v>2.0</v>
      </c>
      <c r="K1427" s="25">
        <f>IFERROR(VLOOKUP(B1427,DADOS!$A$2:$H$252,4,0)*J1427,"")</f>
        <v>0.42372</v>
      </c>
      <c r="L1427" s="26">
        <f t="shared" si="23"/>
        <v>0</v>
      </c>
      <c r="M1427" s="27"/>
      <c r="N1427" s="30"/>
      <c r="O1427" s="28"/>
      <c r="P1427" s="28"/>
      <c r="Q1427" s="28"/>
      <c r="R1427" s="28"/>
      <c r="S1427" s="28"/>
    </row>
    <row r="1428">
      <c r="A1428" s="17">
        <v>45826.0</v>
      </c>
      <c r="B1428" s="18" t="s">
        <v>135</v>
      </c>
      <c r="C1428" s="18" t="s">
        <v>168</v>
      </c>
      <c r="D1428" s="19">
        <v>0.6805555555555556</v>
      </c>
      <c r="E1428" s="19">
        <v>0.71875</v>
      </c>
      <c r="F1428" s="20">
        <f t="shared" si="24"/>
        <v>0.03819444444</v>
      </c>
      <c r="G1428" s="21">
        <f>IFERROR(VLOOKUP(B1428,DADOS!$A$2:$H$252,8,0),"")</f>
        <v>18</v>
      </c>
      <c r="H1428" s="22">
        <v>6.0</v>
      </c>
      <c r="I1428" s="23">
        <f>IFERROR(VLOOKUP(B1428,DADOS!$A$2:$H$252,4,0)*H1428,"")</f>
        <v>1.952964</v>
      </c>
      <c r="J1428" s="36"/>
      <c r="K1428" s="25">
        <f>IFERROR(VLOOKUP(B1428,DADOS!$A$2:$H$252,4,0)*J1428,"")</f>
        <v>0</v>
      </c>
      <c r="L1428" s="26">
        <f t="shared" si="23"/>
        <v>0</v>
      </c>
      <c r="M1428" s="27"/>
      <c r="N1428" s="30"/>
      <c r="O1428" s="28"/>
      <c r="P1428" s="28"/>
      <c r="Q1428" s="28"/>
      <c r="R1428" s="28"/>
      <c r="S1428" s="28"/>
    </row>
    <row r="1429">
      <c r="A1429" s="17">
        <v>45826.0</v>
      </c>
      <c r="B1429" s="18" t="s">
        <v>123</v>
      </c>
      <c r="C1429" s="18" t="s">
        <v>19</v>
      </c>
      <c r="D1429" s="19"/>
      <c r="E1429" s="19"/>
      <c r="F1429" s="20">
        <f t="shared" si="24"/>
        <v>0</v>
      </c>
      <c r="G1429" s="21" t="str">
        <f>IFERROR(VLOOKUP(B1429,DADOS!$A$2:$H$252,8,0),"")</f>
        <v/>
      </c>
      <c r="H1429" s="22">
        <v>9.0</v>
      </c>
      <c r="I1429" s="23">
        <f>IFERROR(VLOOKUP(B1429,DADOS!$A$2:$H$252,4,0)*H1429,"")</f>
        <v>0</v>
      </c>
      <c r="J1429" s="24">
        <v>4.0</v>
      </c>
      <c r="K1429" s="25">
        <f>IFERROR(VLOOKUP(B1429,DADOS!$A$2:$H$252,4,0)*J1429,"")</f>
        <v>0</v>
      </c>
      <c r="L1429" s="26" t="str">
        <f t="shared" si="23"/>
        <v/>
      </c>
      <c r="M1429" s="27"/>
      <c r="N1429" s="30"/>
      <c r="O1429" s="28"/>
      <c r="P1429" s="28"/>
      <c r="Q1429" s="28"/>
      <c r="R1429" s="28"/>
      <c r="S1429" s="28"/>
    </row>
    <row r="1430">
      <c r="A1430" s="17">
        <v>45826.0</v>
      </c>
      <c r="B1430" s="18" t="s">
        <v>55</v>
      </c>
      <c r="C1430" s="18" t="s">
        <v>165</v>
      </c>
      <c r="D1430" s="19"/>
      <c r="E1430" s="19"/>
      <c r="F1430" s="20">
        <f t="shared" si="24"/>
        <v>0</v>
      </c>
      <c r="G1430" s="21">
        <f>IFERROR(VLOOKUP(B1430,DADOS!$A$2:$H$252,8,0),"")</f>
        <v>60</v>
      </c>
      <c r="H1430" s="35"/>
      <c r="I1430" s="23">
        <f>IFERROR(VLOOKUP(B1430,DADOS!$A$2:$H$252,4,0)*H1430,"")</f>
        <v>0</v>
      </c>
      <c r="J1430" s="24">
        <v>1.0</v>
      </c>
      <c r="K1430" s="25">
        <f>IFERROR(VLOOKUP(B1430,DADOS!$A$2:$H$252,4,0)*J1430,"")</f>
        <v>0.01712</v>
      </c>
      <c r="L1430" s="26" t="str">
        <f t="shared" si="23"/>
        <v/>
      </c>
      <c r="M1430" s="27"/>
      <c r="N1430" s="30"/>
      <c r="O1430" s="28"/>
      <c r="P1430" s="28"/>
      <c r="Q1430" s="28"/>
      <c r="R1430" s="28"/>
      <c r="S1430" s="28"/>
    </row>
    <row r="1431">
      <c r="A1431" s="17">
        <v>45826.0</v>
      </c>
      <c r="B1431" s="18" t="s">
        <v>18</v>
      </c>
      <c r="C1431" s="18" t="s">
        <v>165</v>
      </c>
      <c r="D1431" s="19">
        <v>0.34375</v>
      </c>
      <c r="E1431" s="19">
        <v>0.71875</v>
      </c>
      <c r="F1431" s="20">
        <f t="shared" si="24"/>
        <v>0.375</v>
      </c>
      <c r="G1431" s="21">
        <f>IFERROR(VLOOKUP(B1431,DADOS!$A$2:$H$252,8,0),"")</f>
        <v>21</v>
      </c>
      <c r="H1431" s="22">
        <v>63.0</v>
      </c>
      <c r="I1431" s="23">
        <f>IFERROR(VLOOKUP(B1431,DADOS!$A$2:$H$252,4,0)*H1431,"")</f>
        <v>18.456858</v>
      </c>
      <c r="J1431" s="24">
        <v>2.0</v>
      </c>
      <c r="K1431" s="25">
        <f>IFERROR(VLOOKUP(B1431,DADOS!$A$2:$H$252,4,0)*J1431,"")</f>
        <v>0.585932</v>
      </c>
      <c r="L1431" s="26">
        <f t="shared" si="23"/>
        <v>0</v>
      </c>
      <c r="M1431" s="27"/>
      <c r="N1431" s="30"/>
      <c r="O1431" s="28"/>
      <c r="P1431" s="28"/>
      <c r="Q1431" s="28"/>
      <c r="R1431" s="28"/>
      <c r="S1431" s="28"/>
    </row>
    <row r="1432">
      <c r="A1432" s="17">
        <v>45828.0</v>
      </c>
      <c r="B1432" s="18" t="s">
        <v>123</v>
      </c>
      <c r="C1432" s="18" t="s">
        <v>19</v>
      </c>
      <c r="D1432" s="19"/>
      <c r="E1432" s="19"/>
      <c r="F1432" s="20">
        <f t="shared" si="24"/>
        <v>0</v>
      </c>
      <c r="G1432" s="21" t="str">
        <f>IFERROR(VLOOKUP(B1432,DADOS!$A$2:$H$252,8,0),"")</f>
        <v/>
      </c>
      <c r="H1432" s="22">
        <v>94.0</v>
      </c>
      <c r="I1432" s="23">
        <f>IFERROR(VLOOKUP(B1432,DADOS!$A$2:$H$252,4,0)*H1432,"")</f>
        <v>0</v>
      </c>
      <c r="J1432" s="24">
        <v>3.0</v>
      </c>
      <c r="K1432" s="25">
        <f>IFERROR(VLOOKUP(B1432,DADOS!$A$2:$H$252,4,0)*J1432,"")</f>
        <v>0</v>
      </c>
      <c r="L1432" s="26" t="str">
        <f t="shared" si="23"/>
        <v/>
      </c>
      <c r="M1432" s="27"/>
      <c r="N1432" s="30"/>
      <c r="O1432" s="28"/>
      <c r="P1432" s="28"/>
      <c r="Q1432" s="28"/>
      <c r="R1432" s="28"/>
      <c r="S1432" s="28"/>
    </row>
    <row r="1433">
      <c r="A1433" s="17">
        <v>45828.0</v>
      </c>
      <c r="B1433" s="18" t="s">
        <v>18</v>
      </c>
      <c r="C1433" s="18" t="s">
        <v>165</v>
      </c>
      <c r="D1433" s="19"/>
      <c r="E1433" s="19"/>
      <c r="F1433" s="20">
        <f t="shared" si="24"/>
        <v>0</v>
      </c>
      <c r="G1433" s="21">
        <f>IFERROR(VLOOKUP(B1433,DADOS!$A$2:$H$252,8,0),"")</f>
        <v>21</v>
      </c>
      <c r="H1433" s="22">
        <v>80.0</v>
      </c>
      <c r="I1433" s="23">
        <f>IFERROR(VLOOKUP(B1433,DADOS!$A$2:$H$252,4,0)*H1433,"")</f>
        <v>23.43728</v>
      </c>
      <c r="J1433" s="24">
        <v>1.0</v>
      </c>
      <c r="K1433" s="25">
        <f>IFERROR(VLOOKUP(B1433,DADOS!$A$2:$H$252,4,0)*J1433,"")</f>
        <v>0.292966</v>
      </c>
      <c r="L1433" s="26">
        <f t="shared" si="23"/>
        <v>0</v>
      </c>
      <c r="M1433" s="27"/>
      <c r="N1433" s="30"/>
      <c r="O1433" s="28"/>
      <c r="P1433" s="28"/>
      <c r="Q1433" s="28"/>
      <c r="R1433" s="28"/>
      <c r="S1433" s="28"/>
    </row>
    <row r="1434">
      <c r="A1434" s="17">
        <v>45831.0</v>
      </c>
      <c r="B1434" s="18" t="s">
        <v>18</v>
      </c>
      <c r="C1434" s="18" t="s">
        <v>19</v>
      </c>
      <c r="D1434" s="19"/>
      <c r="E1434" s="19"/>
      <c r="F1434" s="20">
        <f t="shared" si="24"/>
        <v>0</v>
      </c>
      <c r="G1434" s="21">
        <f>IFERROR(VLOOKUP(B1434,DADOS!$A$2:$H$252,8,0),"")</f>
        <v>21</v>
      </c>
      <c r="H1434" s="22">
        <v>19.0</v>
      </c>
      <c r="I1434" s="23">
        <f>IFERROR(VLOOKUP(B1434,DADOS!$A$2:$H$252,4,0)*H1434,"")</f>
        <v>5.566354</v>
      </c>
      <c r="J1434" s="36"/>
      <c r="K1434" s="25">
        <f>IFERROR(VLOOKUP(B1434,DADOS!$A$2:$H$252,4,0)*J1434,"")</f>
        <v>0</v>
      </c>
      <c r="L1434" s="26">
        <f t="shared" si="23"/>
        <v>0</v>
      </c>
      <c r="M1434" s="27"/>
      <c r="N1434" s="30"/>
      <c r="O1434" s="28"/>
      <c r="P1434" s="28"/>
      <c r="Q1434" s="28"/>
      <c r="R1434" s="28"/>
      <c r="S1434" s="28"/>
    </row>
    <row r="1435">
      <c r="A1435" s="17">
        <v>45831.0</v>
      </c>
      <c r="B1435" s="18" t="s">
        <v>179</v>
      </c>
      <c r="C1435" s="18" t="s">
        <v>19</v>
      </c>
      <c r="D1435" s="19"/>
      <c r="E1435" s="19"/>
      <c r="F1435" s="20">
        <f t="shared" si="24"/>
        <v>0</v>
      </c>
      <c r="G1435" s="21">
        <f>IFERROR(VLOOKUP(B1435,DADOS!$A$2:$H$252,8,0),"")</f>
        <v>15</v>
      </c>
      <c r="H1435" s="22">
        <v>18.0</v>
      </c>
      <c r="I1435" s="23">
        <f>IFERROR(VLOOKUP(B1435,DADOS!$A$2:$H$252,4,0)*H1435,"")</f>
        <v>3.019968</v>
      </c>
      <c r="J1435" s="24">
        <v>2.0</v>
      </c>
      <c r="K1435" s="25">
        <f>IFERROR(VLOOKUP(B1435,DADOS!$A$2:$H$252,4,0)*J1435,"")</f>
        <v>0.335552</v>
      </c>
      <c r="L1435" s="26">
        <f t="shared" si="23"/>
        <v>0</v>
      </c>
      <c r="M1435" s="27"/>
      <c r="N1435" s="30"/>
      <c r="O1435" s="28"/>
      <c r="P1435" s="28"/>
      <c r="Q1435" s="28"/>
      <c r="R1435" s="28"/>
      <c r="S1435" s="28"/>
    </row>
    <row r="1436">
      <c r="A1436" s="17">
        <v>45831.0</v>
      </c>
      <c r="B1436" s="18" t="s">
        <v>18</v>
      </c>
      <c r="C1436" s="18" t="s">
        <v>146</v>
      </c>
      <c r="D1436" s="19"/>
      <c r="E1436" s="19"/>
      <c r="F1436" s="20">
        <f t="shared" si="24"/>
        <v>0</v>
      </c>
      <c r="G1436" s="21">
        <f>IFERROR(VLOOKUP(B1436,DADOS!$A$2:$H$252,8,0),"")</f>
        <v>21</v>
      </c>
      <c r="H1436" s="22">
        <v>20.0</v>
      </c>
      <c r="I1436" s="23">
        <f>IFERROR(VLOOKUP(B1436,DADOS!$A$2:$H$252,4,0)*H1436,"")</f>
        <v>5.85932</v>
      </c>
      <c r="J1436" s="24">
        <v>6.0</v>
      </c>
      <c r="K1436" s="25">
        <f>IFERROR(VLOOKUP(B1436,DADOS!$A$2:$H$252,4,0)*J1436,"")</f>
        <v>1.757796</v>
      </c>
      <c r="L1436" s="26">
        <f t="shared" si="23"/>
        <v>0</v>
      </c>
      <c r="M1436" s="27"/>
      <c r="N1436" s="30"/>
      <c r="O1436" s="28"/>
      <c r="P1436" s="28"/>
      <c r="Q1436" s="28"/>
      <c r="R1436" s="28"/>
      <c r="S1436" s="28"/>
    </row>
    <row r="1437">
      <c r="A1437" s="17">
        <v>45832.0</v>
      </c>
      <c r="B1437" s="18" t="s">
        <v>22</v>
      </c>
      <c r="C1437" s="18" t="s">
        <v>166</v>
      </c>
      <c r="D1437" s="19">
        <v>0.3333333333333333</v>
      </c>
      <c r="E1437" s="19">
        <v>0.5</v>
      </c>
      <c r="F1437" s="20">
        <f t="shared" si="24"/>
        <v>0.1666666667</v>
      </c>
      <c r="G1437" s="21">
        <f>IFERROR(VLOOKUP(B1437,DADOS!$A$2:$H$252,8,0),"")</f>
        <v>15</v>
      </c>
      <c r="H1437" s="22">
        <v>38.0</v>
      </c>
      <c r="I1437" s="23">
        <f>IFERROR(VLOOKUP(B1437,DADOS!$A$2:$H$252,4,0)*H1437,"")</f>
        <v>23.2664652</v>
      </c>
      <c r="J1437" s="36"/>
      <c r="K1437" s="25">
        <f>IFERROR(VLOOKUP(B1437,DADOS!$A$2:$H$252,4,0)*J1437,"")</f>
        <v>0</v>
      </c>
      <c r="L1437" s="26">
        <f t="shared" si="23"/>
        <v>0</v>
      </c>
      <c r="M1437" s="27"/>
      <c r="N1437" s="30"/>
      <c r="O1437" s="28"/>
      <c r="P1437" s="28"/>
      <c r="Q1437" s="28"/>
      <c r="R1437" s="28"/>
      <c r="S1437" s="28"/>
    </row>
    <row r="1438">
      <c r="A1438" s="17">
        <v>45832.0</v>
      </c>
      <c r="B1438" s="18" t="s">
        <v>78</v>
      </c>
      <c r="C1438" s="18" t="s">
        <v>19</v>
      </c>
      <c r="D1438" s="19"/>
      <c r="E1438" s="19"/>
      <c r="F1438" s="20">
        <f t="shared" si="24"/>
        <v>0</v>
      </c>
      <c r="G1438" s="21">
        <f>IFERROR(VLOOKUP(B1438,DADOS!$A$2:$H$252,8,0),"")</f>
        <v>25</v>
      </c>
      <c r="H1438" s="22">
        <v>50.0</v>
      </c>
      <c r="I1438" s="23">
        <f>IFERROR(VLOOKUP(B1438,DADOS!$A$2:$H$252,4,0)*H1438,"")</f>
        <v>16.2747</v>
      </c>
      <c r="J1438" s="36"/>
      <c r="K1438" s="25">
        <f>IFERROR(VLOOKUP(B1438,DADOS!$A$2:$H$252,4,0)*J1438,"")</f>
        <v>0</v>
      </c>
      <c r="L1438" s="26">
        <f t="shared" si="23"/>
        <v>0</v>
      </c>
      <c r="M1438" s="27"/>
      <c r="N1438" s="30"/>
      <c r="O1438" s="28"/>
      <c r="P1438" s="28"/>
      <c r="Q1438" s="28"/>
      <c r="R1438" s="28"/>
      <c r="S1438" s="28"/>
    </row>
    <row r="1439">
      <c r="A1439" s="17">
        <v>45832.0</v>
      </c>
      <c r="B1439" s="18" t="s">
        <v>51</v>
      </c>
      <c r="C1439" s="18" t="s">
        <v>19</v>
      </c>
      <c r="D1439" s="19"/>
      <c r="E1439" s="19"/>
      <c r="F1439" s="20">
        <f t="shared" si="24"/>
        <v>0</v>
      </c>
      <c r="G1439" s="21">
        <f>IFERROR(VLOOKUP(B1439,DADOS!$A$2:$H$252,8,0),"")</f>
        <v>28</v>
      </c>
      <c r="H1439" s="22">
        <v>50.0</v>
      </c>
      <c r="I1439" s="23">
        <f>IFERROR(VLOOKUP(B1439,DADOS!$A$2:$H$252,4,0)*H1439,"")</f>
        <v>5.69668</v>
      </c>
      <c r="J1439" s="24">
        <v>1.0</v>
      </c>
      <c r="K1439" s="25">
        <f>IFERROR(VLOOKUP(B1439,DADOS!$A$2:$H$252,4,0)*J1439,"")</f>
        <v>0.1139336</v>
      </c>
      <c r="L1439" s="26">
        <f t="shared" si="23"/>
        <v>0</v>
      </c>
      <c r="M1439" s="27"/>
      <c r="N1439" s="30"/>
      <c r="O1439" s="28"/>
      <c r="P1439" s="28"/>
      <c r="Q1439" s="28"/>
      <c r="R1439" s="28"/>
      <c r="S1439" s="28"/>
    </row>
    <row r="1440">
      <c r="A1440" s="17">
        <v>45832.0</v>
      </c>
      <c r="B1440" s="18" t="s">
        <v>47</v>
      </c>
      <c r="C1440" s="18" t="s">
        <v>165</v>
      </c>
      <c r="D1440" s="19">
        <v>0.4722222222222222</v>
      </c>
      <c r="E1440" s="19">
        <v>0.7083333333333334</v>
      </c>
      <c r="F1440" s="20">
        <f t="shared" si="24"/>
        <v>0.2361111111</v>
      </c>
      <c r="G1440" s="21">
        <f>IFERROR(VLOOKUP(B1440,DADOS!$A$2:$H$252,8,0),"")</f>
        <v>35</v>
      </c>
      <c r="H1440" s="22">
        <v>50.0</v>
      </c>
      <c r="I1440" s="23">
        <f>IFERROR(VLOOKUP(B1440,DADOS!$A$2:$H$252,4,0)*H1440,"")</f>
        <v>5.69668</v>
      </c>
      <c r="J1440" s="24">
        <v>4.0</v>
      </c>
      <c r="K1440" s="25">
        <f>IFERROR(VLOOKUP(B1440,DADOS!$A$2:$H$252,4,0)*J1440,"")</f>
        <v>0.4557344</v>
      </c>
      <c r="L1440" s="26">
        <f t="shared" si="23"/>
        <v>0</v>
      </c>
      <c r="M1440" s="27"/>
      <c r="N1440" s="30"/>
      <c r="O1440" s="28"/>
      <c r="P1440" s="28"/>
      <c r="Q1440" s="28"/>
      <c r="R1440" s="28"/>
      <c r="S1440" s="28"/>
    </row>
    <row r="1441">
      <c r="A1441" s="17">
        <v>45832.0</v>
      </c>
      <c r="B1441" s="18" t="s">
        <v>179</v>
      </c>
      <c r="C1441" s="18" t="s">
        <v>165</v>
      </c>
      <c r="D1441" s="19">
        <v>0.3333333333333333</v>
      </c>
      <c r="E1441" s="19">
        <v>0.4027777777777778</v>
      </c>
      <c r="F1441" s="20">
        <f t="shared" si="24"/>
        <v>0.06944444444</v>
      </c>
      <c r="G1441" s="21">
        <f>IFERROR(VLOOKUP(B1441,DADOS!$A$2:$H$252,8,0),"")</f>
        <v>15</v>
      </c>
      <c r="H1441" s="22">
        <v>39.0</v>
      </c>
      <c r="I1441" s="23">
        <f>IFERROR(VLOOKUP(B1441,DADOS!$A$2:$H$252,4,0)*H1441,"")</f>
        <v>6.543264</v>
      </c>
      <c r="J1441" s="36"/>
      <c r="K1441" s="25">
        <f>IFERROR(VLOOKUP(B1441,DADOS!$A$2:$H$252,4,0)*J1441,"")</f>
        <v>0</v>
      </c>
      <c r="L1441" s="26">
        <f t="shared" si="23"/>
        <v>0</v>
      </c>
      <c r="M1441" s="27"/>
      <c r="N1441" s="30"/>
      <c r="O1441" s="28"/>
      <c r="P1441" s="28"/>
      <c r="Q1441" s="28"/>
      <c r="R1441" s="28"/>
      <c r="S1441" s="28"/>
    </row>
    <row r="1442">
      <c r="A1442" s="17">
        <v>45833.0</v>
      </c>
      <c r="B1442" s="18" t="s">
        <v>22</v>
      </c>
      <c r="C1442" s="18" t="s">
        <v>166</v>
      </c>
      <c r="D1442" s="19">
        <v>0.3194444444444444</v>
      </c>
      <c r="E1442" s="19">
        <v>0.4861111111111111</v>
      </c>
      <c r="F1442" s="20">
        <f t="shared" si="24"/>
        <v>0.1666666667</v>
      </c>
      <c r="G1442" s="21">
        <f>IFERROR(VLOOKUP(B1442,DADOS!$A$2:$H$252,8,0),"")</f>
        <v>15</v>
      </c>
      <c r="H1442" s="22">
        <v>42.0</v>
      </c>
      <c r="I1442" s="23">
        <f>IFERROR(VLOOKUP(B1442,DADOS!$A$2:$H$252,4,0)*H1442,"")</f>
        <v>25.7155668</v>
      </c>
      <c r="J1442" s="36"/>
      <c r="K1442" s="25">
        <f>IFERROR(VLOOKUP(B1442,DADOS!$A$2:$H$252,4,0)*J1442,"")</f>
        <v>0</v>
      </c>
      <c r="L1442" s="26">
        <f t="shared" si="23"/>
        <v>0</v>
      </c>
      <c r="M1442" s="27"/>
      <c r="N1442" s="30"/>
      <c r="O1442" s="28"/>
      <c r="P1442" s="28"/>
      <c r="Q1442" s="28"/>
      <c r="R1442" s="28"/>
      <c r="S1442" s="28"/>
    </row>
    <row r="1443">
      <c r="A1443" s="17">
        <v>45833.0</v>
      </c>
      <c r="B1443" s="18" t="s">
        <v>26</v>
      </c>
      <c r="C1443" s="18" t="s">
        <v>19</v>
      </c>
      <c r="D1443" s="19"/>
      <c r="E1443" s="19"/>
      <c r="F1443" s="20">
        <f t="shared" si="24"/>
        <v>0</v>
      </c>
      <c r="G1443" s="21">
        <f>IFERROR(VLOOKUP(B1443,DADOS!$A$2:$H$252,8,0),"")</f>
        <v>50</v>
      </c>
      <c r="H1443" s="22">
        <v>128.0</v>
      </c>
      <c r="I1443" s="23">
        <f>IFERROR(VLOOKUP(B1443,DADOS!$A$2:$H$252,4,0)*H1443,"")</f>
        <v>14.5835008</v>
      </c>
      <c r="J1443" s="24">
        <v>1.0</v>
      </c>
      <c r="K1443" s="25">
        <f>IFERROR(VLOOKUP(B1443,DADOS!$A$2:$H$252,4,0)*J1443,"")</f>
        <v>0.1139336</v>
      </c>
      <c r="L1443" s="26">
        <f t="shared" si="23"/>
        <v>0</v>
      </c>
      <c r="M1443" s="27"/>
      <c r="N1443" s="30"/>
      <c r="O1443" s="28"/>
      <c r="P1443" s="28"/>
      <c r="Q1443" s="28"/>
      <c r="R1443" s="28"/>
      <c r="S1443" s="28"/>
    </row>
    <row r="1444">
      <c r="A1444" s="17">
        <v>45833.0</v>
      </c>
      <c r="B1444" s="18" t="s">
        <v>51</v>
      </c>
      <c r="C1444" s="18" t="s">
        <v>19</v>
      </c>
      <c r="D1444" s="19"/>
      <c r="E1444" s="19"/>
      <c r="F1444" s="20">
        <f t="shared" si="24"/>
        <v>0</v>
      </c>
      <c r="G1444" s="21">
        <f>IFERROR(VLOOKUP(B1444,DADOS!$A$2:$H$252,8,0),"")</f>
        <v>28</v>
      </c>
      <c r="H1444" s="22">
        <v>24.0</v>
      </c>
      <c r="I1444" s="23">
        <f>IFERROR(VLOOKUP(B1444,DADOS!$A$2:$H$252,4,0)*H1444,"")</f>
        <v>2.7344064</v>
      </c>
      <c r="J1444" s="36"/>
      <c r="K1444" s="25">
        <f>IFERROR(VLOOKUP(B1444,DADOS!$A$2:$H$252,4,0)*J1444,"")</f>
        <v>0</v>
      </c>
      <c r="L1444" s="26">
        <f t="shared" si="23"/>
        <v>0</v>
      </c>
      <c r="M1444" s="27"/>
      <c r="N1444" s="30"/>
      <c r="O1444" s="28"/>
      <c r="P1444" s="28"/>
      <c r="Q1444" s="28"/>
      <c r="R1444" s="28"/>
      <c r="S1444" s="28"/>
    </row>
    <row r="1445">
      <c r="A1445" s="17">
        <v>45833.0</v>
      </c>
      <c r="B1445" s="18" t="s">
        <v>16</v>
      </c>
      <c r="C1445" s="18" t="s">
        <v>19</v>
      </c>
      <c r="D1445" s="19"/>
      <c r="E1445" s="19"/>
      <c r="F1445" s="20">
        <f t="shared" si="24"/>
        <v>0</v>
      </c>
      <c r="G1445" s="21">
        <f>IFERROR(VLOOKUP(B1445,DADOS!$A$2:$H$252,8,0),"")</f>
        <v>150</v>
      </c>
      <c r="H1445" s="22">
        <v>66.0</v>
      </c>
      <c r="I1445" s="23">
        <f>IFERROR(VLOOKUP(B1445,DADOS!$A$2:$H$252,4,0)*H1445,"")</f>
        <v>1.9095648</v>
      </c>
      <c r="J1445" s="24">
        <v>2.0</v>
      </c>
      <c r="K1445" s="25">
        <f>IFERROR(VLOOKUP(B1445,DADOS!$A$2:$H$252,4,0)*J1445,"")</f>
        <v>0.0578656</v>
      </c>
      <c r="L1445" s="26">
        <f t="shared" si="23"/>
        <v>0</v>
      </c>
      <c r="M1445" s="27"/>
      <c r="N1445" s="30"/>
      <c r="O1445" s="28"/>
      <c r="P1445" s="28"/>
      <c r="Q1445" s="28"/>
      <c r="R1445" s="28"/>
      <c r="S1445" s="28"/>
    </row>
    <row r="1446">
      <c r="A1446" s="17">
        <v>45833.0</v>
      </c>
      <c r="B1446" s="18" t="s">
        <v>47</v>
      </c>
      <c r="C1446" s="18" t="s">
        <v>165</v>
      </c>
      <c r="D1446" s="19">
        <v>0.39861111111111114</v>
      </c>
      <c r="E1446" s="19">
        <v>0.42777777777777776</v>
      </c>
      <c r="F1446" s="20">
        <f t="shared" si="24"/>
        <v>0.02916666667</v>
      </c>
      <c r="G1446" s="21">
        <f>IFERROR(VLOOKUP(B1446,DADOS!$A$2:$H$252,8,0),"")</f>
        <v>35</v>
      </c>
      <c r="H1446" s="22">
        <v>7.0</v>
      </c>
      <c r="I1446" s="23">
        <f>IFERROR(VLOOKUP(B1446,DADOS!$A$2:$H$252,4,0)*H1446,"")</f>
        <v>0.7975352</v>
      </c>
      <c r="J1446" s="24">
        <v>2.0</v>
      </c>
      <c r="K1446" s="25">
        <f>IFERROR(VLOOKUP(B1446,DADOS!$A$2:$H$252,4,0)*J1446,"")</f>
        <v>0.2278672</v>
      </c>
      <c r="L1446" s="26">
        <f t="shared" si="23"/>
        <v>0</v>
      </c>
      <c r="M1446" s="27"/>
      <c r="N1446" s="30"/>
      <c r="O1446" s="28"/>
      <c r="P1446" s="28"/>
      <c r="Q1446" s="28"/>
      <c r="R1446" s="28"/>
      <c r="S1446" s="28"/>
    </row>
    <row r="1447">
      <c r="A1447" s="17">
        <v>45833.0</v>
      </c>
      <c r="B1447" s="18" t="s">
        <v>51</v>
      </c>
      <c r="C1447" s="18" t="s">
        <v>165</v>
      </c>
      <c r="D1447" s="19">
        <v>0.4375</v>
      </c>
      <c r="E1447" s="19">
        <v>0.4791666666666667</v>
      </c>
      <c r="F1447" s="20">
        <f t="shared" si="24"/>
        <v>0.04166666667</v>
      </c>
      <c r="G1447" s="21">
        <f>IFERROR(VLOOKUP(B1447,DADOS!$A$2:$H$252,8,0),"")</f>
        <v>28</v>
      </c>
      <c r="H1447" s="22">
        <v>41.0</v>
      </c>
      <c r="I1447" s="23">
        <f>IFERROR(VLOOKUP(B1447,DADOS!$A$2:$H$252,4,0)*H1447,"")</f>
        <v>4.6712776</v>
      </c>
      <c r="J1447" s="36"/>
      <c r="K1447" s="25">
        <f>IFERROR(VLOOKUP(B1447,DADOS!$A$2:$H$252,4,0)*J1447,"")</f>
        <v>0</v>
      </c>
      <c r="L1447" s="26">
        <f t="shared" si="23"/>
        <v>0</v>
      </c>
      <c r="M1447" s="27"/>
      <c r="N1447" s="30"/>
      <c r="O1447" s="28"/>
      <c r="P1447" s="28"/>
      <c r="Q1447" s="28"/>
      <c r="R1447" s="28"/>
      <c r="S1447" s="28"/>
    </row>
    <row r="1448">
      <c r="A1448" s="17">
        <v>45833.0</v>
      </c>
      <c r="B1448" s="18" t="s">
        <v>18</v>
      </c>
      <c r="C1448" s="18" t="s">
        <v>165</v>
      </c>
      <c r="D1448" s="19">
        <v>0.4930555555555556</v>
      </c>
      <c r="E1448" s="19">
        <v>0.7083333333333334</v>
      </c>
      <c r="F1448" s="20">
        <f t="shared" si="24"/>
        <v>0.2152777778</v>
      </c>
      <c r="G1448" s="21">
        <f>IFERROR(VLOOKUP(B1448,DADOS!$A$2:$H$252,8,0),"")</f>
        <v>21</v>
      </c>
      <c r="H1448" s="22">
        <v>48.0</v>
      </c>
      <c r="I1448" s="23">
        <f>IFERROR(VLOOKUP(B1448,DADOS!$A$2:$H$252,4,0)*H1448,"")</f>
        <v>14.062368</v>
      </c>
      <c r="J1448" s="36"/>
      <c r="K1448" s="25">
        <f>IFERROR(VLOOKUP(B1448,DADOS!$A$2:$H$252,4,0)*J1448,"")</f>
        <v>0</v>
      </c>
      <c r="L1448" s="26">
        <f t="shared" si="23"/>
        <v>0</v>
      </c>
      <c r="M1448" s="27"/>
      <c r="N1448" s="30"/>
      <c r="O1448" s="28"/>
      <c r="P1448" s="28"/>
      <c r="Q1448" s="28"/>
      <c r="R1448" s="28"/>
      <c r="S1448" s="28"/>
    </row>
    <row r="1449">
      <c r="A1449" s="17">
        <v>45834.0</v>
      </c>
      <c r="B1449" s="18" t="s">
        <v>113</v>
      </c>
      <c r="C1449" s="18" t="s">
        <v>166</v>
      </c>
      <c r="D1449" s="19">
        <v>0.3194444444444444</v>
      </c>
      <c r="E1449" s="19">
        <v>0.5</v>
      </c>
      <c r="F1449" s="20">
        <f t="shared" si="24"/>
        <v>0.1805555556</v>
      </c>
      <c r="G1449" s="21">
        <f>IFERROR(VLOOKUP(B1449,DADOS!$A$2:$H$252,8,0),"")</f>
        <v>8</v>
      </c>
      <c r="H1449" s="22">
        <v>45.0</v>
      </c>
      <c r="I1449" s="23">
        <f>IFERROR(VLOOKUP(B1449,DADOS!$A$2:$H$252,4,0)*H1449,"")</f>
        <v>28.643472</v>
      </c>
      <c r="J1449" s="36"/>
      <c r="K1449" s="25">
        <f>IFERROR(VLOOKUP(B1449,DADOS!$A$2:$H$252,4,0)*J1449,"")</f>
        <v>0</v>
      </c>
      <c r="L1449" s="26">
        <f t="shared" si="23"/>
        <v>0</v>
      </c>
      <c r="M1449" s="27"/>
      <c r="N1449" s="30"/>
      <c r="O1449" s="28"/>
      <c r="P1449" s="28"/>
      <c r="Q1449" s="28"/>
      <c r="R1449" s="28"/>
      <c r="S1449" s="28"/>
    </row>
    <row r="1450">
      <c r="A1450" s="34">
        <v>45834.0</v>
      </c>
      <c r="B1450" s="18" t="s">
        <v>16</v>
      </c>
      <c r="C1450" s="18" t="s">
        <v>65</v>
      </c>
      <c r="D1450" s="19"/>
      <c r="E1450" s="19"/>
      <c r="F1450" s="20">
        <f t="shared" si="24"/>
        <v>0</v>
      </c>
      <c r="G1450" s="21"/>
      <c r="H1450" s="22">
        <v>961.0</v>
      </c>
      <c r="I1450" s="23"/>
      <c r="J1450" s="24">
        <v>4.0</v>
      </c>
      <c r="K1450" s="25"/>
      <c r="L1450" s="26" t="str">
        <f t="shared" si="23"/>
        <v/>
      </c>
      <c r="M1450" s="27"/>
      <c r="N1450" s="30"/>
      <c r="O1450" s="28"/>
      <c r="P1450" s="28"/>
      <c r="Q1450" s="28"/>
      <c r="R1450" s="28"/>
      <c r="S1450" s="28"/>
    </row>
    <row r="1451">
      <c r="A1451" s="17">
        <v>45834.0</v>
      </c>
      <c r="B1451" s="18" t="s">
        <v>37</v>
      </c>
      <c r="C1451" s="18" t="s">
        <v>65</v>
      </c>
      <c r="D1451" s="19"/>
      <c r="E1451" s="19"/>
      <c r="F1451" s="20">
        <f t="shared" si="24"/>
        <v>0</v>
      </c>
      <c r="G1451" s="21"/>
      <c r="H1451" s="22">
        <v>25.0</v>
      </c>
      <c r="I1451" s="23"/>
      <c r="J1451" s="36"/>
      <c r="K1451" s="25"/>
      <c r="L1451" s="26" t="str">
        <f t="shared" si="23"/>
        <v/>
      </c>
      <c r="M1451" s="27"/>
      <c r="N1451" s="30"/>
      <c r="O1451" s="28"/>
      <c r="P1451" s="28"/>
      <c r="Q1451" s="28"/>
      <c r="R1451" s="28"/>
      <c r="S1451" s="28"/>
    </row>
    <row r="1452">
      <c r="A1452" s="17">
        <v>45834.0</v>
      </c>
      <c r="B1452" s="18" t="s">
        <v>18</v>
      </c>
      <c r="C1452" s="18" t="s">
        <v>165</v>
      </c>
      <c r="D1452" s="19"/>
      <c r="E1452" s="19"/>
      <c r="F1452" s="20">
        <f t="shared" si="24"/>
        <v>0</v>
      </c>
      <c r="G1452" s="21">
        <f>IFERROR(VLOOKUP(B1452,DADOS!$A$2:$H$252,8,0),"")</f>
        <v>21</v>
      </c>
      <c r="H1452" s="22">
        <v>22.0</v>
      </c>
      <c r="I1452" s="23">
        <f>IFERROR(VLOOKUP(B1452,DADOS!$A$2:$H$252,4,0)*H1452,"")</f>
        <v>6.445252</v>
      </c>
      <c r="J1452" s="24">
        <v>1.0</v>
      </c>
      <c r="K1452" s="25">
        <f>IFERROR(VLOOKUP(B1452,DADOS!$A$2:$H$252,4,0)*J1452,"")</f>
        <v>0.292966</v>
      </c>
      <c r="L1452" s="26">
        <f t="shared" si="23"/>
        <v>0</v>
      </c>
      <c r="M1452" s="27"/>
      <c r="N1452" s="30"/>
      <c r="O1452" s="28"/>
      <c r="P1452" s="28"/>
      <c r="Q1452" s="28"/>
      <c r="R1452" s="28"/>
      <c r="S1452" s="28"/>
    </row>
    <row r="1453">
      <c r="A1453" s="43">
        <v>45834.0</v>
      </c>
      <c r="B1453" s="44" t="s">
        <v>188</v>
      </c>
      <c r="C1453" s="44"/>
      <c r="D1453" s="45"/>
      <c r="E1453" s="45"/>
      <c r="F1453" s="20">
        <f t="shared" si="24"/>
        <v>0</v>
      </c>
      <c r="G1453" s="46">
        <f>IFERROR(VLOOKUP(B1453,DADOS!$A$2:$H$252,8,0),"")</f>
        <v>30</v>
      </c>
      <c r="H1453" s="47"/>
      <c r="I1453" s="23">
        <f>IFERROR(VLOOKUP(B1453,DADOS!$A$2:$H$252,4,0)*H1453,"")</f>
        <v>0</v>
      </c>
      <c r="J1453" s="46">
        <v>14.0</v>
      </c>
      <c r="K1453" s="49"/>
      <c r="L1453" s="26" t="str">
        <f t="shared" si="23"/>
        <v/>
      </c>
      <c r="M1453" s="33" t="s">
        <v>83</v>
      </c>
      <c r="N1453" s="33" t="s">
        <v>88</v>
      </c>
      <c r="O1453" s="63"/>
      <c r="P1453" s="63"/>
      <c r="Q1453" s="63"/>
      <c r="R1453" s="63"/>
      <c r="S1453" s="63"/>
      <c r="T1453" s="64"/>
      <c r="U1453" s="64"/>
      <c r="V1453" s="64"/>
      <c r="W1453" s="64"/>
      <c r="X1453" s="64"/>
      <c r="Y1453" s="64"/>
      <c r="Z1453" s="64"/>
      <c r="AA1453" s="64"/>
      <c r="AB1453" s="64"/>
      <c r="AC1453" s="64"/>
      <c r="AD1453" s="64"/>
      <c r="AE1453" s="64"/>
      <c r="AF1453" s="64"/>
      <c r="AG1453" s="64"/>
      <c r="AH1453" s="64"/>
      <c r="AI1453" s="64"/>
      <c r="AJ1453" s="64"/>
    </row>
    <row r="1454">
      <c r="A1454" s="43">
        <v>45834.0</v>
      </c>
      <c r="B1454" s="44" t="s">
        <v>188</v>
      </c>
      <c r="C1454" s="44"/>
      <c r="D1454" s="45"/>
      <c r="E1454" s="45"/>
      <c r="F1454" s="20">
        <f t="shared" si="24"/>
        <v>0</v>
      </c>
      <c r="G1454" s="46">
        <f>IFERROR(VLOOKUP(B1454,DADOS!$A$2:$H$252,8,0),"")</f>
        <v>30</v>
      </c>
      <c r="H1454" s="47"/>
      <c r="I1454" s="23">
        <f>IFERROR(VLOOKUP(B1454,DADOS!$A$2:$H$252,4,0)*H1454,"")</f>
        <v>0</v>
      </c>
      <c r="J1454" s="46">
        <v>2.0</v>
      </c>
      <c r="K1454" s="49">
        <f>IFERROR(VLOOKUP(B1454,DADOS!$A$2:$H$252,4,0)*J1454,"")</f>
        <v>0.2278672</v>
      </c>
      <c r="L1454" s="26" t="str">
        <f t="shared" si="23"/>
        <v/>
      </c>
      <c r="M1454" s="33" t="s">
        <v>39</v>
      </c>
      <c r="N1454" s="33"/>
      <c r="O1454" s="63"/>
      <c r="P1454" s="63"/>
      <c r="Q1454" s="63"/>
      <c r="R1454" s="63"/>
      <c r="S1454" s="63"/>
      <c r="T1454" s="64"/>
      <c r="U1454" s="64"/>
      <c r="V1454" s="64"/>
      <c r="W1454" s="64"/>
      <c r="X1454" s="64"/>
      <c r="Y1454" s="64"/>
      <c r="Z1454" s="64"/>
      <c r="AA1454" s="64"/>
      <c r="AB1454" s="64"/>
      <c r="AC1454" s="64"/>
      <c r="AD1454" s="64"/>
      <c r="AE1454" s="64"/>
      <c r="AF1454" s="64"/>
      <c r="AG1454" s="64"/>
      <c r="AH1454" s="64"/>
      <c r="AI1454" s="64"/>
      <c r="AJ1454" s="64"/>
    </row>
    <row r="1455">
      <c r="A1455" s="43">
        <v>45834.0</v>
      </c>
      <c r="B1455" s="44" t="s">
        <v>188</v>
      </c>
      <c r="C1455" s="44"/>
      <c r="D1455" s="45"/>
      <c r="E1455" s="45"/>
      <c r="F1455" s="20">
        <f t="shared" si="24"/>
        <v>0</v>
      </c>
      <c r="G1455" s="46">
        <f>IFERROR(VLOOKUP(B1455,DADOS!$A$2:$H$252,8,0),"")</f>
        <v>30</v>
      </c>
      <c r="H1455" s="47"/>
      <c r="I1455" s="23">
        <f>IFERROR(VLOOKUP(B1455,DADOS!$A$2:$H$252,4,0)*H1455,"")</f>
        <v>0</v>
      </c>
      <c r="J1455" s="46">
        <v>3.0</v>
      </c>
      <c r="K1455" s="49">
        <f>IFERROR(VLOOKUP(B1455,DADOS!$A$2:$H$252,4,0)*J1455,"")</f>
        <v>0.3418008</v>
      </c>
      <c r="L1455" s="26" t="str">
        <f t="shared" si="23"/>
        <v/>
      </c>
      <c r="M1455" s="33" t="s">
        <v>83</v>
      </c>
      <c r="N1455" s="33" t="s">
        <v>88</v>
      </c>
      <c r="O1455" s="63"/>
      <c r="P1455" s="63"/>
      <c r="Q1455" s="63"/>
      <c r="R1455" s="63"/>
      <c r="S1455" s="63"/>
      <c r="T1455" s="64"/>
      <c r="U1455" s="64"/>
      <c r="V1455" s="64"/>
      <c r="W1455" s="64"/>
      <c r="X1455" s="64"/>
      <c r="Y1455" s="64"/>
      <c r="Z1455" s="64"/>
      <c r="AA1455" s="64"/>
      <c r="AB1455" s="64"/>
      <c r="AC1455" s="64"/>
      <c r="AD1455" s="64"/>
      <c r="AE1455" s="64"/>
      <c r="AF1455" s="64"/>
      <c r="AG1455" s="64"/>
      <c r="AH1455" s="64"/>
      <c r="AI1455" s="64"/>
      <c r="AJ1455" s="64"/>
    </row>
    <row r="1456">
      <c r="A1456" s="43">
        <v>45834.0</v>
      </c>
      <c r="B1456" s="44" t="s">
        <v>188</v>
      </c>
      <c r="C1456" s="44"/>
      <c r="D1456" s="45"/>
      <c r="E1456" s="45"/>
      <c r="F1456" s="20">
        <f t="shared" si="24"/>
        <v>0</v>
      </c>
      <c r="G1456" s="46">
        <f>IFERROR(VLOOKUP(B1456,DADOS!$A$2:$H$252,8,0),"")</f>
        <v>30</v>
      </c>
      <c r="H1456" s="47"/>
      <c r="I1456" s="23">
        <f>IFERROR(VLOOKUP(B1456,DADOS!$A$2:$H$252,4,0)*H1456,"")</f>
        <v>0</v>
      </c>
      <c r="J1456" s="46">
        <v>1.0</v>
      </c>
      <c r="K1456" s="49">
        <f>IFERROR(VLOOKUP(B1456,DADOS!$A$2:$H$252,4,0)*J1456,"")</f>
        <v>0.1139336</v>
      </c>
      <c r="L1456" s="26" t="str">
        <f t="shared" si="23"/>
        <v/>
      </c>
      <c r="M1456" s="33" t="s">
        <v>189</v>
      </c>
      <c r="N1456" s="33" t="s">
        <v>173</v>
      </c>
      <c r="O1456" s="63"/>
      <c r="P1456" s="63"/>
      <c r="Q1456" s="63"/>
      <c r="R1456" s="63"/>
      <c r="S1456" s="63"/>
      <c r="T1456" s="64"/>
      <c r="U1456" s="64"/>
      <c r="V1456" s="64"/>
      <c r="W1456" s="64"/>
      <c r="X1456" s="64"/>
      <c r="Y1456" s="64"/>
      <c r="Z1456" s="64"/>
      <c r="AA1456" s="64"/>
      <c r="AB1456" s="64"/>
      <c r="AC1456" s="64"/>
      <c r="AD1456" s="64"/>
      <c r="AE1456" s="64"/>
      <c r="AF1456" s="64"/>
      <c r="AG1456" s="64"/>
      <c r="AH1456" s="64"/>
      <c r="AI1456" s="64"/>
      <c r="AJ1456" s="64"/>
    </row>
    <row r="1457">
      <c r="A1457" s="43">
        <v>45834.0</v>
      </c>
      <c r="B1457" s="44" t="s">
        <v>51</v>
      </c>
      <c r="C1457" s="44"/>
      <c r="D1457" s="45"/>
      <c r="E1457" s="45"/>
      <c r="F1457" s="20">
        <f t="shared" si="24"/>
        <v>0</v>
      </c>
      <c r="G1457" s="46">
        <f>IFERROR(VLOOKUP(B1457,DADOS!$A$2:$H$252,8,0),"")</f>
        <v>28</v>
      </c>
      <c r="H1457" s="47"/>
      <c r="I1457" s="23">
        <f>IFERROR(VLOOKUP(B1457,DADOS!$A$2:$H$252,4,0)*H1457,"")</f>
        <v>0</v>
      </c>
      <c r="J1457" s="46">
        <v>4.0</v>
      </c>
      <c r="K1457" s="49">
        <f>IFERROR(VLOOKUP(B1457,DADOS!$A$2:$H$252,4,0)*J1457,"")</f>
        <v>0.4557344</v>
      </c>
      <c r="L1457" s="26" t="str">
        <f t="shared" si="23"/>
        <v/>
      </c>
      <c r="M1457" s="33" t="s">
        <v>83</v>
      </c>
      <c r="N1457" s="33" t="s">
        <v>88</v>
      </c>
      <c r="O1457" s="63"/>
      <c r="P1457" s="63"/>
      <c r="Q1457" s="63"/>
      <c r="R1457" s="63"/>
      <c r="S1457" s="63"/>
      <c r="T1457" s="64"/>
      <c r="U1457" s="64"/>
      <c r="V1457" s="64"/>
      <c r="W1457" s="64"/>
      <c r="X1457" s="64"/>
      <c r="Y1457" s="64"/>
      <c r="Z1457" s="64"/>
      <c r="AA1457" s="64"/>
      <c r="AB1457" s="64"/>
      <c r="AC1457" s="64"/>
      <c r="AD1457" s="64"/>
      <c r="AE1457" s="64"/>
      <c r="AF1457" s="64"/>
      <c r="AG1457" s="64"/>
      <c r="AH1457" s="64"/>
      <c r="AI1457" s="64"/>
      <c r="AJ1457" s="64"/>
    </row>
    <row r="1458">
      <c r="A1458" s="43">
        <v>45834.0</v>
      </c>
      <c r="B1458" s="44" t="s">
        <v>24</v>
      </c>
      <c r="C1458" s="44"/>
      <c r="D1458" s="45"/>
      <c r="E1458" s="45"/>
      <c r="F1458" s="20">
        <f t="shared" si="24"/>
        <v>0</v>
      </c>
      <c r="G1458" s="46">
        <f>IFERROR(VLOOKUP(B1458,DADOS!$A$2:$H$252,8,0),"")</f>
        <v>37</v>
      </c>
      <c r="H1458" s="47"/>
      <c r="I1458" s="23">
        <f>IFERROR(VLOOKUP(B1458,DADOS!$A$2:$H$252,4,0)*H1458,"")</f>
        <v>0</v>
      </c>
      <c r="J1458" s="46">
        <v>1.0</v>
      </c>
      <c r="K1458" s="49">
        <f>IFERROR(VLOOKUP(B1458,DADOS!$A$2:$H$252,4,0)*J1458,"")</f>
        <v>0.1139336</v>
      </c>
      <c r="L1458" s="26" t="str">
        <f t="shared" si="23"/>
        <v/>
      </c>
      <c r="M1458" s="33" t="s">
        <v>83</v>
      </c>
      <c r="N1458" s="33" t="s">
        <v>88</v>
      </c>
      <c r="O1458" s="63"/>
      <c r="P1458" s="63"/>
      <c r="Q1458" s="63"/>
      <c r="R1458" s="63"/>
      <c r="S1458" s="63"/>
      <c r="T1458" s="64"/>
      <c r="U1458" s="64"/>
      <c r="V1458" s="64"/>
      <c r="W1458" s="64"/>
      <c r="X1458" s="64"/>
      <c r="Y1458" s="64"/>
      <c r="Z1458" s="64"/>
      <c r="AA1458" s="64"/>
      <c r="AB1458" s="64"/>
      <c r="AC1458" s="64"/>
      <c r="AD1458" s="64"/>
      <c r="AE1458" s="64"/>
      <c r="AF1458" s="64"/>
      <c r="AG1458" s="64"/>
      <c r="AH1458" s="64"/>
      <c r="AI1458" s="64"/>
      <c r="AJ1458" s="64"/>
    </row>
    <row r="1459">
      <c r="A1459" s="43">
        <v>45834.0</v>
      </c>
      <c r="B1459" s="44" t="s">
        <v>96</v>
      </c>
      <c r="C1459" s="44"/>
      <c r="D1459" s="45"/>
      <c r="E1459" s="45"/>
      <c r="F1459" s="20">
        <f t="shared" si="24"/>
        <v>0</v>
      </c>
      <c r="G1459" s="46">
        <f>IFERROR(VLOOKUP(B1459,DADOS!$A$2:$H$252,8,0),"")</f>
        <v>27</v>
      </c>
      <c r="H1459" s="47"/>
      <c r="I1459" s="23">
        <f>IFERROR(VLOOKUP(B1459,DADOS!$A$2:$H$252,4,0)*H1459,"")</f>
        <v>0</v>
      </c>
      <c r="J1459" s="46">
        <v>3.0</v>
      </c>
      <c r="K1459" s="49">
        <f>IFERROR(VLOOKUP(B1459,DADOS!$A$2:$H$252,4,0)*J1459,"")</f>
        <v>0.28248</v>
      </c>
      <c r="L1459" s="26" t="str">
        <f t="shared" si="23"/>
        <v/>
      </c>
      <c r="M1459" s="33" t="s">
        <v>83</v>
      </c>
      <c r="N1459" s="33" t="s">
        <v>88</v>
      </c>
      <c r="O1459" s="63"/>
      <c r="P1459" s="63"/>
      <c r="Q1459" s="63"/>
      <c r="R1459" s="63"/>
      <c r="S1459" s="63"/>
      <c r="T1459" s="64"/>
      <c r="U1459" s="64"/>
      <c r="V1459" s="64"/>
      <c r="W1459" s="64"/>
      <c r="X1459" s="64"/>
      <c r="Y1459" s="64"/>
      <c r="Z1459" s="64"/>
      <c r="AA1459" s="64"/>
      <c r="AB1459" s="64"/>
      <c r="AC1459" s="64"/>
      <c r="AD1459" s="64"/>
      <c r="AE1459" s="64"/>
      <c r="AF1459" s="64"/>
      <c r="AG1459" s="64"/>
      <c r="AH1459" s="64"/>
      <c r="AI1459" s="64"/>
      <c r="AJ1459" s="64"/>
    </row>
    <row r="1460">
      <c r="A1460" s="43">
        <v>45834.0</v>
      </c>
      <c r="B1460" s="44" t="s">
        <v>18</v>
      </c>
      <c r="C1460" s="44"/>
      <c r="D1460" s="45"/>
      <c r="E1460" s="45"/>
      <c r="F1460" s="20">
        <f t="shared" si="24"/>
        <v>0</v>
      </c>
      <c r="G1460" s="46">
        <f>IFERROR(VLOOKUP(B1460,DADOS!$A$2:$H$252,8,0),"")</f>
        <v>21</v>
      </c>
      <c r="H1460" s="47"/>
      <c r="I1460" s="23">
        <f>IFERROR(VLOOKUP(B1460,DADOS!$A$2:$H$252,4,0)*H1460,"")</f>
        <v>0</v>
      </c>
      <c r="J1460" s="46">
        <v>6.0</v>
      </c>
      <c r="K1460" s="49">
        <f>IFERROR(VLOOKUP(B1460,DADOS!$A$2:$H$252,4,0)*J1460,"")</f>
        <v>1.757796</v>
      </c>
      <c r="L1460" s="26" t="str">
        <f t="shared" si="23"/>
        <v/>
      </c>
      <c r="M1460" s="33" t="s">
        <v>83</v>
      </c>
      <c r="N1460" s="33" t="s">
        <v>88</v>
      </c>
      <c r="O1460" s="63"/>
      <c r="P1460" s="63"/>
      <c r="Q1460" s="63"/>
      <c r="R1460" s="63"/>
      <c r="S1460" s="63"/>
      <c r="T1460" s="64"/>
      <c r="U1460" s="64"/>
      <c r="V1460" s="64"/>
      <c r="W1460" s="64"/>
      <c r="X1460" s="64"/>
      <c r="Y1460" s="64"/>
      <c r="Z1460" s="64"/>
      <c r="AA1460" s="64"/>
      <c r="AB1460" s="64"/>
      <c r="AC1460" s="64"/>
      <c r="AD1460" s="64"/>
      <c r="AE1460" s="64"/>
      <c r="AF1460" s="64"/>
      <c r="AG1460" s="64"/>
      <c r="AH1460" s="64"/>
      <c r="AI1460" s="64"/>
      <c r="AJ1460" s="64"/>
    </row>
    <row r="1461">
      <c r="A1461" s="43">
        <v>45834.0</v>
      </c>
      <c r="B1461" s="44" t="s">
        <v>27</v>
      </c>
      <c r="C1461" s="44"/>
      <c r="D1461" s="45"/>
      <c r="E1461" s="45"/>
      <c r="F1461" s="20">
        <f t="shared" si="24"/>
        <v>0</v>
      </c>
      <c r="G1461" s="46">
        <f>IFERROR(VLOOKUP(B1461,DADOS!$A$2:$H$252,8,0),"")</f>
        <v>30</v>
      </c>
      <c r="H1461" s="47"/>
      <c r="I1461" s="23">
        <f>IFERROR(VLOOKUP(B1461,DADOS!$A$2:$H$252,4,0)*H1461,"")</f>
        <v>0</v>
      </c>
      <c r="J1461" s="46">
        <v>4.0</v>
      </c>
      <c r="K1461" s="49">
        <f>IFERROR(VLOOKUP(B1461,DADOS!$A$2:$H$252,4,0)*J1461,"")</f>
        <v>0.06848</v>
      </c>
      <c r="L1461" s="26" t="str">
        <f t="shared" si="23"/>
        <v/>
      </c>
      <c r="M1461" s="33" t="s">
        <v>83</v>
      </c>
      <c r="N1461" s="33" t="s">
        <v>88</v>
      </c>
      <c r="O1461" s="63"/>
      <c r="P1461" s="63"/>
      <c r="Q1461" s="63"/>
      <c r="R1461" s="63"/>
      <c r="S1461" s="63"/>
      <c r="T1461" s="64"/>
      <c r="U1461" s="64"/>
      <c r="V1461" s="64"/>
      <c r="W1461" s="64"/>
      <c r="X1461" s="64"/>
      <c r="Y1461" s="64"/>
      <c r="Z1461" s="64"/>
      <c r="AA1461" s="64"/>
      <c r="AB1461" s="64"/>
      <c r="AC1461" s="64"/>
      <c r="AD1461" s="64"/>
      <c r="AE1461" s="64"/>
      <c r="AF1461" s="64"/>
      <c r="AG1461" s="64"/>
      <c r="AH1461" s="64"/>
      <c r="AI1461" s="64"/>
      <c r="AJ1461" s="64"/>
    </row>
    <row r="1462">
      <c r="A1462" s="43">
        <v>45834.0</v>
      </c>
      <c r="B1462" s="44" t="s">
        <v>186</v>
      </c>
      <c r="C1462" s="44"/>
      <c r="D1462" s="45"/>
      <c r="E1462" s="45"/>
      <c r="F1462" s="20">
        <f t="shared" si="24"/>
        <v>0</v>
      </c>
      <c r="G1462" s="46">
        <f>IFERROR(VLOOKUP(B1462,DADOS!$A$2:$H$252,8,0),"")</f>
        <v>25</v>
      </c>
      <c r="H1462" s="47"/>
      <c r="I1462" s="23">
        <f>IFERROR(VLOOKUP(B1462,DADOS!$A$2:$H$252,4,0)*H1462,"")</f>
        <v>0</v>
      </c>
      <c r="J1462" s="46">
        <v>1.0</v>
      </c>
      <c r="K1462" s="49">
        <f>IFERROR(VLOOKUP(B1462,DADOS!$A$2:$H$252,4,0)*J1462,"")</f>
        <v>0.277344</v>
      </c>
      <c r="L1462" s="26" t="str">
        <f t="shared" si="23"/>
        <v/>
      </c>
      <c r="M1462" s="33" t="s">
        <v>83</v>
      </c>
      <c r="N1462" s="33" t="s">
        <v>88</v>
      </c>
      <c r="O1462" s="63"/>
      <c r="P1462" s="63"/>
      <c r="Q1462" s="63"/>
      <c r="R1462" s="63"/>
      <c r="S1462" s="63"/>
      <c r="T1462" s="64"/>
      <c r="U1462" s="64"/>
      <c r="V1462" s="64"/>
      <c r="W1462" s="64"/>
      <c r="X1462" s="64"/>
      <c r="Y1462" s="64"/>
      <c r="Z1462" s="64"/>
      <c r="AA1462" s="64"/>
      <c r="AB1462" s="64"/>
      <c r="AC1462" s="64"/>
      <c r="AD1462" s="64"/>
      <c r="AE1462" s="64"/>
      <c r="AF1462" s="64"/>
      <c r="AG1462" s="64"/>
      <c r="AH1462" s="64"/>
      <c r="AI1462" s="64"/>
      <c r="AJ1462" s="64"/>
    </row>
    <row r="1463">
      <c r="A1463" s="43">
        <v>45834.0</v>
      </c>
      <c r="B1463" s="44" t="s">
        <v>44</v>
      </c>
      <c r="C1463" s="44"/>
      <c r="D1463" s="45"/>
      <c r="E1463" s="45"/>
      <c r="F1463" s="20">
        <f t="shared" si="24"/>
        <v>0</v>
      </c>
      <c r="G1463" s="46">
        <f>IFERROR(VLOOKUP(B1463,DADOS!$A$2:$H$252,8,0),"")</f>
        <v>15</v>
      </c>
      <c r="H1463" s="47"/>
      <c r="I1463" s="23">
        <f>IFERROR(VLOOKUP(B1463,DADOS!$A$2:$H$252,4,0)*H1463,"")</f>
        <v>0</v>
      </c>
      <c r="J1463" s="46">
        <v>1.0</v>
      </c>
      <c r="K1463" s="49">
        <f>IFERROR(VLOOKUP(B1463,DADOS!$A$2:$H$252,4,0)*J1463,"")</f>
        <v>0.1845536</v>
      </c>
      <c r="L1463" s="26" t="str">
        <f t="shared" si="23"/>
        <v/>
      </c>
      <c r="M1463" s="33" t="s">
        <v>110</v>
      </c>
      <c r="N1463" s="33" t="s">
        <v>144</v>
      </c>
      <c r="O1463" s="63"/>
      <c r="P1463" s="63"/>
      <c r="Q1463" s="63"/>
      <c r="R1463" s="63"/>
      <c r="S1463" s="63"/>
      <c r="T1463" s="64"/>
      <c r="U1463" s="64"/>
      <c r="V1463" s="64"/>
      <c r="W1463" s="64"/>
      <c r="X1463" s="64"/>
      <c r="Y1463" s="64"/>
      <c r="Z1463" s="64"/>
      <c r="AA1463" s="64"/>
      <c r="AB1463" s="64"/>
      <c r="AC1463" s="64"/>
      <c r="AD1463" s="64"/>
      <c r="AE1463" s="64"/>
      <c r="AF1463" s="64"/>
      <c r="AG1463" s="64"/>
      <c r="AH1463" s="64"/>
      <c r="AI1463" s="64"/>
      <c r="AJ1463" s="64"/>
    </row>
    <row r="1464">
      <c r="A1464" s="43">
        <v>45834.0</v>
      </c>
      <c r="B1464" s="44" t="s">
        <v>38</v>
      </c>
      <c r="C1464" s="44"/>
      <c r="D1464" s="45"/>
      <c r="E1464" s="45"/>
      <c r="F1464" s="20">
        <f t="shared" si="24"/>
        <v>0</v>
      </c>
      <c r="G1464" s="46">
        <f>IFERROR(VLOOKUP(B1464,DADOS!$A$2:$H$252,8,0),"")</f>
        <v>25</v>
      </c>
      <c r="H1464" s="47"/>
      <c r="I1464" s="23">
        <f>IFERROR(VLOOKUP(B1464,DADOS!$A$2:$H$252,4,0)*H1464,"")</f>
        <v>0</v>
      </c>
      <c r="J1464" s="46">
        <v>1.0</v>
      </c>
      <c r="K1464" s="49">
        <f>IFERROR(VLOOKUP(B1464,DADOS!$A$2:$H$252,4,0)*J1464,"")</f>
        <v>0.0618032</v>
      </c>
      <c r="L1464" s="26" t="str">
        <f t="shared" si="23"/>
        <v/>
      </c>
      <c r="M1464" s="33" t="s">
        <v>83</v>
      </c>
      <c r="N1464" s="33" t="s">
        <v>85</v>
      </c>
      <c r="O1464" s="63"/>
      <c r="P1464" s="63"/>
      <c r="Q1464" s="63"/>
      <c r="R1464" s="63"/>
      <c r="S1464" s="63"/>
      <c r="T1464" s="64"/>
      <c r="U1464" s="64"/>
      <c r="V1464" s="64"/>
      <c r="W1464" s="64"/>
      <c r="X1464" s="64"/>
      <c r="Y1464" s="64"/>
      <c r="Z1464" s="64"/>
      <c r="AA1464" s="64"/>
      <c r="AB1464" s="64"/>
      <c r="AC1464" s="64"/>
      <c r="AD1464" s="64"/>
      <c r="AE1464" s="64"/>
      <c r="AF1464" s="64"/>
      <c r="AG1464" s="64"/>
      <c r="AH1464" s="64"/>
      <c r="AI1464" s="64"/>
      <c r="AJ1464" s="64"/>
    </row>
    <row r="1465">
      <c r="A1465" s="43">
        <v>45834.0</v>
      </c>
      <c r="B1465" s="44" t="s">
        <v>37</v>
      </c>
      <c r="C1465" s="44"/>
      <c r="D1465" s="45"/>
      <c r="E1465" s="45"/>
      <c r="F1465" s="20">
        <f t="shared" si="24"/>
        <v>0</v>
      </c>
      <c r="G1465" s="46" t="str">
        <f>IFERROR(VLOOKUP(B1465,DADOS!$A$2:$H$252,8,0),"")</f>
        <v/>
      </c>
      <c r="H1465" s="47"/>
      <c r="I1465" s="23" t="str">
        <f>IFERROR(VLOOKUP(B1465,DADOS!$A$2:$H$252,4,0)*H1465,"")</f>
        <v/>
      </c>
      <c r="J1465" s="46">
        <v>1.0</v>
      </c>
      <c r="K1465" s="49" t="str">
        <f>IFERROR(VLOOKUP(B1465,DADOS!$A$2:$H$252,4,0)*J1465,"")</f>
        <v/>
      </c>
      <c r="L1465" s="26" t="str">
        <f t="shared" si="23"/>
        <v/>
      </c>
      <c r="M1465" s="33" t="s">
        <v>83</v>
      </c>
      <c r="N1465" s="33" t="s">
        <v>85</v>
      </c>
      <c r="O1465" s="63"/>
      <c r="P1465" s="63"/>
      <c r="Q1465" s="63"/>
      <c r="R1465" s="63"/>
      <c r="S1465" s="63"/>
      <c r="T1465" s="64"/>
      <c r="U1465" s="64"/>
      <c r="V1465" s="64"/>
      <c r="W1465" s="64"/>
      <c r="X1465" s="64"/>
      <c r="Y1465" s="64"/>
      <c r="Z1465" s="64"/>
      <c r="AA1465" s="64"/>
      <c r="AB1465" s="64"/>
      <c r="AC1465" s="64"/>
      <c r="AD1465" s="64"/>
      <c r="AE1465" s="64"/>
      <c r="AF1465" s="64"/>
      <c r="AG1465" s="64"/>
      <c r="AH1465" s="64"/>
      <c r="AI1465" s="64"/>
      <c r="AJ1465" s="64"/>
    </row>
    <row r="1466">
      <c r="A1466" s="43">
        <v>45834.0</v>
      </c>
      <c r="B1466" s="44" t="s">
        <v>48</v>
      </c>
      <c r="C1466" s="44"/>
      <c r="D1466" s="45"/>
      <c r="E1466" s="45"/>
      <c r="F1466" s="20">
        <f t="shared" si="24"/>
        <v>0</v>
      </c>
      <c r="G1466" s="46">
        <f>IFERROR(VLOOKUP(B1466,DADOS!$A$2:$H$252,8,0),"")</f>
        <v>6</v>
      </c>
      <c r="H1466" s="47"/>
      <c r="I1466" s="23">
        <f>IFERROR(VLOOKUP(B1466,DADOS!$A$2:$H$252,4,0)*H1466,"")</f>
        <v>0</v>
      </c>
      <c r="J1466" s="46">
        <v>1.0</v>
      </c>
      <c r="K1466" s="49">
        <f>IFERROR(VLOOKUP(B1466,DADOS!$A$2:$H$252,4,0)*J1466,"")</f>
        <v>0.1139336</v>
      </c>
      <c r="L1466" s="26" t="str">
        <f t="shared" si="23"/>
        <v/>
      </c>
      <c r="M1466" s="33" t="s">
        <v>39</v>
      </c>
      <c r="N1466" s="33" t="s">
        <v>86</v>
      </c>
      <c r="O1466" s="63"/>
      <c r="P1466" s="63"/>
      <c r="Q1466" s="63"/>
      <c r="R1466" s="63"/>
      <c r="S1466" s="63"/>
      <c r="T1466" s="64"/>
      <c r="U1466" s="64"/>
      <c r="V1466" s="64"/>
      <c r="W1466" s="64"/>
      <c r="X1466" s="64"/>
      <c r="Y1466" s="64"/>
      <c r="Z1466" s="64"/>
      <c r="AA1466" s="64"/>
      <c r="AB1466" s="64"/>
      <c r="AC1466" s="64"/>
      <c r="AD1466" s="64"/>
      <c r="AE1466" s="64"/>
      <c r="AF1466" s="64"/>
      <c r="AG1466" s="64"/>
      <c r="AH1466" s="64"/>
      <c r="AI1466" s="64"/>
      <c r="AJ1466" s="64"/>
    </row>
    <row r="1467">
      <c r="A1467" s="43">
        <v>45834.0</v>
      </c>
      <c r="B1467" s="44" t="s">
        <v>47</v>
      </c>
      <c r="C1467" s="44"/>
      <c r="D1467" s="45"/>
      <c r="E1467" s="45"/>
      <c r="F1467" s="20">
        <f t="shared" si="24"/>
        <v>0</v>
      </c>
      <c r="G1467" s="46">
        <f>IFERROR(VLOOKUP(B1467,DADOS!$A$2:$H$252,8,0),"")</f>
        <v>35</v>
      </c>
      <c r="H1467" s="47"/>
      <c r="I1467" s="23">
        <f>IFERROR(VLOOKUP(B1467,DADOS!$A$2:$H$252,4,0)*H1467,"")</f>
        <v>0</v>
      </c>
      <c r="J1467" s="46">
        <v>1.0</v>
      </c>
      <c r="K1467" s="49">
        <f>IFERROR(VLOOKUP(B1467,DADOS!$A$2:$H$252,4,0)*J1467,"")</f>
        <v>0.1139336</v>
      </c>
      <c r="L1467" s="26" t="str">
        <f t="shared" si="23"/>
        <v/>
      </c>
      <c r="M1467" s="33" t="s">
        <v>39</v>
      </c>
      <c r="N1467" s="33" t="s">
        <v>89</v>
      </c>
      <c r="O1467" s="63"/>
      <c r="P1467" s="63"/>
      <c r="Q1467" s="63"/>
      <c r="R1467" s="63"/>
      <c r="S1467" s="63"/>
      <c r="T1467" s="64"/>
      <c r="U1467" s="64"/>
      <c r="V1467" s="64"/>
      <c r="W1467" s="64"/>
      <c r="X1467" s="64"/>
      <c r="Y1467" s="64"/>
      <c r="Z1467" s="64"/>
      <c r="AA1467" s="64"/>
      <c r="AB1467" s="64"/>
      <c r="AC1467" s="64"/>
      <c r="AD1467" s="64"/>
      <c r="AE1467" s="64"/>
      <c r="AF1467" s="64"/>
      <c r="AG1467" s="64"/>
      <c r="AH1467" s="64"/>
      <c r="AI1467" s="64"/>
      <c r="AJ1467" s="64"/>
    </row>
    <row r="1468">
      <c r="A1468" s="43">
        <v>45834.0</v>
      </c>
      <c r="B1468" s="44" t="s">
        <v>98</v>
      </c>
      <c r="C1468" s="44"/>
      <c r="D1468" s="45"/>
      <c r="E1468" s="45"/>
      <c r="F1468" s="20">
        <f t="shared" si="24"/>
        <v>0</v>
      </c>
      <c r="G1468" s="46">
        <f>IFERROR(VLOOKUP(B1468,DADOS!$A$2:$H$252,8,0),"")</f>
        <v>100</v>
      </c>
      <c r="H1468" s="47"/>
      <c r="I1468" s="23">
        <f>IFERROR(VLOOKUP(B1468,DADOS!$A$2:$H$252,4,0)*H1468,"")</f>
        <v>0</v>
      </c>
      <c r="J1468" s="46">
        <v>3.0</v>
      </c>
      <c r="K1468" s="49">
        <f>IFERROR(VLOOKUP(B1468,DADOS!$A$2:$H$252,4,0)*J1468,"")</f>
        <v>0.80892</v>
      </c>
      <c r="L1468" s="26" t="str">
        <f t="shared" si="23"/>
        <v/>
      </c>
      <c r="M1468" s="33" t="s">
        <v>83</v>
      </c>
      <c r="N1468" s="33" t="s">
        <v>88</v>
      </c>
      <c r="O1468" s="63"/>
      <c r="P1468" s="63"/>
      <c r="Q1468" s="63"/>
      <c r="R1468" s="63"/>
      <c r="S1468" s="63"/>
      <c r="T1468" s="64"/>
      <c r="U1468" s="64"/>
      <c r="V1468" s="64"/>
      <c r="W1468" s="64"/>
      <c r="X1468" s="64"/>
      <c r="Y1468" s="64"/>
      <c r="Z1468" s="64"/>
      <c r="AA1468" s="64"/>
      <c r="AB1468" s="64"/>
      <c r="AC1468" s="64"/>
      <c r="AD1468" s="64"/>
      <c r="AE1468" s="64"/>
      <c r="AF1468" s="64"/>
      <c r="AG1468" s="64"/>
      <c r="AH1468" s="64"/>
      <c r="AI1468" s="64"/>
      <c r="AJ1468" s="64"/>
    </row>
    <row r="1469">
      <c r="A1469" s="43">
        <v>45834.0</v>
      </c>
      <c r="B1469" s="44" t="s">
        <v>123</v>
      </c>
      <c r="C1469" s="44"/>
      <c r="D1469" s="45"/>
      <c r="E1469" s="45"/>
      <c r="F1469" s="20">
        <f t="shared" si="24"/>
        <v>0</v>
      </c>
      <c r="G1469" s="46" t="str">
        <f>IFERROR(VLOOKUP(B1469,DADOS!$A$2:$H$252,8,0),"")</f>
        <v/>
      </c>
      <c r="H1469" s="47"/>
      <c r="I1469" s="23">
        <f>IFERROR(VLOOKUP(B1469,DADOS!$A$2:$H$252,4,0)*H1469,"")</f>
        <v>0</v>
      </c>
      <c r="J1469" s="46">
        <v>1.0</v>
      </c>
      <c r="K1469" s="49">
        <f>IFERROR(VLOOKUP(B1469,DADOS!$A$2:$H$252,4,0)*J1469,"")</f>
        <v>0</v>
      </c>
      <c r="L1469" s="26" t="str">
        <f t="shared" si="23"/>
        <v/>
      </c>
      <c r="M1469" s="33" t="s">
        <v>83</v>
      </c>
      <c r="N1469" s="33" t="s">
        <v>88</v>
      </c>
      <c r="O1469" s="63"/>
      <c r="P1469" s="63"/>
      <c r="Q1469" s="63"/>
      <c r="R1469" s="63"/>
      <c r="S1469" s="63"/>
      <c r="T1469" s="64"/>
      <c r="U1469" s="64"/>
      <c r="V1469" s="64"/>
      <c r="W1469" s="64"/>
      <c r="X1469" s="64"/>
      <c r="Y1469" s="64"/>
      <c r="Z1469" s="64"/>
      <c r="AA1469" s="64"/>
      <c r="AB1469" s="64"/>
      <c r="AC1469" s="64"/>
      <c r="AD1469" s="64"/>
      <c r="AE1469" s="64"/>
      <c r="AF1469" s="64"/>
      <c r="AG1469" s="64"/>
      <c r="AH1469" s="64"/>
      <c r="AI1469" s="64"/>
      <c r="AJ1469" s="64"/>
    </row>
    <row r="1470">
      <c r="A1470" s="43">
        <v>45834.0</v>
      </c>
      <c r="B1470" s="44" t="s">
        <v>79</v>
      </c>
      <c r="C1470" s="44"/>
      <c r="D1470" s="45"/>
      <c r="E1470" s="45"/>
      <c r="F1470" s="20">
        <f t="shared" si="24"/>
        <v>0</v>
      </c>
      <c r="G1470" s="46">
        <f>IFERROR(VLOOKUP(B1470,DADOS!$A$2:$H$252,8,0),"")</f>
        <v>87</v>
      </c>
      <c r="H1470" s="47"/>
      <c r="I1470" s="23">
        <f>IFERROR(VLOOKUP(B1470,DADOS!$A$2:$H$252,4,0)*H1470,"")</f>
        <v>0</v>
      </c>
      <c r="J1470" s="46">
        <v>6.0</v>
      </c>
      <c r="K1470" s="49">
        <f>IFERROR(VLOOKUP(B1470,DADOS!$A$2:$H$252,4,0)*J1470,"")</f>
        <v>0.10272</v>
      </c>
      <c r="L1470" s="26" t="str">
        <f t="shared" si="23"/>
        <v/>
      </c>
      <c r="M1470" s="33" t="s">
        <v>83</v>
      </c>
      <c r="N1470" s="33" t="s">
        <v>88</v>
      </c>
      <c r="O1470" s="63"/>
      <c r="P1470" s="63"/>
      <c r="Q1470" s="63"/>
      <c r="R1470" s="63"/>
      <c r="S1470" s="63"/>
      <c r="T1470" s="64"/>
      <c r="U1470" s="64"/>
      <c r="V1470" s="64"/>
      <c r="W1470" s="64"/>
      <c r="X1470" s="64"/>
      <c r="Y1470" s="64"/>
      <c r="Z1470" s="64"/>
      <c r="AA1470" s="64"/>
      <c r="AB1470" s="64"/>
      <c r="AC1470" s="64"/>
      <c r="AD1470" s="64"/>
      <c r="AE1470" s="64"/>
      <c r="AF1470" s="64"/>
      <c r="AG1470" s="64"/>
      <c r="AH1470" s="64"/>
      <c r="AI1470" s="64"/>
      <c r="AJ1470" s="64"/>
    </row>
    <row r="1471">
      <c r="A1471" s="43">
        <v>45834.0</v>
      </c>
      <c r="B1471" s="44" t="s">
        <v>79</v>
      </c>
      <c r="C1471" s="44"/>
      <c r="D1471" s="45"/>
      <c r="E1471" s="45"/>
      <c r="F1471" s="20">
        <f t="shared" si="24"/>
        <v>0</v>
      </c>
      <c r="G1471" s="46">
        <f>IFERROR(VLOOKUP(B1471,DADOS!$A$2:$H$252,8,0),"")</f>
        <v>87</v>
      </c>
      <c r="H1471" s="47"/>
      <c r="I1471" s="23">
        <f>IFERROR(VLOOKUP(B1471,DADOS!$A$2:$H$252,4,0)*H1471,"")</f>
        <v>0</v>
      </c>
      <c r="J1471" s="46">
        <v>4.0</v>
      </c>
      <c r="K1471" s="49">
        <f>IFERROR(VLOOKUP(B1471,DADOS!$A$2:$H$252,4,0)*J1471,"")</f>
        <v>0.06848</v>
      </c>
      <c r="L1471" s="26" t="str">
        <f t="shared" si="23"/>
        <v/>
      </c>
      <c r="M1471" s="33" t="s">
        <v>83</v>
      </c>
      <c r="N1471" s="33" t="s">
        <v>85</v>
      </c>
      <c r="O1471" s="63"/>
      <c r="P1471" s="63"/>
      <c r="Q1471" s="63"/>
      <c r="R1471" s="63"/>
      <c r="S1471" s="63"/>
      <c r="T1471" s="64"/>
      <c r="U1471" s="64"/>
      <c r="V1471" s="64"/>
      <c r="W1471" s="64"/>
      <c r="X1471" s="64"/>
      <c r="Y1471" s="64"/>
      <c r="Z1471" s="64"/>
      <c r="AA1471" s="64"/>
      <c r="AB1471" s="64"/>
      <c r="AC1471" s="64"/>
      <c r="AD1471" s="64"/>
      <c r="AE1471" s="64"/>
      <c r="AF1471" s="64"/>
      <c r="AG1471" s="64"/>
      <c r="AH1471" s="64"/>
      <c r="AI1471" s="64"/>
      <c r="AJ1471" s="64"/>
    </row>
    <row r="1472">
      <c r="A1472" s="43">
        <v>45834.0</v>
      </c>
      <c r="B1472" s="44" t="s">
        <v>55</v>
      </c>
      <c r="C1472" s="44"/>
      <c r="D1472" s="45"/>
      <c r="E1472" s="45"/>
      <c r="F1472" s="20">
        <f t="shared" si="24"/>
        <v>0</v>
      </c>
      <c r="G1472" s="46">
        <f>IFERROR(VLOOKUP(B1472,DADOS!$A$2:$H$252,8,0),"")</f>
        <v>60</v>
      </c>
      <c r="H1472" s="47"/>
      <c r="I1472" s="23">
        <f>IFERROR(VLOOKUP(B1472,DADOS!$A$2:$H$252,4,0)*H1472,"")</f>
        <v>0</v>
      </c>
      <c r="J1472" s="46">
        <v>3.0</v>
      </c>
      <c r="K1472" s="49">
        <f>IFERROR(VLOOKUP(B1472,DADOS!$A$2:$H$252,4,0)*J1472,"")</f>
        <v>0.05136</v>
      </c>
      <c r="L1472" s="26" t="str">
        <f t="shared" si="23"/>
        <v/>
      </c>
      <c r="M1472" s="33" t="s">
        <v>83</v>
      </c>
      <c r="N1472" s="33" t="s">
        <v>88</v>
      </c>
      <c r="O1472" s="63"/>
      <c r="P1472" s="63"/>
      <c r="Q1472" s="63"/>
      <c r="R1472" s="63"/>
      <c r="S1472" s="63"/>
      <c r="T1472" s="64"/>
      <c r="U1472" s="64"/>
      <c r="V1472" s="64"/>
      <c r="W1472" s="64"/>
      <c r="X1472" s="64"/>
      <c r="Y1472" s="64"/>
      <c r="Z1472" s="64"/>
      <c r="AA1472" s="64"/>
      <c r="AB1472" s="64"/>
      <c r="AC1472" s="64"/>
      <c r="AD1472" s="64"/>
      <c r="AE1472" s="64"/>
      <c r="AF1472" s="64"/>
      <c r="AG1472" s="64"/>
      <c r="AH1472" s="64"/>
      <c r="AI1472" s="64"/>
      <c r="AJ1472" s="64"/>
    </row>
    <row r="1473">
      <c r="A1473" s="43">
        <v>45834.0</v>
      </c>
      <c r="B1473" s="44" t="s">
        <v>72</v>
      </c>
      <c r="C1473" s="44"/>
      <c r="D1473" s="45"/>
      <c r="E1473" s="45"/>
      <c r="F1473" s="20">
        <f t="shared" si="24"/>
        <v>0</v>
      </c>
      <c r="G1473" s="46">
        <f>IFERROR(VLOOKUP(B1473,DADOS!$A$2:$H$252,8,0),"")</f>
        <v>43</v>
      </c>
      <c r="H1473" s="47"/>
      <c r="I1473" s="23">
        <f>IFERROR(VLOOKUP(B1473,DADOS!$A$2:$H$252,4,0)*H1473,"")</f>
        <v>0</v>
      </c>
      <c r="J1473" s="46">
        <v>1.0</v>
      </c>
      <c r="K1473" s="49">
        <f>IFERROR(VLOOKUP(B1473,DADOS!$A$2:$H$252,4,0)*J1473,"")</f>
        <v>0.01712</v>
      </c>
      <c r="L1473" s="26" t="str">
        <f t="shared" si="23"/>
        <v/>
      </c>
      <c r="M1473" s="33" t="s">
        <v>189</v>
      </c>
      <c r="N1473" s="33" t="s">
        <v>173</v>
      </c>
      <c r="O1473" s="63"/>
      <c r="P1473" s="63"/>
      <c r="Q1473" s="63"/>
      <c r="R1473" s="63"/>
      <c r="S1473" s="63"/>
      <c r="T1473" s="64"/>
      <c r="U1473" s="64"/>
      <c r="V1473" s="64"/>
      <c r="W1473" s="64"/>
      <c r="X1473" s="64"/>
      <c r="Y1473" s="64"/>
      <c r="Z1473" s="64"/>
      <c r="AA1473" s="64"/>
      <c r="AB1473" s="64"/>
      <c r="AC1473" s="64"/>
      <c r="AD1473" s="64"/>
      <c r="AE1473" s="64"/>
      <c r="AF1473" s="64"/>
      <c r="AG1473" s="64"/>
      <c r="AH1473" s="64"/>
      <c r="AI1473" s="64"/>
      <c r="AJ1473" s="64"/>
    </row>
    <row r="1474">
      <c r="A1474" s="43">
        <v>45834.0</v>
      </c>
      <c r="B1474" s="44" t="s">
        <v>59</v>
      </c>
      <c r="C1474" s="44"/>
      <c r="D1474" s="45"/>
      <c r="E1474" s="45"/>
      <c r="F1474" s="20">
        <f t="shared" si="24"/>
        <v>0</v>
      </c>
      <c r="G1474" s="46">
        <f>IFERROR(VLOOKUP(B1474,DADOS!$A$2:$H$252,8,0),"")</f>
        <v>50</v>
      </c>
      <c r="H1474" s="47"/>
      <c r="I1474" s="23">
        <f>IFERROR(VLOOKUP(B1474,DADOS!$A$2:$H$252,4,0)*H1474,"")</f>
        <v>0</v>
      </c>
      <c r="J1474" s="46">
        <v>3.0</v>
      </c>
      <c r="K1474" s="49">
        <f>IFERROR(VLOOKUP(B1474,DADOS!$A$2:$H$252,4,0)*J1474,"")</f>
        <v>0.05136</v>
      </c>
      <c r="L1474" s="26" t="str">
        <f t="shared" si="23"/>
        <v/>
      </c>
      <c r="M1474" s="33" t="s">
        <v>83</v>
      </c>
      <c r="N1474" s="33" t="s">
        <v>85</v>
      </c>
      <c r="O1474" s="63"/>
      <c r="P1474" s="63"/>
      <c r="Q1474" s="63"/>
      <c r="R1474" s="63"/>
      <c r="S1474" s="63"/>
      <c r="T1474" s="64"/>
      <c r="U1474" s="64"/>
      <c r="V1474" s="64"/>
      <c r="W1474" s="64"/>
      <c r="X1474" s="64"/>
      <c r="Y1474" s="64"/>
      <c r="Z1474" s="64"/>
      <c r="AA1474" s="64"/>
      <c r="AB1474" s="64"/>
      <c r="AC1474" s="64"/>
      <c r="AD1474" s="64"/>
      <c r="AE1474" s="64"/>
      <c r="AF1474" s="64"/>
      <c r="AG1474" s="64"/>
      <c r="AH1474" s="64"/>
      <c r="AI1474" s="64"/>
      <c r="AJ1474" s="64"/>
    </row>
    <row r="1475">
      <c r="A1475" s="43">
        <v>45834.0</v>
      </c>
      <c r="B1475" s="44" t="s">
        <v>27</v>
      </c>
      <c r="C1475" s="44"/>
      <c r="D1475" s="45"/>
      <c r="E1475" s="45"/>
      <c r="F1475" s="20">
        <f t="shared" si="24"/>
        <v>0</v>
      </c>
      <c r="G1475" s="46">
        <f>IFERROR(VLOOKUP(B1475,DADOS!$A$2:$H$252,8,0),"")</f>
        <v>30</v>
      </c>
      <c r="H1475" s="47"/>
      <c r="I1475" s="23">
        <f>IFERROR(VLOOKUP(B1475,DADOS!$A$2:$H$252,4,0)*H1475,"")</f>
        <v>0</v>
      </c>
      <c r="J1475" s="46">
        <v>3.0</v>
      </c>
      <c r="K1475" s="49">
        <f>IFERROR(VLOOKUP(B1475,DADOS!$A$2:$H$252,4,0)*J1475,"")</f>
        <v>0.05136</v>
      </c>
      <c r="L1475" s="26" t="str">
        <f t="shared" si="23"/>
        <v/>
      </c>
      <c r="M1475" s="33" t="s">
        <v>83</v>
      </c>
      <c r="N1475" s="33" t="s">
        <v>85</v>
      </c>
      <c r="O1475" s="63"/>
      <c r="P1475" s="63"/>
      <c r="Q1475" s="63"/>
      <c r="R1475" s="63"/>
      <c r="S1475" s="63"/>
      <c r="T1475" s="64"/>
      <c r="U1475" s="64"/>
      <c r="V1475" s="64"/>
      <c r="W1475" s="64"/>
      <c r="X1475" s="64"/>
      <c r="Y1475" s="64"/>
      <c r="Z1475" s="64"/>
      <c r="AA1475" s="64"/>
      <c r="AB1475" s="64"/>
      <c r="AC1475" s="64"/>
      <c r="AD1475" s="64"/>
      <c r="AE1475" s="64"/>
      <c r="AF1475" s="64"/>
      <c r="AG1475" s="64"/>
      <c r="AH1475" s="64"/>
      <c r="AI1475" s="64"/>
      <c r="AJ1475" s="64"/>
    </row>
    <row r="1476">
      <c r="A1476" s="43">
        <v>45834.0</v>
      </c>
      <c r="B1476" s="44" t="s">
        <v>134</v>
      </c>
      <c r="C1476" s="44"/>
      <c r="D1476" s="45"/>
      <c r="E1476" s="45"/>
      <c r="F1476" s="20">
        <f t="shared" si="24"/>
        <v>0</v>
      </c>
      <c r="G1476" s="46">
        <f>IFERROR(VLOOKUP(B1476,DADOS!$A$2:$H$252,8,0),"")</f>
        <v>17</v>
      </c>
      <c r="H1476" s="47"/>
      <c r="I1476" s="23">
        <f>IFERROR(VLOOKUP(B1476,DADOS!$A$2:$H$252,4,0)*H1476,"")</f>
        <v>0</v>
      </c>
      <c r="J1476" s="46">
        <v>1.0</v>
      </c>
      <c r="K1476" s="49">
        <f>IFERROR(VLOOKUP(B1476,DADOS!$A$2:$H$252,4,0)*J1476,"")</f>
        <v>0.077254</v>
      </c>
      <c r="L1476" s="26" t="str">
        <f t="shared" si="23"/>
        <v/>
      </c>
      <c r="M1476" s="33" t="s">
        <v>39</v>
      </c>
      <c r="N1476" s="33" t="s">
        <v>102</v>
      </c>
      <c r="O1476" s="63"/>
      <c r="P1476" s="63"/>
      <c r="Q1476" s="63"/>
      <c r="R1476" s="63"/>
      <c r="S1476" s="63"/>
      <c r="T1476" s="64"/>
      <c r="U1476" s="64"/>
      <c r="V1476" s="64"/>
      <c r="W1476" s="64"/>
      <c r="X1476" s="64"/>
      <c r="Y1476" s="64"/>
      <c r="Z1476" s="64"/>
      <c r="AA1476" s="64"/>
      <c r="AB1476" s="64"/>
      <c r="AC1476" s="64"/>
      <c r="AD1476" s="64"/>
      <c r="AE1476" s="64"/>
      <c r="AF1476" s="64"/>
      <c r="AG1476" s="64"/>
      <c r="AH1476" s="64"/>
      <c r="AI1476" s="64"/>
      <c r="AJ1476" s="64"/>
    </row>
    <row r="1477">
      <c r="A1477" s="43">
        <v>45834.0</v>
      </c>
      <c r="B1477" s="44" t="s">
        <v>22</v>
      </c>
      <c r="C1477" s="44"/>
      <c r="D1477" s="45"/>
      <c r="E1477" s="45"/>
      <c r="F1477" s="20">
        <f t="shared" si="24"/>
        <v>0</v>
      </c>
      <c r="G1477" s="67">
        <f>IFERROR(VLOOKUP(B1477,DADOS!$A$2:$H$252,8,0),"")</f>
        <v>15</v>
      </c>
      <c r="H1477" s="47"/>
      <c r="I1477" s="23">
        <f>IFERROR(VLOOKUP(B1477,DADOS!$A$2:$H$252,4,0)*H1477,"")</f>
        <v>0</v>
      </c>
      <c r="J1477" s="46">
        <v>1.0</v>
      </c>
      <c r="K1477" s="25">
        <f>IFERROR(VLOOKUP(B1477,DADOS!$A$2:$H$252,4,0)*J1477,"")</f>
        <v>0.6122754</v>
      </c>
      <c r="L1477" s="26" t="str">
        <f t="shared" si="23"/>
        <v/>
      </c>
      <c r="M1477" s="33" t="s">
        <v>83</v>
      </c>
      <c r="N1477" s="33" t="s">
        <v>85</v>
      </c>
      <c r="O1477" s="63"/>
      <c r="P1477" s="63"/>
      <c r="Q1477" s="63"/>
      <c r="R1477" s="63"/>
      <c r="S1477" s="63"/>
      <c r="T1477" s="64"/>
      <c r="U1477" s="64"/>
      <c r="V1477" s="64"/>
      <c r="W1477" s="64"/>
      <c r="X1477" s="64"/>
      <c r="Y1477" s="64"/>
      <c r="Z1477" s="64"/>
      <c r="AA1477" s="64"/>
      <c r="AB1477" s="64"/>
      <c r="AC1477" s="64"/>
      <c r="AD1477" s="64"/>
      <c r="AE1477" s="64"/>
      <c r="AF1477" s="64"/>
      <c r="AG1477" s="64"/>
      <c r="AH1477" s="64"/>
      <c r="AI1477" s="64"/>
      <c r="AJ1477" s="64"/>
    </row>
    <row r="1478">
      <c r="A1478" s="43">
        <v>45834.0</v>
      </c>
      <c r="B1478" s="44" t="s">
        <v>190</v>
      </c>
      <c r="C1478" s="44"/>
      <c r="D1478" s="45"/>
      <c r="E1478" s="45"/>
      <c r="F1478" s="20">
        <f t="shared" si="24"/>
        <v>0</v>
      </c>
      <c r="G1478" s="67">
        <f>IFERROR(VLOOKUP(B1478,DADOS!$A$2:$H$252,8,0),"")</f>
        <v>12</v>
      </c>
      <c r="H1478" s="47"/>
      <c r="I1478" s="23">
        <f>IFERROR(VLOOKUP(B1478,DADOS!$A$2:$H$252,4,0)*H1478,"")</f>
        <v>0</v>
      </c>
      <c r="J1478" s="46">
        <v>1.0</v>
      </c>
      <c r="K1478" s="25">
        <f>IFERROR(VLOOKUP(B1478,DADOS!$A$2:$H$252,4,0)*J1478,"")</f>
        <v>0.395686</v>
      </c>
      <c r="L1478" s="26" t="str">
        <f t="shared" si="23"/>
        <v/>
      </c>
      <c r="M1478" s="33" t="s">
        <v>83</v>
      </c>
      <c r="N1478" s="33" t="s">
        <v>88</v>
      </c>
      <c r="O1478" s="63"/>
      <c r="P1478" s="63"/>
      <c r="Q1478" s="63"/>
      <c r="R1478" s="63"/>
      <c r="S1478" s="63"/>
      <c r="T1478" s="64"/>
      <c r="U1478" s="64"/>
      <c r="V1478" s="64"/>
      <c r="W1478" s="64"/>
      <c r="X1478" s="64"/>
      <c r="Y1478" s="64"/>
      <c r="Z1478" s="64"/>
      <c r="AA1478" s="64"/>
      <c r="AB1478" s="64"/>
      <c r="AC1478" s="64"/>
      <c r="AD1478" s="64"/>
      <c r="AE1478" s="64"/>
      <c r="AF1478" s="64"/>
      <c r="AG1478" s="64"/>
      <c r="AH1478" s="64"/>
      <c r="AI1478" s="64"/>
      <c r="AJ1478" s="64"/>
    </row>
    <row r="1479">
      <c r="A1479" s="43">
        <v>45834.0</v>
      </c>
      <c r="B1479" s="44" t="s">
        <v>190</v>
      </c>
      <c r="C1479" s="44"/>
      <c r="D1479" s="45"/>
      <c r="E1479" s="45"/>
      <c r="F1479" s="20">
        <f t="shared" si="24"/>
        <v>0</v>
      </c>
      <c r="G1479" s="67">
        <f>IFERROR(VLOOKUP(B1479,DADOS!$A$2:$H$252,8,0),"")</f>
        <v>12</v>
      </c>
      <c r="H1479" s="47"/>
      <c r="I1479" s="23">
        <f>IFERROR(VLOOKUP(B1479,DADOS!$A$2:$H$252,4,0)*H1479,"")</f>
        <v>0</v>
      </c>
      <c r="J1479" s="46">
        <v>1.0</v>
      </c>
      <c r="K1479" s="25">
        <f>IFERROR(VLOOKUP(B1479,DADOS!$A$2:$H$252,4,0)*J1479,"")</f>
        <v>0.395686</v>
      </c>
      <c r="L1479" s="26" t="str">
        <f t="shared" si="23"/>
        <v/>
      </c>
      <c r="M1479" s="33" t="s">
        <v>83</v>
      </c>
      <c r="N1479" s="33" t="s">
        <v>85</v>
      </c>
      <c r="O1479" s="63"/>
      <c r="P1479" s="63"/>
      <c r="Q1479" s="63"/>
      <c r="R1479" s="63"/>
      <c r="S1479" s="63"/>
      <c r="T1479" s="64"/>
      <c r="U1479" s="64"/>
      <c r="V1479" s="64"/>
      <c r="W1479" s="64"/>
      <c r="X1479" s="64"/>
      <c r="Y1479" s="64"/>
      <c r="Z1479" s="64"/>
      <c r="AA1479" s="64"/>
      <c r="AB1479" s="64"/>
      <c r="AC1479" s="64"/>
      <c r="AD1479" s="64"/>
      <c r="AE1479" s="64"/>
      <c r="AF1479" s="64"/>
      <c r="AG1479" s="64"/>
      <c r="AH1479" s="64"/>
      <c r="AI1479" s="64"/>
      <c r="AJ1479" s="64"/>
    </row>
    <row r="1480">
      <c r="A1480" s="43">
        <v>45834.0</v>
      </c>
      <c r="B1480" s="44" t="s">
        <v>49</v>
      </c>
      <c r="C1480" s="44"/>
      <c r="D1480" s="45"/>
      <c r="E1480" s="45"/>
      <c r="F1480" s="20">
        <f t="shared" si="24"/>
        <v>0</v>
      </c>
      <c r="G1480" s="67">
        <f>IFERROR(VLOOKUP(B1480,DADOS!$A$2:$H$252,8,0),"")</f>
        <v>42</v>
      </c>
      <c r="H1480" s="47"/>
      <c r="I1480" s="23">
        <f>IFERROR(VLOOKUP(B1480,DADOS!$A$2:$H$252,4,0)*H1480,"")</f>
        <v>0</v>
      </c>
      <c r="J1480" s="46">
        <v>1.0</v>
      </c>
      <c r="K1480" s="25">
        <f>IFERROR(VLOOKUP(B1480,DADOS!$A$2:$H$252,4,0)*J1480,"")</f>
        <v>0.0680306</v>
      </c>
      <c r="L1480" s="26" t="str">
        <f t="shared" si="23"/>
        <v/>
      </c>
      <c r="M1480" s="33" t="s">
        <v>39</v>
      </c>
      <c r="N1480" s="33" t="s">
        <v>89</v>
      </c>
      <c r="O1480" s="63"/>
      <c r="P1480" s="63"/>
      <c r="Q1480" s="63"/>
      <c r="R1480" s="63"/>
      <c r="S1480" s="63"/>
      <c r="T1480" s="64"/>
      <c r="U1480" s="64"/>
      <c r="V1480" s="64"/>
      <c r="W1480" s="64"/>
      <c r="X1480" s="64"/>
      <c r="Y1480" s="64"/>
      <c r="Z1480" s="64"/>
      <c r="AA1480" s="64"/>
      <c r="AB1480" s="64"/>
      <c r="AC1480" s="64"/>
      <c r="AD1480" s="64"/>
      <c r="AE1480" s="64"/>
      <c r="AF1480" s="64"/>
      <c r="AG1480" s="64"/>
      <c r="AH1480" s="64"/>
      <c r="AI1480" s="64"/>
      <c r="AJ1480" s="64"/>
    </row>
    <row r="1481">
      <c r="A1481" s="43">
        <v>45834.0</v>
      </c>
      <c r="B1481" s="44" t="s">
        <v>175</v>
      </c>
      <c r="C1481" s="44"/>
      <c r="D1481" s="45"/>
      <c r="E1481" s="45"/>
      <c r="F1481" s="20">
        <f t="shared" si="24"/>
        <v>0</v>
      </c>
      <c r="G1481" s="67" t="str">
        <f>IFERROR(VLOOKUP(B1481,DADOS!$A$2:$H$252,8,0),"")</f>
        <v/>
      </c>
      <c r="H1481" s="47"/>
      <c r="I1481" s="23" t="str">
        <f>IFERROR(VLOOKUP(B1481,DADOS!$A$2:$H$252,4,0)*H1481,"")</f>
        <v/>
      </c>
      <c r="J1481" s="46">
        <v>1.0</v>
      </c>
      <c r="K1481" s="25" t="str">
        <f>IFERROR(VLOOKUP(B1481,DADOS!$A$2:$H$252,4,0)*J1481,"")</f>
        <v/>
      </c>
      <c r="L1481" s="26" t="str">
        <f t="shared" si="23"/>
        <v/>
      </c>
      <c r="M1481" s="33" t="s">
        <v>189</v>
      </c>
      <c r="N1481" s="33" t="s">
        <v>104</v>
      </c>
      <c r="O1481" s="63"/>
      <c r="P1481" s="63"/>
      <c r="Q1481" s="63"/>
      <c r="R1481" s="63"/>
      <c r="S1481" s="63"/>
      <c r="T1481" s="64"/>
      <c r="U1481" s="64"/>
      <c r="V1481" s="64"/>
      <c r="W1481" s="64"/>
      <c r="X1481" s="64"/>
      <c r="Y1481" s="64"/>
      <c r="Z1481" s="64"/>
      <c r="AA1481" s="64"/>
      <c r="AB1481" s="64"/>
      <c r="AC1481" s="64"/>
      <c r="AD1481" s="64"/>
      <c r="AE1481" s="64"/>
      <c r="AF1481" s="64"/>
      <c r="AG1481" s="64"/>
      <c r="AH1481" s="64"/>
      <c r="AI1481" s="64"/>
      <c r="AJ1481" s="64"/>
    </row>
    <row r="1482">
      <c r="A1482" s="43">
        <v>45834.0</v>
      </c>
      <c r="B1482" s="44" t="s">
        <v>113</v>
      </c>
      <c r="C1482" s="44"/>
      <c r="D1482" s="45"/>
      <c r="E1482" s="45"/>
      <c r="F1482" s="20">
        <f t="shared" si="24"/>
        <v>0</v>
      </c>
      <c r="G1482" s="67">
        <f>IFERROR(VLOOKUP(B1482,DADOS!$A$2:$H$252,8,0),"")</f>
        <v>8</v>
      </c>
      <c r="H1482" s="47"/>
      <c r="I1482" s="23">
        <f>IFERROR(VLOOKUP(B1482,DADOS!$A$2:$H$252,4,0)*H1482,"")</f>
        <v>0</v>
      </c>
      <c r="J1482" s="46">
        <v>1.0</v>
      </c>
      <c r="K1482" s="25">
        <f>IFERROR(VLOOKUP(B1482,DADOS!$A$2:$H$252,4,0)*J1482,"")</f>
        <v>0.6365216</v>
      </c>
      <c r="L1482" s="26" t="str">
        <f t="shared" si="23"/>
        <v/>
      </c>
      <c r="M1482" s="33" t="s">
        <v>83</v>
      </c>
      <c r="N1482" s="33" t="s">
        <v>85</v>
      </c>
      <c r="O1482" s="63"/>
      <c r="P1482" s="63"/>
      <c r="Q1482" s="63"/>
      <c r="R1482" s="63"/>
      <c r="S1482" s="63"/>
      <c r="T1482" s="64"/>
      <c r="U1482" s="64"/>
      <c r="V1482" s="64"/>
      <c r="W1482" s="64"/>
      <c r="X1482" s="64"/>
      <c r="Y1482" s="64"/>
      <c r="Z1482" s="64"/>
      <c r="AA1482" s="64"/>
      <c r="AB1482" s="64"/>
      <c r="AC1482" s="64"/>
      <c r="AD1482" s="64"/>
      <c r="AE1482" s="64"/>
      <c r="AF1482" s="64"/>
      <c r="AG1482" s="64"/>
      <c r="AH1482" s="64"/>
      <c r="AI1482" s="64"/>
      <c r="AJ1482" s="64"/>
    </row>
    <row r="1483">
      <c r="A1483" s="43">
        <v>45834.0</v>
      </c>
      <c r="B1483" s="44" t="s">
        <v>135</v>
      </c>
      <c r="C1483" s="44"/>
      <c r="D1483" s="45"/>
      <c r="E1483" s="45"/>
      <c r="F1483" s="20">
        <f t="shared" si="24"/>
        <v>0</v>
      </c>
      <c r="G1483" s="67">
        <f>IFERROR(VLOOKUP(B1483,DADOS!$A$2:$H$252,8,0),"")</f>
        <v>18</v>
      </c>
      <c r="H1483" s="47"/>
      <c r="I1483" s="23">
        <f>IFERROR(VLOOKUP(B1483,DADOS!$A$2:$H$252,4,0)*H1483,"")</f>
        <v>0</v>
      </c>
      <c r="J1483" s="46">
        <v>1.0</v>
      </c>
      <c r="K1483" s="25">
        <f>IFERROR(VLOOKUP(B1483,DADOS!$A$2:$H$252,4,0)*J1483,"")</f>
        <v>0.325494</v>
      </c>
      <c r="L1483" s="26" t="str">
        <f t="shared" si="23"/>
        <v/>
      </c>
      <c r="M1483" s="33" t="s">
        <v>110</v>
      </c>
      <c r="N1483" s="33" t="s">
        <v>111</v>
      </c>
      <c r="O1483" s="63"/>
      <c r="P1483" s="63"/>
      <c r="Q1483" s="63"/>
      <c r="R1483" s="63"/>
      <c r="S1483" s="63"/>
      <c r="T1483" s="64"/>
      <c r="U1483" s="64"/>
      <c r="V1483" s="64"/>
      <c r="W1483" s="64"/>
      <c r="X1483" s="64"/>
      <c r="Y1483" s="64"/>
      <c r="Z1483" s="64"/>
      <c r="AA1483" s="64"/>
      <c r="AB1483" s="64"/>
      <c r="AC1483" s="64"/>
      <c r="AD1483" s="64"/>
      <c r="AE1483" s="64"/>
      <c r="AF1483" s="64"/>
      <c r="AG1483" s="64"/>
      <c r="AH1483" s="64"/>
      <c r="AI1483" s="64"/>
      <c r="AJ1483" s="64"/>
    </row>
    <row r="1484">
      <c r="A1484" s="43">
        <v>45834.0</v>
      </c>
      <c r="B1484" s="44" t="s">
        <v>119</v>
      </c>
      <c r="C1484" s="44"/>
      <c r="D1484" s="45"/>
      <c r="E1484" s="45"/>
      <c r="F1484" s="20">
        <f t="shared" si="24"/>
        <v>0</v>
      </c>
      <c r="G1484" s="67">
        <f>IFERROR(VLOOKUP(B1484,DADOS!$A$2:$H$252,8,0),"")</f>
        <v>25</v>
      </c>
      <c r="H1484" s="47"/>
      <c r="I1484" s="23">
        <f>IFERROR(VLOOKUP(B1484,DADOS!$A$2:$H$252,4,0)*H1484,"")</f>
        <v>0</v>
      </c>
      <c r="J1484" s="46">
        <v>2.0</v>
      </c>
      <c r="K1484" s="25">
        <f>IFERROR(VLOOKUP(B1484,DADOS!$A$2:$H$252,4,0)*J1484,"")</f>
        <v>0.2603952</v>
      </c>
      <c r="L1484" s="26" t="str">
        <f t="shared" si="23"/>
        <v/>
      </c>
      <c r="M1484" s="33" t="s">
        <v>39</v>
      </c>
      <c r="N1484" s="33" t="s">
        <v>163</v>
      </c>
      <c r="O1484" s="63"/>
      <c r="P1484" s="63"/>
      <c r="Q1484" s="63"/>
      <c r="R1484" s="63"/>
      <c r="S1484" s="63"/>
      <c r="T1484" s="64"/>
      <c r="U1484" s="64"/>
      <c r="V1484" s="64"/>
      <c r="W1484" s="64"/>
      <c r="X1484" s="64"/>
      <c r="Y1484" s="64"/>
      <c r="Z1484" s="64"/>
      <c r="AA1484" s="64"/>
      <c r="AB1484" s="64"/>
      <c r="AC1484" s="64"/>
      <c r="AD1484" s="64"/>
      <c r="AE1484" s="64"/>
      <c r="AF1484" s="64"/>
      <c r="AG1484" s="64"/>
      <c r="AH1484" s="64"/>
      <c r="AI1484" s="64"/>
      <c r="AJ1484" s="64"/>
    </row>
    <row r="1485">
      <c r="A1485" s="43">
        <v>45834.0</v>
      </c>
      <c r="B1485" s="44" t="s">
        <v>100</v>
      </c>
      <c r="C1485" s="44"/>
      <c r="D1485" s="45"/>
      <c r="E1485" s="45"/>
      <c r="F1485" s="20">
        <f t="shared" si="24"/>
        <v>0</v>
      </c>
      <c r="G1485" s="67">
        <f>IFERROR(VLOOKUP(B1485,DADOS!$A$2:$H$252,8,0),"")</f>
        <v>15</v>
      </c>
      <c r="H1485" s="47"/>
      <c r="I1485" s="23">
        <f>IFERROR(VLOOKUP(B1485,DADOS!$A$2:$H$252,4,0)*H1485,"")</f>
        <v>0</v>
      </c>
      <c r="J1485" s="46">
        <v>1.0</v>
      </c>
      <c r="K1485" s="25">
        <f>IFERROR(VLOOKUP(B1485,DADOS!$A$2:$H$252,4,0)*J1485,"")</f>
        <v>0.1479168</v>
      </c>
      <c r="L1485" s="26" t="str">
        <f t="shared" si="23"/>
        <v/>
      </c>
      <c r="M1485" s="33" t="s">
        <v>39</v>
      </c>
      <c r="N1485" s="33" t="s">
        <v>85</v>
      </c>
      <c r="O1485" s="63"/>
      <c r="P1485" s="63"/>
      <c r="Q1485" s="63"/>
      <c r="R1485" s="63"/>
      <c r="S1485" s="63"/>
      <c r="T1485" s="64"/>
      <c r="U1485" s="64"/>
      <c r="V1485" s="64"/>
      <c r="W1485" s="64"/>
      <c r="X1485" s="64"/>
      <c r="Y1485" s="64"/>
      <c r="Z1485" s="64"/>
      <c r="AA1485" s="64"/>
      <c r="AB1485" s="64"/>
      <c r="AC1485" s="64"/>
      <c r="AD1485" s="64"/>
      <c r="AE1485" s="64"/>
      <c r="AF1485" s="64"/>
      <c r="AG1485" s="64"/>
      <c r="AH1485" s="64"/>
      <c r="AI1485" s="64"/>
      <c r="AJ1485" s="64"/>
    </row>
    <row r="1486">
      <c r="A1486" s="43">
        <v>45834.0</v>
      </c>
      <c r="B1486" s="44" t="s">
        <v>32</v>
      </c>
      <c r="C1486" s="44"/>
      <c r="D1486" s="45"/>
      <c r="E1486" s="45"/>
      <c r="F1486" s="20">
        <f t="shared" si="24"/>
        <v>0</v>
      </c>
      <c r="G1486" s="67">
        <f>IFERROR(VLOOKUP(B1486,DADOS!$A$2:$H$252,8,0),"")</f>
        <v>10</v>
      </c>
      <c r="H1486" s="47"/>
      <c r="I1486" s="23">
        <f>IFERROR(VLOOKUP(B1486,DADOS!$A$2:$H$252,4,0)*H1486,"")</f>
        <v>0</v>
      </c>
      <c r="J1486" s="46">
        <v>1.0</v>
      </c>
      <c r="K1486" s="25">
        <f>IFERROR(VLOOKUP(B1486,DADOS!$A$2:$H$252,4,0)*J1486,"")</f>
        <v>0.6122754</v>
      </c>
      <c r="L1486" s="26" t="str">
        <f t="shared" si="23"/>
        <v/>
      </c>
      <c r="M1486" s="33" t="s">
        <v>39</v>
      </c>
      <c r="N1486" s="33" t="s">
        <v>102</v>
      </c>
      <c r="O1486" s="63"/>
      <c r="P1486" s="63"/>
      <c r="Q1486" s="63"/>
      <c r="R1486" s="63"/>
      <c r="S1486" s="63"/>
      <c r="T1486" s="64"/>
      <c r="U1486" s="64"/>
      <c r="V1486" s="64"/>
      <c r="W1486" s="64"/>
      <c r="X1486" s="64"/>
      <c r="Y1486" s="64"/>
      <c r="Z1486" s="64"/>
      <c r="AA1486" s="64"/>
      <c r="AB1486" s="64"/>
      <c r="AC1486" s="64"/>
      <c r="AD1486" s="64"/>
      <c r="AE1486" s="64"/>
      <c r="AF1486" s="64"/>
      <c r="AG1486" s="64"/>
      <c r="AH1486" s="64"/>
      <c r="AI1486" s="64"/>
      <c r="AJ1486" s="64"/>
    </row>
    <row r="1487">
      <c r="A1487" s="43">
        <v>45834.0</v>
      </c>
      <c r="B1487" s="44" t="s">
        <v>191</v>
      </c>
      <c r="C1487" s="44"/>
      <c r="D1487" s="45"/>
      <c r="E1487" s="45"/>
      <c r="F1487" s="20">
        <f t="shared" si="24"/>
        <v>0</v>
      </c>
      <c r="G1487" s="67" t="str">
        <f>IFERROR(VLOOKUP(B1487,DADOS!$A$2:$H$252,8,0),"")</f>
        <v/>
      </c>
      <c r="H1487" s="47"/>
      <c r="I1487" s="23">
        <f>IFERROR(VLOOKUP(B1487,DADOS!$A$2:$H$252,4,0)*H1487,"")</f>
        <v>0</v>
      </c>
      <c r="J1487" s="46">
        <v>1.0</v>
      </c>
      <c r="K1487" s="25">
        <f>IFERROR(VLOOKUP(B1487,DADOS!$A$2:$H$252,4,0)*J1487,"")</f>
        <v>0</v>
      </c>
      <c r="L1487" s="26" t="str">
        <f t="shared" si="23"/>
        <v/>
      </c>
      <c r="M1487" s="33" t="s">
        <v>83</v>
      </c>
      <c r="N1487" s="33" t="s">
        <v>177</v>
      </c>
      <c r="O1487" s="63"/>
      <c r="P1487" s="63"/>
      <c r="Q1487" s="63"/>
      <c r="R1487" s="63"/>
      <c r="S1487" s="63"/>
      <c r="T1487" s="64"/>
      <c r="U1487" s="64"/>
      <c r="V1487" s="64"/>
      <c r="W1487" s="64"/>
      <c r="X1487" s="64"/>
      <c r="Y1487" s="64"/>
      <c r="Z1487" s="64"/>
      <c r="AA1487" s="64"/>
      <c r="AB1487" s="64"/>
      <c r="AC1487" s="64"/>
      <c r="AD1487" s="64"/>
      <c r="AE1487" s="64"/>
      <c r="AF1487" s="64"/>
      <c r="AG1487" s="64"/>
      <c r="AH1487" s="64"/>
      <c r="AI1487" s="64"/>
      <c r="AJ1487" s="64"/>
    </row>
    <row r="1488">
      <c r="A1488" s="43">
        <v>45834.0</v>
      </c>
      <c r="B1488" s="44" t="s">
        <v>150</v>
      </c>
      <c r="C1488" s="44"/>
      <c r="D1488" s="45"/>
      <c r="E1488" s="45"/>
      <c r="F1488" s="20">
        <f t="shared" si="24"/>
        <v>0</v>
      </c>
      <c r="G1488" s="67">
        <f>IFERROR(VLOOKUP(B1488,DADOS!$A$2:$H$252,8,0),"")</f>
        <v>12</v>
      </c>
      <c r="H1488" s="47"/>
      <c r="I1488" s="23">
        <f>IFERROR(VLOOKUP(B1488,DADOS!$A$2:$H$252,4,0)*H1488,"")</f>
        <v>0</v>
      </c>
      <c r="J1488" s="46">
        <v>6.0</v>
      </c>
      <c r="K1488" s="25">
        <f>IFERROR(VLOOKUP(B1488,DADOS!$A$2:$H$252,4,0)*J1488,"")</f>
        <v>1.0296396</v>
      </c>
      <c r="L1488" s="26" t="str">
        <f t="shared" si="23"/>
        <v/>
      </c>
      <c r="M1488" s="33" t="s">
        <v>39</v>
      </c>
      <c r="N1488" s="33" t="s">
        <v>163</v>
      </c>
      <c r="O1488" s="63"/>
      <c r="P1488" s="63"/>
      <c r="Q1488" s="63"/>
      <c r="R1488" s="63"/>
      <c r="S1488" s="63"/>
      <c r="T1488" s="64"/>
      <c r="U1488" s="64"/>
      <c r="V1488" s="64"/>
      <c r="W1488" s="64"/>
      <c r="X1488" s="64"/>
      <c r="Y1488" s="64"/>
      <c r="Z1488" s="64"/>
      <c r="AA1488" s="64"/>
      <c r="AB1488" s="64"/>
      <c r="AC1488" s="64"/>
      <c r="AD1488" s="64"/>
      <c r="AE1488" s="64"/>
      <c r="AF1488" s="64"/>
      <c r="AG1488" s="64"/>
      <c r="AH1488" s="64"/>
      <c r="AI1488" s="64"/>
      <c r="AJ1488" s="64"/>
    </row>
    <row r="1489" ht="15.0" customHeight="1">
      <c r="A1489" s="43">
        <v>45834.0</v>
      </c>
      <c r="B1489" s="44" t="s">
        <v>71</v>
      </c>
      <c r="C1489" s="44"/>
      <c r="D1489" s="45"/>
      <c r="E1489" s="45"/>
      <c r="F1489" s="20">
        <f t="shared" si="24"/>
        <v>0</v>
      </c>
      <c r="G1489" s="67">
        <f>IFERROR(VLOOKUP(B1489,DADOS!$A$2:$H$252,8,0),"")</f>
        <v>7</v>
      </c>
      <c r="H1489" s="47"/>
      <c r="I1489" s="23">
        <f>IFERROR(VLOOKUP(B1489,DADOS!$A$2:$H$252,4,0)*H1489,"")</f>
        <v>0</v>
      </c>
      <c r="J1489" s="46">
        <v>1.0</v>
      </c>
      <c r="K1489" s="25">
        <f>IFERROR(VLOOKUP(B1489,DADOS!$A$2:$H$252,4,0)*J1489,"")</f>
        <v>1.4024062</v>
      </c>
      <c r="L1489" s="26" t="str">
        <f t="shared" si="23"/>
        <v/>
      </c>
      <c r="M1489" s="33" t="s">
        <v>83</v>
      </c>
      <c r="N1489" s="33" t="s">
        <v>88</v>
      </c>
      <c r="O1489" s="63"/>
      <c r="P1489" s="63"/>
      <c r="Q1489" s="63"/>
      <c r="R1489" s="63"/>
      <c r="S1489" s="63"/>
      <c r="T1489" s="64"/>
      <c r="U1489" s="64"/>
      <c r="V1489" s="64"/>
      <c r="W1489" s="64"/>
      <c r="X1489" s="64"/>
      <c r="Y1489" s="64"/>
      <c r="Z1489" s="64"/>
      <c r="AA1489" s="64"/>
      <c r="AB1489" s="64"/>
      <c r="AC1489" s="64"/>
      <c r="AD1489" s="64"/>
      <c r="AE1489" s="64"/>
      <c r="AF1489" s="64"/>
      <c r="AG1489" s="64"/>
      <c r="AH1489" s="64"/>
      <c r="AI1489" s="64"/>
      <c r="AJ1489" s="64"/>
    </row>
    <row r="1490">
      <c r="A1490" s="17">
        <v>45835.0</v>
      </c>
      <c r="B1490" s="18" t="s">
        <v>71</v>
      </c>
      <c r="C1490" s="18" t="s">
        <v>166</v>
      </c>
      <c r="D1490" s="19">
        <v>0.2916666666666667</v>
      </c>
      <c r="E1490" s="19">
        <v>0.6111111111111112</v>
      </c>
      <c r="F1490" s="20">
        <f t="shared" si="24"/>
        <v>0.3194444444</v>
      </c>
      <c r="G1490" s="67">
        <f>IFERROR(VLOOKUP(B1490,DADOS!$A$2:$H$252,8,0),"")</f>
        <v>7</v>
      </c>
      <c r="H1490" s="22">
        <v>25.0</v>
      </c>
      <c r="I1490" s="23">
        <f>IFERROR(VLOOKUP(B1490,DADOS!$A$2:$H$252,4,0)*H1490,"")</f>
        <v>35.060155</v>
      </c>
      <c r="J1490" s="36"/>
      <c r="K1490" s="25">
        <f>IFERROR(VLOOKUP(B1490,DADOS!$A$2:$H$252,4,0)*J1490,"")</f>
        <v>0</v>
      </c>
      <c r="L1490" s="26">
        <f t="shared" si="23"/>
        <v>0</v>
      </c>
      <c r="M1490" s="27"/>
      <c r="N1490" s="30"/>
      <c r="O1490" s="28"/>
      <c r="P1490" s="28"/>
      <c r="Q1490" s="28"/>
      <c r="R1490" s="28"/>
      <c r="S1490" s="28"/>
    </row>
    <row r="1491">
      <c r="A1491" s="17">
        <v>45835.0</v>
      </c>
      <c r="B1491" s="18" t="s">
        <v>37</v>
      </c>
      <c r="C1491" s="18" t="s">
        <v>65</v>
      </c>
      <c r="D1491" s="19">
        <v>0.325</v>
      </c>
      <c r="E1491" s="19">
        <v>0.4041666666666667</v>
      </c>
      <c r="F1491" s="20">
        <f t="shared" si="24"/>
        <v>0.07916666667</v>
      </c>
      <c r="G1491" s="67" t="str">
        <f>IFERROR(VLOOKUP(B1491,DADOS!$A$2:$H$252,8,0),"")</f>
        <v/>
      </c>
      <c r="H1491" s="22">
        <v>130.0</v>
      </c>
      <c r="I1491" s="23" t="str">
        <f>IFERROR(VLOOKUP(B1491,DADOS!$A$2:$H$252,4,0)*H1491,"")</f>
        <v/>
      </c>
      <c r="J1491" s="36"/>
      <c r="K1491" s="25" t="str">
        <f>IFERROR(VLOOKUP(B1491,DADOS!$A$2:$H$252,4,0)*J1491,"")</f>
        <v/>
      </c>
      <c r="L1491" s="26" t="str">
        <f t="shared" si="23"/>
        <v/>
      </c>
      <c r="M1491" s="27"/>
      <c r="N1491" s="30"/>
      <c r="O1491" s="28"/>
      <c r="P1491" s="28"/>
      <c r="Q1491" s="28"/>
      <c r="R1491" s="28"/>
      <c r="S1491" s="28"/>
    </row>
    <row r="1492">
      <c r="A1492" s="17">
        <v>45835.0</v>
      </c>
      <c r="B1492" s="18" t="s">
        <v>192</v>
      </c>
      <c r="C1492" s="18" t="s">
        <v>65</v>
      </c>
      <c r="D1492" s="19">
        <v>0.4409722222222222</v>
      </c>
      <c r="E1492" s="19">
        <v>0.4930555555555556</v>
      </c>
      <c r="F1492" s="20">
        <f t="shared" si="24"/>
        <v>0.05208333333</v>
      </c>
      <c r="G1492" s="67" t="str">
        <f>IFERROR(VLOOKUP(B1492,DADOS!$A$2:$H$252,8,0),"")</f>
        <v/>
      </c>
      <c r="H1492" s="22">
        <v>100.0</v>
      </c>
      <c r="I1492" s="23" t="str">
        <f>IFERROR(VLOOKUP(B1492,DADOS!$A$2:$H$252,4,0)*H1492,"")</f>
        <v/>
      </c>
      <c r="J1492" s="36"/>
      <c r="K1492" s="25" t="str">
        <f>IFERROR(VLOOKUP(B1492,DADOS!$A$2:$H$252,4,0)*J1492,"")</f>
        <v/>
      </c>
      <c r="L1492" s="26" t="str">
        <f t="shared" si="23"/>
        <v/>
      </c>
      <c r="M1492" s="27"/>
      <c r="N1492" s="30"/>
      <c r="O1492" s="28"/>
      <c r="P1492" s="28"/>
      <c r="Q1492" s="28"/>
      <c r="R1492" s="28"/>
      <c r="S1492" s="28"/>
    </row>
    <row r="1493">
      <c r="A1493" s="17">
        <v>45835.0</v>
      </c>
      <c r="B1493" s="18" t="s">
        <v>57</v>
      </c>
      <c r="C1493" s="18" t="s">
        <v>65</v>
      </c>
      <c r="D1493" s="19">
        <v>0.5694444444444444</v>
      </c>
      <c r="E1493" s="19">
        <v>0.6736111111111112</v>
      </c>
      <c r="F1493" s="20">
        <f t="shared" si="24"/>
        <v>0.1041666667</v>
      </c>
      <c r="G1493" s="67">
        <f>IFERROR(VLOOKUP(B1493,DADOS!$A$2:$H$252,8,0),"")</f>
        <v>100</v>
      </c>
      <c r="H1493" s="22">
        <v>159.0</v>
      </c>
      <c r="I1493" s="23">
        <f>IFERROR(VLOOKUP(B1493,DADOS!$A$2:$H$252,4,0)*H1493,"")</f>
        <v>2.72208</v>
      </c>
      <c r="J1493" s="36"/>
      <c r="K1493" s="25">
        <f>IFERROR(VLOOKUP(B1493,DADOS!$A$2:$H$252,4,0)*J1493,"")</f>
        <v>0</v>
      </c>
      <c r="L1493" s="26">
        <f t="shared" si="23"/>
        <v>0</v>
      </c>
      <c r="M1493" s="27"/>
      <c r="N1493" s="30"/>
      <c r="O1493" s="28"/>
      <c r="P1493" s="28"/>
      <c r="Q1493" s="28"/>
      <c r="R1493" s="28"/>
      <c r="S1493" s="28"/>
    </row>
    <row r="1494">
      <c r="A1494" s="17">
        <v>45835.0</v>
      </c>
      <c r="B1494" s="18" t="s">
        <v>135</v>
      </c>
      <c r="C1494" s="18" t="s">
        <v>165</v>
      </c>
      <c r="D1494" s="19">
        <v>0.3333333333333333</v>
      </c>
      <c r="E1494" s="19">
        <v>0.5659722222222222</v>
      </c>
      <c r="F1494" s="20">
        <f t="shared" si="24"/>
        <v>0.2326388889</v>
      </c>
      <c r="G1494" s="67">
        <f>IFERROR(VLOOKUP(B1494,DADOS!$A$2:$H$252,8,0),"")</f>
        <v>18</v>
      </c>
      <c r="H1494" s="22">
        <v>28.0</v>
      </c>
      <c r="I1494" s="23">
        <f>IFERROR(VLOOKUP(B1494,DADOS!$A$2:$H$252,4,0)*H1494,"")</f>
        <v>9.113832</v>
      </c>
      <c r="J1494" s="24">
        <v>1.0</v>
      </c>
      <c r="K1494" s="25">
        <f>IFERROR(VLOOKUP(B1494,DADOS!$A$2:$H$252,4,0)*J1494,"")</f>
        <v>0.325494</v>
      </c>
      <c r="L1494" s="26">
        <f t="shared" si="23"/>
        <v>0</v>
      </c>
      <c r="M1494" s="27"/>
      <c r="N1494" s="30"/>
      <c r="O1494" s="28"/>
      <c r="P1494" s="28"/>
      <c r="Q1494" s="28"/>
      <c r="R1494" s="28"/>
      <c r="S1494" s="28"/>
    </row>
    <row r="1495">
      <c r="A1495" s="17">
        <v>45836.0</v>
      </c>
      <c r="B1495" s="18" t="s">
        <v>71</v>
      </c>
      <c r="C1495" s="18" t="s">
        <v>193</v>
      </c>
      <c r="D1495" s="19">
        <v>0.2916666666666667</v>
      </c>
      <c r="E1495" s="19">
        <v>0.6111111111111112</v>
      </c>
      <c r="F1495" s="20">
        <f t="shared" si="24"/>
        <v>0.3194444444</v>
      </c>
      <c r="G1495" s="67">
        <f>IFERROR(VLOOKUP(B1495,DADOS!$A$2:$H$252,8,0),"")</f>
        <v>7</v>
      </c>
      <c r="H1495" s="22">
        <v>50.0</v>
      </c>
      <c r="I1495" s="23">
        <f>IFERROR(VLOOKUP(B1495,DADOS!$A$2:$H$252,4,0)*H1495,"")</f>
        <v>70.12031</v>
      </c>
      <c r="J1495" s="36"/>
      <c r="K1495" s="25">
        <f>IFERROR(VLOOKUP(B1495,DADOS!$A$2:$H$252,4,0)*J1495,"")</f>
        <v>0</v>
      </c>
      <c r="L1495" s="26">
        <f t="shared" si="23"/>
        <v>0</v>
      </c>
      <c r="M1495" s="27"/>
      <c r="N1495" s="30"/>
      <c r="O1495" s="28"/>
      <c r="P1495" s="28"/>
      <c r="Q1495" s="28"/>
      <c r="R1495" s="28"/>
      <c r="S1495" s="28"/>
    </row>
    <row r="1496">
      <c r="A1496" s="17">
        <v>45838.0</v>
      </c>
      <c r="B1496" s="18" t="s">
        <v>72</v>
      </c>
      <c r="C1496" s="18" t="s">
        <v>65</v>
      </c>
      <c r="D1496" s="19">
        <v>0.3784722222222222</v>
      </c>
      <c r="E1496" s="19">
        <v>0.6041666666666666</v>
      </c>
      <c r="F1496" s="20">
        <f t="shared" si="24"/>
        <v>0.2256944444</v>
      </c>
      <c r="G1496" s="67">
        <f>IFERROR(VLOOKUP(B1496,DADOS!$A$2:$H$252,8,0),"")</f>
        <v>43</v>
      </c>
      <c r="H1496" s="22">
        <v>232.0</v>
      </c>
      <c r="I1496" s="23">
        <f>IFERROR(VLOOKUP(B1496,DADOS!$A$2:$H$252,4,0)*H1496,"")</f>
        <v>3.97184</v>
      </c>
      <c r="J1496" s="24">
        <v>5.0</v>
      </c>
      <c r="K1496" s="25">
        <f>IFERROR(VLOOKUP(B1496,DADOS!$A$2:$H$252,4,0)*J1496,"")</f>
        <v>0.0856</v>
      </c>
      <c r="L1496" s="26">
        <f t="shared" si="23"/>
        <v>0</v>
      </c>
      <c r="M1496" s="27"/>
      <c r="N1496" s="30"/>
      <c r="O1496" s="28"/>
      <c r="P1496" s="28"/>
      <c r="Q1496" s="28"/>
      <c r="R1496" s="28"/>
      <c r="S1496" s="28"/>
    </row>
    <row r="1497">
      <c r="A1497" s="17">
        <v>45838.0</v>
      </c>
      <c r="B1497" s="18" t="s">
        <v>74</v>
      </c>
      <c r="C1497" s="18" t="s">
        <v>65</v>
      </c>
      <c r="D1497" s="19">
        <v>0.6583333333333333</v>
      </c>
      <c r="E1497" s="19">
        <v>0.7152777777777778</v>
      </c>
      <c r="F1497" s="20">
        <f t="shared" si="24"/>
        <v>0.05694444444</v>
      </c>
      <c r="G1497" s="67">
        <f>IFERROR(VLOOKUP(B1497,DADOS!$A$2:$H$252,8,0),"")</f>
        <v>60</v>
      </c>
      <c r="H1497" s="22">
        <v>52.0</v>
      </c>
      <c r="I1497" s="23">
        <f>IFERROR(VLOOKUP(B1497,DADOS!$A$2:$H$252,4,0)*H1497,"")</f>
        <v>72.10944</v>
      </c>
      <c r="J1497" s="24">
        <v>5.0</v>
      </c>
      <c r="K1497" s="25">
        <f>IFERROR(VLOOKUP(B1497,DADOS!$A$2:$H$252,4,0)*J1497,"")</f>
        <v>6.9336</v>
      </c>
      <c r="L1497" s="26">
        <f t="shared" si="23"/>
        <v>0</v>
      </c>
      <c r="M1497" s="27"/>
      <c r="N1497" s="30"/>
      <c r="O1497" s="28"/>
      <c r="P1497" s="28"/>
      <c r="Q1497" s="28"/>
      <c r="R1497" s="28"/>
      <c r="S1497" s="28"/>
    </row>
    <row r="1498">
      <c r="A1498" s="17">
        <v>45838.0</v>
      </c>
      <c r="B1498" s="18" t="s">
        <v>57</v>
      </c>
      <c r="C1498" s="18" t="s">
        <v>65</v>
      </c>
      <c r="D1498" s="19">
        <v>0.3229166666666667</v>
      </c>
      <c r="E1498" s="19">
        <v>0.3472222222222222</v>
      </c>
      <c r="F1498" s="20">
        <f t="shared" si="24"/>
        <v>0.02430555556</v>
      </c>
      <c r="G1498" s="67">
        <f>IFERROR(VLOOKUP(B1498,DADOS!$A$2:$H$252,8,0),"")</f>
        <v>100</v>
      </c>
      <c r="H1498" s="22">
        <v>39.0</v>
      </c>
      <c r="I1498" s="23">
        <f>IFERROR(VLOOKUP(B1498,DADOS!$A$2:$H$252,4,0)*H1498,"")</f>
        <v>0.66768</v>
      </c>
      <c r="J1498" s="36"/>
      <c r="K1498" s="25">
        <f>IFERROR(VLOOKUP(B1498,DADOS!$A$2:$H$252,4,0)*J1498,"")</f>
        <v>0</v>
      </c>
      <c r="L1498" s="26">
        <f t="shared" si="23"/>
        <v>0</v>
      </c>
      <c r="M1498" s="27"/>
      <c r="N1498" s="30"/>
      <c r="O1498" s="28"/>
      <c r="P1498" s="28"/>
      <c r="Q1498" s="28"/>
      <c r="R1498" s="28"/>
      <c r="S1498" s="28"/>
    </row>
    <row r="1499">
      <c r="A1499" s="17">
        <v>45838.0</v>
      </c>
      <c r="B1499" s="18" t="s">
        <v>182</v>
      </c>
      <c r="C1499" s="18" t="s">
        <v>165</v>
      </c>
      <c r="D1499" s="19">
        <v>0.3472222222222222</v>
      </c>
      <c r="E1499" s="19">
        <v>0.6493055555555556</v>
      </c>
      <c r="F1499" s="20">
        <f t="shared" si="24"/>
        <v>0.3020833333</v>
      </c>
      <c r="G1499" s="67">
        <f>IFERROR(VLOOKUP(B1499,DADOS!$A$2:$H$252,8,0),"")</f>
        <v>120</v>
      </c>
      <c r="H1499" s="22">
        <v>60.0</v>
      </c>
      <c r="I1499" s="23">
        <f>IFERROR(VLOOKUP(B1499,DADOS!$A$2:$H$252,4,0)*H1499,"")</f>
        <v>19.52964</v>
      </c>
      <c r="J1499" s="36"/>
      <c r="K1499" s="25">
        <f>IFERROR(VLOOKUP(B1499,DADOS!$A$2:$H$252,4,0)*J1499,"")</f>
        <v>0</v>
      </c>
      <c r="L1499" s="26">
        <f t="shared" si="23"/>
        <v>0</v>
      </c>
      <c r="M1499" s="27"/>
      <c r="N1499" s="30"/>
      <c r="O1499" s="28"/>
      <c r="P1499" s="28"/>
      <c r="Q1499" s="28"/>
      <c r="R1499" s="28"/>
      <c r="S1499" s="28"/>
    </row>
    <row r="1500">
      <c r="A1500" s="17">
        <v>45838.0</v>
      </c>
      <c r="B1500" s="18" t="s">
        <v>156</v>
      </c>
      <c r="C1500" s="18" t="s">
        <v>165</v>
      </c>
      <c r="D1500" s="19">
        <v>0.6805555555555556</v>
      </c>
      <c r="E1500" s="29">
        <v>0.7152777777777778</v>
      </c>
      <c r="F1500" s="20">
        <f t="shared" si="24"/>
        <v>0.03472222222</v>
      </c>
      <c r="G1500" s="67">
        <f>IFERROR(VLOOKUP(B1500,DADOS!$A$2:$H$252,8,0),"")</f>
        <v>25</v>
      </c>
      <c r="H1500" s="22">
        <v>3.0</v>
      </c>
      <c r="I1500" s="23">
        <f>IFERROR(VLOOKUP(B1500,DADOS!$A$2:$H$252,4,0)*H1500,"")</f>
        <v>0.20544</v>
      </c>
      <c r="J1500" s="36"/>
      <c r="K1500" s="25">
        <f>IFERROR(VLOOKUP(B1500,DADOS!$A$2:$H$252,4,0)*J1500,"")</f>
        <v>0</v>
      </c>
      <c r="L1500" s="26">
        <f t="shared" si="23"/>
        <v>0</v>
      </c>
      <c r="M1500" s="27"/>
      <c r="N1500" s="30"/>
      <c r="O1500" s="28"/>
      <c r="P1500" s="28"/>
      <c r="Q1500" s="28"/>
      <c r="R1500" s="28"/>
      <c r="S1500" s="28"/>
    </row>
    <row r="1501">
      <c r="A1501" s="17">
        <v>45839.0</v>
      </c>
      <c r="B1501" s="18" t="s">
        <v>50</v>
      </c>
      <c r="C1501" s="18" t="s">
        <v>166</v>
      </c>
      <c r="D1501" s="19">
        <v>0.3333333333333333</v>
      </c>
      <c r="E1501" s="19">
        <v>0.5</v>
      </c>
      <c r="F1501" s="20">
        <f t="shared" si="24"/>
        <v>0.1666666667</v>
      </c>
      <c r="G1501" s="67">
        <f>IFERROR(VLOOKUP(B1501,DADOS!$A$2:$H$252,8,0),"")</f>
        <v>8</v>
      </c>
      <c r="H1501" s="22">
        <v>27.0</v>
      </c>
      <c r="I1501" s="23">
        <f>IFERROR(VLOOKUP(B1501,DADOS!$A$2:$H$252,4,0)*H1501,"")</f>
        <v>19.4764824</v>
      </c>
      <c r="J1501" s="36"/>
      <c r="K1501" s="25">
        <f>IFERROR(VLOOKUP(B1501,DADOS!$A$2:$H$252,4,0)*J1501,"")</f>
        <v>0</v>
      </c>
      <c r="L1501" s="26">
        <f t="shared" si="23"/>
        <v>0</v>
      </c>
      <c r="M1501" s="27"/>
      <c r="N1501" s="30"/>
      <c r="O1501" s="28"/>
      <c r="P1501" s="28"/>
      <c r="Q1501" s="28"/>
      <c r="R1501" s="28"/>
      <c r="S1501" s="28"/>
    </row>
    <row r="1502">
      <c r="A1502" s="17">
        <v>45839.0</v>
      </c>
      <c r="B1502" s="18" t="s">
        <v>74</v>
      </c>
      <c r="C1502" s="18" t="s">
        <v>65</v>
      </c>
      <c r="D1502" s="19">
        <v>0.3576388888888889</v>
      </c>
      <c r="E1502" s="19">
        <v>0.5555555555555556</v>
      </c>
      <c r="F1502" s="20">
        <f t="shared" si="24"/>
        <v>0.1979166667</v>
      </c>
      <c r="G1502" s="67">
        <f>IFERROR(VLOOKUP(B1502,DADOS!$A$2:$H$252,8,0),"")</f>
        <v>60</v>
      </c>
      <c r="H1502" s="22">
        <v>150.0</v>
      </c>
      <c r="I1502" s="23">
        <f>IFERROR(VLOOKUP(B1502,DADOS!$A$2:$H$252,4,0)*H1502,"")</f>
        <v>208.008</v>
      </c>
      <c r="J1502" s="36"/>
      <c r="K1502" s="25">
        <f>IFERROR(VLOOKUP(B1502,DADOS!$A$2:$H$252,4,0)*J1502,"")</f>
        <v>0</v>
      </c>
      <c r="L1502" s="26">
        <f t="shared" si="23"/>
        <v>0</v>
      </c>
      <c r="M1502" s="27"/>
      <c r="N1502" s="30"/>
      <c r="O1502" s="28"/>
      <c r="P1502" s="28"/>
      <c r="Q1502" s="28"/>
      <c r="R1502" s="28"/>
      <c r="S1502" s="28"/>
    </row>
    <row r="1503">
      <c r="A1503" s="17">
        <v>45839.0</v>
      </c>
      <c r="B1503" s="18" t="s">
        <v>156</v>
      </c>
      <c r="C1503" s="18" t="s">
        <v>165</v>
      </c>
      <c r="D1503" s="19">
        <v>0.3472222222222222</v>
      </c>
      <c r="E1503" s="19">
        <v>0.6597222222222222</v>
      </c>
      <c r="F1503" s="20">
        <f t="shared" si="24"/>
        <v>0.3125</v>
      </c>
      <c r="G1503" s="67">
        <f>IFERROR(VLOOKUP(B1503,DADOS!$A$2:$H$252,8,0),"")</f>
        <v>25</v>
      </c>
      <c r="H1503" s="22">
        <v>57.0</v>
      </c>
      <c r="I1503" s="23">
        <f>IFERROR(VLOOKUP(B1503,DADOS!$A$2:$H$252,4,0)*H1503,"")</f>
        <v>3.90336</v>
      </c>
      <c r="J1503" s="36"/>
      <c r="K1503" s="25">
        <f>IFERROR(VLOOKUP(B1503,DADOS!$A$2:$H$252,4,0)*J1503,"")</f>
        <v>0</v>
      </c>
      <c r="L1503" s="26">
        <f t="shared" si="23"/>
        <v>0</v>
      </c>
      <c r="M1503" s="27"/>
      <c r="N1503" s="30"/>
      <c r="O1503" s="28"/>
      <c r="P1503" s="28"/>
      <c r="Q1503" s="28"/>
      <c r="R1503" s="28"/>
      <c r="S1503" s="28"/>
    </row>
    <row r="1504">
      <c r="A1504" s="17">
        <v>45840.0</v>
      </c>
      <c r="B1504" s="18" t="s">
        <v>50</v>
      </c>
      <c r="C1504" s="18" t="s">
        <v>166</v>
      </c>
      <c r="D1504" s="19"/>
      <c r="E1504" s="19"/>
      <c r="F1504" s="20">
        <f t="shared" si="24"/>
        <v>0</v>
      </c>
      <c r="G1504" s="67">
        <f>IFERROR(VLOOKUP(B1504,DADOS!$A$2:$H$252,8,0),"")</f>
        <v>8</v>
      </c>
      <c r="H1504" s="22">
        <v>13.0</v>
      </c>
      <c r="I1504" s="23">
        <f>IFERROR(VLOOKUP(B1504,DADOS!$A$2:$H$252,4,0)*H1504,"")</f>
        <v>9.3775656</v>
      </c>
      <c r="J1504" s="36"/>
      <c r="K1504" s="25">
        <f>IFERROR(VLOOKUP(B1504,DADOS!$A$2:$H$252,4,0)*J1504,"")</f>
        <v>0</v>
      </c>
      <c r="L1504" s="26">
        <f t="shared" si="23"/>
        <v>0</v>
      </c>
      <c r="M1504" s="27"/>
      <c r="N1504" s="30"/>
      <c r="O1504" s="28"/>
      <c r="P1504" s="28"/>
      <c r="Q1504" s="28"/>
      <c r="R1504" s="28"/>
      <c r="S1504" s="28"/>
    </row>
    <row r="1505">
      <c r="A1505" s="17">
        <v>45840.0</v>
      </c>
      <c r="B1505" s="18" t="s">
        <v>44</v>
      </c>
      <c r="C1505" s="18" t="s">
        <v>166</v>
      </c>
      <c r="D1505" s="19"/>
      <c r="E1505" s="19"/>
      <c r="F1505" s="20">
        <f t="shared" si="24"/>
        <v>0</v>
      </c>
      <c r="G1505" s="67">
        <f>IFERROR(VLOOKUP(B1505,DADOS!$A$2:$H$252,8,0),"")</f>
        <v>15</v>
      </c>
      <c r="H1505" s="22">
        <v>26.0</v>
      </c>
      <c r="I1505" s="23">
        <f>IFERROR(VLOOKUP(B1505,DADOS!$A$2:$H$252,4,0)*H1505,"")</f>
        <v>4.7983936</v>
      </c>
      <c r="J1505" s="36"/>
      <c r="K1505" s="25">
        <f>IFERROR(VLOOKUP(B1505,DADOS!$A$2:$H$252,4,0)*J1505,"")</f>
        <v>0</v>
      </c>
      <c r="L1505" s="26">
        <f t="shared" si="23"/>
        <v>0</v>
      </c>
      <c r="M1505" s="27"/>
      <c r="N1505" s="30"/>
      <c r="O1505" s="28"/>
      <c r="P1505" s="28"/>
      <c r="Q1505" s="28"/>
      <c r="R1505" s="28"/>
      <c r="S1505" s="28"/>
    </row>
    <row r="1506">
      <c r="A1506" s="17">
        <v>45840.0</v>
      </c>
      <c r="B1506" s="18" t="s">
        <v>21</v>
      </c>
      <c r="C1506" s="18" t="s">
        <v>165</v>
      </c>
      <c r="D1506" s="19">
        <v>0.3194444444444444</v>
      </c>
      <c r="E1506" s="19">
        <v>0.4965277777777778</v>
      </c>
      <c r="F1506" s="20">
        <f t="shared" si="24"/>
        <v>0.1770833333</v>
      </c>
      <c r="G1506" s="67">
        <f>IFERROR(VLOOKUP(B1506,DADOS!$A$2:$H$252,8,0),"")</f>
        <v>33</v>
      </c>
      <c r="H1506" s="22">
        <v>11.0</v>
      </c>
      <c r="I1506" s="23">
        <f>IFERROR(VLOOKUP(B1506,DADOS!$A$2:$H$252,4,0)*H1506,"")</f>
        <v>1.2532696</v>
      </c>
      <c r="J1506" s="24">
        <v>1.0</v>
      </c>
      <c r="K1506" s="25">
        <f>IFERROR(VLOOKUP(B1506,DADOS!$A$2:$H$252,4,0)*J1506,"")</f>
        <v>0.1139336</v>
      </c>
      <c r="L1506" s="26">
        <f t="shared" si="23"/>
        <v>0</v>
      </c>
      <c r="M1506" s="27"/>
      <c r="N1506" s="30"/>
      <c r="O1506" s="28"/>
      <c r="P1506" s="28"/>
      <c r="Q1506" s="28"/>
      <c r="R1506" s="28"/>
      <c r="S1506" s="28"/>
    </row>
    <row r="1507">
      <c r="A1507" s="17">
        <v>45841.0</v>
      </c>
      <c r="B1507" s="18" t="s">
        <v>44</v>
      </c>
      <c r="C1507" s="18" t="s">
        <v>166</v>
      </c>
      <c r="D1507" s="19">
        <v>0.3194444444444444</v>
      </c>
      <c r="E1507" s="19"/>
      <c r="F1507" s="20">
        <f t="shared" si="24"/>
        <v>-0.3194444444</v>
      </c>
      <c r="G1507" s="67">
        <f>IFERROR(VLOOKUP(B1507,DADOS!$A$2:$H$252,8,0),"")</f>
        <v>15</v>
      </c>
      <c r="H1507" s="22">
        <v>14.0</v>
      </c>
      <c r="I1507" s="23">
        <f>IFERROR(VLOOKUP(B1507,DADOS!$A$2:$H$252,4,0)*H1507,"")</f>
        <v>2.5837504</v>
      </c>
      <c r="J1507" s="36"/>
      <c r="K1507" s="25">
        <f>IFERROR(VLOOKUP(B1507,DADOS!$A$2:$H$252,4,0)*J1507,"")</f>
        <v>0</v>
      </c>
      <c r="L1507" s="26">
        <f t="shared" si="23"/>
        <v>0</v>
      </c>
      <c r="M1507" s="27"/>
      <c r="N1507" s="30"/>
      <c r="O1507" s="28"/>
      <c r="P1507" s="28"/>
      <c r="Q1507" s="28"/>
      <c r="R1507" s="28"/>
      <c r="S1507" s="28"/>
    </row>
    <row r="1508">
      <c r="A1508" s="17">
        <v>45841.0</v>
      </c>
      <c r="B1508" s="18" t="s">
        <v>32</v>
      </c>
      <c r="C1508" s="18" t="s">
        <v>166</v>
      </c>
      <c r="D1508" s="19"/>
      <c r="E1508" s="19">
        <v>0.4895833333333333</v>
      </c>
      <c r="F1508" s="20">
        <f t="shared" si="24"/>
        <v>0.4895833333</v>
      </c>
      <c r="G1508" s="67">
        <f>IFERROR(VLOOKUP(B1508,DADOS!$A$2:$H$252,8,0),"")</f>
        <v>10</v>
      </c>
      <c r="H1508" s="22">
        <v>26.0</v>
      </c>
      <c r="I1508" s="23">
        <f>IFERROR(VLOOKUP(B1508,DADOS!$A$2:$H$252,4,0)*H1508,"")</f>
        <v>15.9191604</v>
      </c>
      <c r="J1508" s="36"/>
      <c r="K1508" s="25">
        <f>IFERROR(VLOOKUP(B1508,DADOS!$A$2:$H$252,4,0)*J1508,"")</f>
        <v>0</v>
      </c>
      <c r="L1508" s="26">
        <f t="shared" si="23"/>
        <v>0</v>
      </c>
      <c r="M1508" s="27"/>
      <c r="N1508" s="30"/>
      <c r="O1508" s="28"/>
      <c r="P1508" s="28"/>
      <c r="Q1508" s="28"/>
      <c r="R1508" s="28"/>
      <c r="S1508" s="28"/>
    </row>
    <row r="1509">
      <c r="A1509" s="17">
        <v>45841.0</v>
      </c>
      <c r="B1509" s="18" t="s">
        <v>74</v>
      </c>
      <c r="C1509" s="18" t="s">
        <v>65</v>
      </c>
      <c r="D1509" s="19"/>
      <c r="E1509" s="19"/>
      <c r="F1509" s="20">
        <f t="shared" si="24"/>
        <v>0</v>
      </c>
      <c r="G1509" s="67">
        <f>IFERROR(VLOOKUP(B1509,DADOS!$A$2:$H$252,8,0),"")</f>
        <v>60</v>
      </c>
      <c r="H1509" s="22">
        <v>43.0</v>
      </c>
      <c r="I1509" s="23">
        <f>IFERROR(VLOOKUP(B1509,DADOS!$A$2:$H$252,4,0)*H1509,"")</f>
        <v>59.62896</v>
      </c>
      <c r="J1509" s="36"/>
      <c r="K1509" s="25">
        <f>IFERROR(VLOOKUP(B1509,DADOS!$A$2:$H$252,4,0)*J1509,"")</f>
        <v>0</v>
      </c>
      <c r="L1509" s="26">
        <f t="shared" si="23"/>
        <v>0</v>
      </c>
      <c r="M1509" s="27"/>
      <c r="N1509" s="30"/>
      <c r="O1509" s="28"/>
      <c r="P1509" s="28"/>
      <c r="Q1509" s="28"/>
      <c r="R1509" s="28"/>
      <c r="S1509" s="28"/>
    </row>
    <row r="1510">
      <c r="A1510" s="17">
        <v>45841.0</v>
      </c>
      <c r="B1510" s="18" t="s">
        <v>24</v>
      </c>
      <c r="C1510" s="18" t="s">
        <v>165</v>
      </c>
      <c r="D1510" s="19"/>
      <c r="E1510" s="19"/>
      <c r="F1510" s="20">
        <f t="shared" si="24"/>
        <v>0</v>
      </c>
      <c r="G1510" s="67">
        <f>IFERROR(VLOOKUP(B1510,DADOS!$A$2:$H$252,8,0),"")</f>
        <v>37</v>
      </c>
      <c r="H1510" s="22">
        <v>15.0</v>
      </c>
      <c r="I1510" s="23">
        <f>IFERROR(VLOOKUP(B1510,DADOS!$A$2:$H$252,4,0)*H1510,"")</f>
        <v>1.709004</v>
      </c>
      <c r="J1510" s="36"/>
      <c r="K1510" s="25">
        <f>IFERROR(VLOOKUP(B1510,DADOS!$A$2:$H$252,4,0)*J1510,"")</f>
        <v>0</v>
      </c>
      <c r="L1510" s="26">
        <f t="shared" si="23"/>
        <v>0</v>
      </c>
      <c r="M1510" s="27"/>
      <c r="N1510" s="30"/>
      <c r="O1510" s="28"/>
      <c r="P1510" s="28"/>
      <c r="Q1510" s="28"/>
      <c r="R1510" s="28"/>
      <c r="S1510" s="28"/>
    </row>
    <row r="1511">
      <c r="A1511" s="17">
        <v>45841.0</v>
      </c>
      <c r="B1511" s="18" t="s">
        <v>21</v>
      </c>
      <c r="C1511" s="18" t="s">
        <v>165</v>
      </c>
      <c r="D1511" s="19"/>
      <c r="E1511" s="19"/>
      <c r="F1511" s="20">
        <f t="shared" si="24"/>
        <v>0</v>
      </c>
      <c r="G1511" s="67">
        <f>IFERROR(VLOOKUP(B1511,DADOS!$A$2:$H$252,8,0),"")</f>
        <v>33</v>
      </c>
      <c r="H1511" s="22">
        <v>15.0</v>
      </c>
      <c r="I1511" s="23">
        <f>IFERROR(VLOOKUP(B1511,DADOS!$A$2:$H$252,4,0)*H1511,"")</f>
        <v>1.709004</v>
      </c>
      <c r="J1511" s="24">
        <v>2.0</v>
      </c>
      <c r="K1511" s="25">
        <f>IFERROR(VLOOKUP(B1511,DADOS!$A$2:$H$252,4,0)*J1511,"")</f>
        <v>0.2278672</v>
      </c>
      <c r="L1511" s="26">
        <f t="shared" si="23"/>
        <v>0</v>
      </c>
      <c r="M1511" s="27"/>
      <c r="N1511" s="30"/>
      <c r="O1511" s="28"/>
      <c r="P1511" s="28"/>
      <c r="Q1511" s="28"/>
      <c r="R1511" s="28"/>
      <c r="S1511" s="28"/>
    </row>
    <row r="1512">
      <c r="A1512" s="17">
        <v>45841.0</v>
      </c>
      <c r="B1512" s="18" t="s">
        <v>25</v>
      </c>
      <c r="C1512" s="18" t="s">
        <v>165</v>
      </c>
      <c r="D1512" s="19"/>
      <c r="E1512" s="19"/>
      <c r="F1512" s="20">
        <f t="shared" si="24"/>
        <v>0</v>
      </c>
      <c r="G1512" s="67">
        <f>IFERROR(VLOOKUP(B1512,DADOS!$A$2:$H$252,8,0),"")</f>
        <v>40</v>
      </c>
      <c r="H1512" s="22">
        <v>66.0</v>
      </c>
      <c r="I1512" s="23">
        <f>IFERROR(VLOOKUP(B1512,DADOS!$A$2:$H$252,4,0)*H1512,"")</f>
        <v>6.836016</v>
      </c>
      <c r="J1512" s="36"/>
      <c r="K1512" s="25">
        <f>IFERROR(VLOOKUP(B1512,DADOS!$A$2:$H$252,4,0)*J1512,"")</f>
        <v>0</v>
      </c>
      <c r="L1512" s="26">
        <f t="shared" si="23"/>
        <v>0</v>
      </c>
      <c r="M1512" s="27"/>
      <c r="N1512" s="30"/>
      <c r="O1512" s="28"/>
      <c r="P1512" s="28"/>
      <c r="Q1512" s="28"/>
      <c r="R1512" s="28"/>
      <c r="S1512" s="28"/>
    </row>
    <row r="1513">
      <c r="A1513" s="17">
        <v>45842.0</v>
      </c>
      <c r="B1513" s="18" t="s">
        <v>32</v>
      </c>
      <c r="C1513" s="18" t="s">
        <v>166</v>
      </c>
      <c r="D1513" s="19">
        <v>0.3125</v>
      </c>
      <c r="E1513" s="19">
        <v>0.3402777777777778</v>
      </c>
      <c r="F1513" s="20">
        <f t="shared" si="24"/>
        <v>0.02777777778</v>
      </c>
      <c r="G1513" s="67">
        <f>IFERROR(VLOOKUP(B1513,DADOS!$A$2:$H$252,8,0),"")</f>
        <v>10</v>
      </c>
      <c r="H1513" s="22">
        <v>4.0</v>
      </c>
      <c r="I1513" s="23">
        <f>IFERROR(VLOOKUP(B1513,DADOS!$A$2:$H$252,4,0)*H1513,"")</f>
        <v>2.4491016</v>
      </c>
      <c r="J1513" s="36"/>
      <c r="K1513" s="25">
        <f>IFERROR(VLOOKUP(B1513,DADOS!$A$2:$H$252,4,0)*J1513,"")</f>
        <v>0</v>
      </c>
      <c r="L1513" s="26">
        <f t="shared" si="23"/>
        <v>0</v>
      </c>
      <c r="M1513" s="27"/>
      <c r="N1513" s="30"/>
      <c r="O1513" s="28"/>
      <c r="P1513" s="28"/>
      <c r="Q1513" s="28"/>
      <c r="R1513" s="28"/>
      <c r="S1513" s="28"/>
    </row>
    <row r="1514">
      <c r="A1514" s="17">
        <v>45842.0</v>
      </c>
      <c r="B1514" s="18" t="s">
        <v>60</v>
      </c>
      <c r="C1514" s="18" t="s">
        <v>166</v>
      </c>
      <c r="D1514" s="19">
        <v>0.3472222222222222</v>
      </c>
      <c r="E1514" s="19">
        <v>0.5</v>
      </c>
      <c r="F1514" s="20">
        <f t="shared" si="24"/>
        <v>0.1527777778</v>
      </c>
      <c r="G1514" s="67">
        <f>IFERROR(VLOOKUP(B1514,DADOS!$A$2:$H$252,8,0),"")</f>
        <v>15</v>
      </c>
      <c r="H1514" s="22">
        <v>30.0</v>
      </c>
      <c r="I1514" s="23">
        <f>IFERROR(VLOOKUP(B1514,DADOS!$A$2:$H$252,4,0)*H1514,"")</f>
        <v>9.76482</v>
      </c>
      <c r="J1514" s="36"/>
      <c r="K1514" s="25">
        <f>IFERROR(VLOOKUP(B1514,DADOS!$A$2:$H$252,4,0)*J1514,"")</f>
        <v>0</v>
      </c>
      <c r="L1514" s="26">
        <f t="shared" si="23"/>
        <v>0</v>
      </c>
      <c r="M1514" s="27"/>
      <c r="N1514" s="30"/>
      <c r="O1514" s="28"/>
      <c r="P1514" s="28"/>
      <c r="Q1514" s="28"/>
      <c r="R1514" s="28"/>
      <c r="S1514" s="28"/>
    </row>
    <row r="1515">
      <c r="A1515" s="17">
        <v>45842.0</v>
      </c>
      <c r="B1515" s="18" t="s">
        <v>25</v>
      </c>
      <c r="C1515" s="18" t="s">
        <v>165</v>
      </c>
      <c r="D1515" s="19"/>
      <c r="E1515" s="19"/>
      <c r="F1515" s="20">
        <f t="shared" si="24"/>
        <v>0</v>
      </c>
      <c r="G1515" s="67">
        <f>IFERROR(VLOOKUP(B1515,DADOS!$A$2:$H$252,8,0),"")</f>
        <v>40</v>
      </c>
      <c r="H1515" s="22">
        <v>120.0</v>
      </c>
      <c r="I1515" s="23">
        <f>IFERROR(VLOOKUP(B1515,DADOS!$A$2:$H$252,4,0)*H1515,"")</f>
        <v>12.42912</v>
      </c>
      <c r="J1515" s="24">
        <v>3.0</v>
      </c>
      <c r="K1515" s="25">
        <f>IFERROR(VLOOKUP(B1515,DADOS!$A$2:$H$252,4,0)*J1515,"")</f>
        <v>0.310728</v>
      </c>
      <c r="L1515" s="26">
        <f t="shared" si="23"/>
        <v>0</v>
      </c>
      <c r="M1515" s="27"/>
      <c r="N1515" s="30"/>
      <c r="O1515" s="28"/>
      <c r="P1515" s="28"/>
      <c r="Q1515" s="28"/>
      <c r="R1515" s="28"/>
      <c r="S1515" s="28"/>
    </row>
    <row r="1516">
      <c r="A1516" s="17">
        <v>45842.0</v>
      </c>
      <c r="B1516" s="18" t="s">
        <v>18</v>
      </c>
      <c r="C1516" s="18" t="s">
        <v>165</v>
      </c>
      <c r="D1516" s="19"/>
      <c r="E1516" s="19"/>
      <c r="F1516" s="20">
        <f t="shared" si="24"/>
        <v>0</v>
      </c>
      <c r="G1516" s="67">
        <f>IFERROR(VLOOKUP(B1516,DADOS!$A$2:$H$252,8,0),"")</f>
        <v>21</v>
      </c>
      <c r="H1516" s="22">
        <v>10.0</v>
      </c>
      <c r="I1516" s="23">
        <f>IFERROR(VLOOKUP(B1516,DADOS!$A$2:$H$252,4,0)*H1516,"")</f>
        <v>2.92966</v>
      </c>
      <c r="J1516" s="24">
        <v>1.0</v>
      </c>
      <c r="K1516" s="25">
        <f>IFERROR(VLOOKUP(B1516,DADOS!$A$2:$H$252,4,0)*J1516,"")</f>
        <v>0.292966</v>
      </c>
      <c r="L1516" s="26">
        <f t="shared" si="23"/>
        <v>0</v>
      </c>
      <c r="M1516" s="27"/>
      <c r="N1516" s="30"/>
      <c r="O1516" s="28"/>
      <c r="P1516" s="28"/>
      <c r="Q1516" s="28"/>
      <c r="R1516" s="28"/>
      <c r="S1516" s="28"/>
    </row>
    <row r="1517">
      <c r="A1517" s="17">
        <v>45845.0</v>
      </c>
      <c r="B1517" s="18" t="s">
        <v>18</v>
      </c>
      <c r="C1517" s="18" t="s">
        <v>165</v>
      </c>
      <c r="D1517" s="19"/>
      <c r="E1517" s="19"/>
      <c r="F1517" s="20">
        <f t="shared" si="24"/>
        <v>0</v>
      </c>
      <c r="G1517" s="67">
        <f>IFERROR(VLOOKUP(B1517,DADOS!$A$2:$H$252,8,0),"")</f>
        <v>21</v>
      </c>
      <c r="H1517" s="22">
        <v>72.0</v>
      </c>
      <c r="I1517" s="23">
        <f>IFERROR(VLOOKUP(B1517,DADOS!$A$2:$H$252,4,0)*H1517,"")</f>
        <v>21.093552</v>
      </c>
      <c r="J1517" s="24"/>
      <c r="K1517" s="25">
        <f>IFERROR(VLOOKUP(B1517,DADOS!$A$2:$H$252,4,0)*J1517,"")</f>
        <v>0</v>
      </c>
      <c r="L1517" s="26">
        <f t="shared" si="23"/>
        <v>0</v>
      </c>
      <c r="M1517" s="27"/>
      <c r="N1517" s="30"/>
      <c r="O1517" s="28"/>
      <c r="P1517" s="28"/>
      <c r="Q1517" s="28"/>
      <c r="R1517" s="28"/>
      <c r="S1517" s="28"/>
    </row>
    <row r="1518">
      <c r="A1518" s="17">
        <v>45846.0</v>
      </c>
      <c r="B1518" s="18" t="s">
        <v>18</v>
      </c>
      <c r="C1518" s="18" t="s">
        <v>165</v>
      </c>
      <c r="D1518" s="19"/>
      <c r="E1518" s="19"/>
      <c r="F1518" s="20">
        <f t="shared" si="24"/>
        <v>0</v>
      </c>
      <c r="G1518" s="67">
        <f>IFERROR(VLOOKUP(B1518,DADOS!$A$2:$H$252,8,0),"")</f>
        <v>21</v>
      </c>
      <c r="H1518" s="22">
        <v>16.0</v>
      </c>
      <c r="I1518" s="23">
        <f>IFERROR(VLOOKUP(B1518,DADOS!$A$2:$H$252,4,0)*H1518,"")</f>
        <v>4.687456</v>
      </c>
      <c r="J1518" s="24">
        <v>1.0</v>
      </c>
      <c r="K1518" s="25">
        <f>IFERROR(VLOOKUP(B1518,DADOS!$A$2:$H$252,4,0)*J1518,"")</f>
        <v>0.292966</v>
      </c>
      <c r="L1518" s="26">
        <f t="shared" si="23"/>
        <v>0</v>
      </c>
      <c r="M1518" s="27"/>
      <c r="N1518" s="30"/>
      <c r="O1518" s="28"/>
      <c r="P1518" s="28"/>
      <c r="Q1518" s="28"/>
      <c r="R1518" s="28"/>
      <c r="S1518" s="28"/>
    </row>
    <row r="1519">
      <c r="A1519" s="17">
        <v>45848.0</v>
      </c>
      <c r="B1519" s="18" t="s">
        <v>167</v>
      </c>
      <c r="C1519" s="18" t="s">
        <v>165</v>
      </c>
      <c r="D1519" s="19"/>
      <c r="E1519" s="19"/>
      <c r="F1519" s="20">
        <f t="shared" si="24"/>
        <v>0</v>
      </c>
      <c r="G1519" s="67">
        <f>IFERROR(VLOOKUP(B1519,DADOS!$A$2:$H$252,8,0),"")</f>
        <v>25</v>
      </c>
      <c r="H1519" s="22">
        <v>22.0</v>
      </c>
      <c r="I1519" s="23">
        <f>IFERROR(VLOOKUP(B1519,DADOS!$A$2:$H$252,4,0)*H1519,"")</f>
        <v>1.3596704</v>
      </c>
      <c r="J1519" s="24">
        <v>8.0</v>
      </c>
      <c r="K1519" s="25">
        <f>IFERROR(VLOOKUP(B1519,DADOS!$A$2:$H$252,4,0)*J1519,"")</f>
        <v>0.4944256</v>
      </c>
      <c r="L1519" s="26">
        <f t="shared" si="23"/>
        <v>0</v>
      </c>
      <c r="M1519" s="27"/>
      <c r="N1519" s="30"/>
      <c r="O1519" s="28"/>
      <c r="P1519" s="28"/>
      <c r="Q1519" s="28"/>
      <c r="R1519" s="28"/>
      <c r="S1519" s="28"/>
    </row>
    <row r="1520">
      <c r="A1520" s="17">
        <v>45849.0</v>
      </c>
      <c r="B1520" s="18" t="s">
        <v>159</v>
      </c>
      <c r="C1520" s="18" t="s">
        <v>166</v>
      </c>
      <c r="D1520" s="19"/>
      <c r="E1520" s="19"/>
      <c r="F1520" s="20">
        <f t="shared" si="24"/>
        <v>0</v>
      </c>
      <c r="G1520" s="67">
        <f>IFERROR(VLOOKUP(B1520,DADOS!$A$2:$H$252,8,0),"")</f>
        <v>8</v>
      </c>
      <c r="H1520" s="22">
        <v>6.0</v>
      </c>
      <c r="I1520" s="23">
        <f>IFERROR(VLOOKUP(B1520,DADOS!$A$2:$H$252,4,0)*H1520,"")</f>
        <v>8.8951668</v>
      </c>
      <c r="J1520" s="36"/>
      <c r="K1520" s="25">
        <f>IFERROR(VLOOKUP(B1520,DADOS!$A$2:$H$252,4,0)*J1520,"")</f>
        <v>0</v>
      </c>
      <c r="L1520" s="26">
        <f t="shared" si="23"/>
        <v>0</v>
      </c>
      <c r="M1520" s="27"/>
      <c r="N1520" s="30"/>
      <c r="O1520" s="28"/>
      <c r="P1520" s="28"/>
      <c r="Q1520" s="28"/>
      <c r="R1520" s="28"/>
      <c r="S1520" s="28"/>
    </row>
    <row r="1521">
      <c r="A1521" s="17">
        <v>45849.0</v>
      </c>
      <c r="B1521" s="18" t="s">
        <v>71</v>
      </c>
      <c r="C1521" s="18" t="s">
        <v>166</v>
      </c>
      <c r="D1521" s="19"/>
      <c r="E1521" s="19"/>
      <c r="F1521" s="20">
        <f t="shared" si="24"/>
        <v>0</v>
      </c>
      <c r="G1521" s="67">
        <f>IFERROR(VLOOKUP(B1521,DADOS!$A$2:$H$252,8,0),"")</f>
        <v>7</v>
      </c>
      <c r="H1521" s="22">
        <v>20.0</v>
      </c>
      <c r="I1521" s="23">
        <f>IFERROR(VLOOKUP(B1521,DADOS!$A$2:$H$252,4,0)*H1521,"")</f>
        <v>28.048124</v>
      </c>
      <c r="J1521" s="36"/>
      <c r="K1521" s="25">
        <f>IFERROR(VLOOKUP(B1521,DADOS!$A$2:$H$252,4,0)*J1521,"")</f>
        <v>0</v>
      </c>
      <c r="L1521" s="26">
        <f t="shared" si="23"/>
        <v>0</v>
      </c>
      <c r="M1521" s="27"/>
      <c r="N1521" s="30"/>
      <c r="O1521" s="28"/>
      <c r="P1521" s="28"/>
      <c r="Q1521" s="28"/>
      <c r="R1521" s="28"/>
      <c r="S1521" s="28"/>
    </row>
    <row r="1522">
      <c r="A1522" s="17">
        <v>45849.0</v>
      </c>
      <c r="B1522" s="18" t="s">
        <v>92</v>
      </c>
      <c r="C1522" s="18" t="s">
        <v>65</v>
      </c>
      <c r="D1522" s="19"/>
      <c r="E1522" s="19"/>
      <c r="F1522" s="20">
        <f t="shared" si="24"/>
        <v>0</v>
      </c>
      <c r="G1522" s="67">
        <f>IFERROR(VLOOKUP(B1522,DADOS!$A$2:$H$252,8,0),"")</f>
        <v>100</v>
      </c>
      <c r="H1522" s="22">
        <v>149.0</v>
      </c>
      <c r="I1522" s="23">
        <f>IFERROR(VLOOKUP(B1522,DADOS!$A$2:$H$252,4,0)*H1522,"")</f>
        <v>3.7721138</v>
      </c>
      <c r="J1522" s="36"/>
      <c r="K1522" s="25">
        <f>IFERROR(VLOOKUP(B1522,DADOS!$A$2:$H$252,4,0)*J1522,"")</f>
        <v>0</v>
      </c>
      <c r="L1522" s="26">
        <f t="shared" si="23"/>
        <v>0</v>
      </c>
      <c r="M1522" s="27"/>
      <c r="N1522" s="30"/>
      <c r="O1522" s="28"/>
      <c r="P1522" s="28"/>
      <c r="Q1522" s="28"/>
      <c r="R1522" s="28"/>
      <c r="S1522" s="28"/>
    </row>
    <row r="1523">
      <c r="A1523" s="17">
        <v>45852.0</v>
      </c>
      <c r="B1523" s="18" t="s">
        <v>190</v>
      </c>
      <c r="C1523" s="18" t="s">
        <v>165</v>
      </c>
      <c r="D1523" s="19"/>
      <c r="E1523" s="19"/>
      <c r="F1523" s="20">
        <f t="shared" si="24"/>
        <v>0</v>
      </c>
      <c r="G1523" s="67">
        <f>IFERROR(VLOOKUP(B1523,DADOS!$A$2:$H$252,8,0),"")</f>
        <v>12</v>
      </c>
      <c r="H1523" s="22">
        <v>15.0</v>
      </c>
      <c r="I1523" s="23">
        <f>IFERROR(VLOOKUP(B1523,DADOS!$A$2:$H$252,4,0)*H1523,"")</f>
        <v>5.93529</v>
      </c>
      <c r="J1523" s="24">
        <v>2.0</v>
      </c>
      <c r="K1523" s="25">
        <f>IFERROR(VLOOKUP(B1523,DADOS!$A$2:$H$252,4,0)*J1523,"")</f>
        <v>0.791372</v>
      </c>
      <c r="L1523" s="26">
        <f t="shared" si="23"/>
        <v>0</v>
      </c>
      <c r="M1523" s="27"/>
      <c r="N1523" s="30"/>
      <c r="O1523" s="28"/>
      <c r="P1523" s="28"/>
      <c r="Q1523" s="28"/>
      <c r="R1523" s="28"/>
      <c r="S1523" s="28"/>
    </row>
    <row r="1524">
      <c r="A1524" s="17">
        <v>45853.0</v>
      </c>
      <c r="B1524" s="18" t="s">
        <v>190</v>
      </c>
      <c r="C1524" s="18" t="s">
        <v>165</v>
      </c>
      <c r="D1524" s="19"/>
      <c r="E1524" s="19"/>
      <c r="F1524" s="20">
        <f t="shared" si="24"/>
        <v>0</v>
      </c>
      <c r="G1524" s="67">
        <f>IFERROR(VLOOKUP(B1524,DADOS!$A$2:$H$252,8,0),"")</f>
        <v>12</v>
      </c>
      <c r="H1524" s="22">
        <v>18.0</v>
      </c>
      <c r="I1524" s="23">
        <f>IFERROR(VLOOKUP(B1524,DADOS!$A$2:$H$252,4,0)*H1524,"")</f>
        <v>7.122348</v>
      </c>
      <c r="J1524" s="24">
        <v>1.0</v>
      </c>
      <c r="K1524" s="25">
        <f>IFERROR(VLOOKUP(B1524,DADOS!$A$2:$H$252,4,0)*J1524,"")</f>
        <v>0.395686</v>
      </c>
      <c r="L1524" s="26">
        <f t="shared" si="23"/>
        <v>0</v>
      </c>
      <c r="M1524" s="27"/>
      <c r="N1524" s="30"/>
      <c r="O1524" s="28"/>
      <c r="P1524" s="28"/>
      <c r="Q1524" s="28"/>
      <c r="R1524" s="28"/>
      <c r="S1524" s="28"/>
    </row>
    <row r="1525">
      <c r="A1525" s="17">
        <v>45855.0</v>
      </c>
      <c r="B1525" s="18" t="s">
        <v>30</v>
      </c>
      <c r="C1525" s="18" t="s">
        <v>165</v>
      </c>
      <c r="D1525" s="19"/>
      <c r="E1525" s="19"/>
      <c r="F1525" s="20">
        <f t="shared" si="24"/>
        <v>0</v>
      </c>
      <c r="G1525" s="67">
        <f>IFERROR(VLOOKUP(B1525,DADOS!$A$2:$H$252,8,0),"")</f>
        <v>14</v>
      </c>
      <c r="H1525" s="22">
        <v>21.0</v>
      </c>
      <c r="I1525" s="23">
        <f>IFERROR(VLOOKUP(B1525,DADOS!$A$2:$H$252,4,0)*H1525,"")</f>
        <v>4.44906</v>
      </c>
      <c r="J1525" s="24">
        <v>3.0</v>
      </c>
      <c r="K1525" s="25">
        <f>IFERROR(VLOOKUP(B1525,DADOS!$A$2:$H$252,4,0)*J1525,"")</f>
        <v>0.63558</v>
      </c>
      <c r="L1525" s="26">
        <f t="shared" si="23"/>
        <v>0</v>
      </c>
      <c r="M1525" s="27"/>
      <c r="N1525" s="30"/>
      <c r="O1525" s="28"/>
      <c r="P1525" s="28"/>
      <c r="Q1525" s="28"/>
      <c r="R1525" s="28"/>
      <c r="S1525" s="28"/>
    </row>
    <row r="1526">
      <c r="A1526" s="17">
        <v>45856.0</v>
      </c>
      <c r="B1526" s="18" t="s">
        <v>30</v>
      </c>
      <c r="C1526" s="18" t="s">
        <v>165</v>
      </c>
      <c r="D1526" s="19"/>
      <c r="E1526" s="19"/>
      <c r="F1526" s="20">
        <f t="shared" si="24"/>
        <v>0</v>
      </c>
      <c r="G1526" s="67">
        <f>IFERROR(VLOOKUP(B1526,DADOS!$A$2:$H$252,8,0),"")</f>
        <v>14</v>
      </c>
      <c r="H1526" s="22">
        <v>13.0</v>
      </c>
      <c r="I1526" s="23">
        <f>IFERROR(VLOOKUP(B1526,DADOS!$A$2:$H$252,4,0)*H1526,"")</f>
        <v>2.75418</v>
      </c>
      <c r="J1526" s="24">
        <v>3.0</v>
      </c>
      <c r="K1526" s="25">
        <f>IFERROR(VLOOKUP(B1526,DADOS!$A$2:$H$252,4,0)*J1526,"")</f>
        <v>0.63558</v>
      </c>
      <c r="L1526" s="26">
        <f t="shared" si="23"/>
        <v>0</v>
      </c>
      <c r="M1526" s="27"/>
      <c r="N1526" s="30"/>
      <c r="O1526" s="28"/>
      <c r="P1526" s="28"/>
      <c r="Q1526" s="28"/>
      <c r="R1526" s="28"/>
      <c r="S1526" s="28"/>
    </row>
    <row r="1527">
      <c r="A1527" s="17">
        <v>45856.0</v>
      </c>
      <c r="B1527" s="18" t="s">
        <v>56</v>
      </c>
      <c r="C1527" s="18" t="s">
        <v>165</v>
      </c>
      <c r="D1527" s="19"/>
      <c r="E1527" s="19"/>
      <c r="F1527" s="20">
        <f t="shared" si="24"/>
        <v>0</v>
      </c>
      <c r="G1527" s="67">
        <f>IFERROR(VLOOKUP(B1527,DADOS!$A$2:$H$252,8,0),"")</f>
        <v>162</v>
      </c>
      <c r="H1527" s="22">
        <v>220.0</v>
      </c>
      <c r="I1527" s="23">
        <f>IFERROR(VLOOKUP(B1527,DADOS!$A$2:$H$252,4,0)*H1527,"")</f>
        <v>2.1186</v>
      </c>
      <c r="J1527" s="24">
        <v>1.0</v>
      </c>
      <c r="K1527" s="25">
        <f>IFERROR(VLOOKUP(B1527,DADOS!$A$2:$H$252,4,0)*J1527,"")</f>
        <v>0.00963</v>
      </c>
      <c r="L1527" s="26">
        <f t="shared" si="23"/>
        <v>0</v>
      </c>
      <c r="M1527" s="27"/>
      <c r="N1527" s="30"/>
      <c r="O1527" s="28"/>
      <c r="P1527" s="28"/>
      <c r="Q1527" s="28"/>
      <c r="R1527" s="28"/>
      <c r="S1527" s="28"/>
    </row>
    <row r="1528">
      <c r="A1528" s="17">
        <v>45857.0</v>
      </c>
      <c r="B1528" s="18" t="s">
        <v>26</v>
      </c>
      <c r="C1528" s="18" t="s">
        <v>193</v>
      </c>
      <c r="D1528" s="19"/>
      <c r="E1528" s="19"/>
      <c r="F1528" s="20">
        <f t="shared" si="24"/>
        <v>0</v>
      </c>
      <c r="G1528" s="67">
        <f>IFERROR(VLOOKUP(B1528,DADOS!$A$2:$H$252,8,0),"")</f>
        <v>50</v>
      </c>
      <c r="H1528" s="22">
        <v>107.0</v>
      </c>
      <c r="I1528" s="23">
        <f>IFERROR(VLOOKUP(B1528,DADOS!$A$2:$H$252,4,0)*H1528,"")</f>
        <v>12.1908952</v>
      </c>
      <c r="J1528" s="24">
        <v>12.0</v>
      </c>
      <c r="K1528" s="25">
        <f>IFERROR(VLOOKUP(B1528,DADOS!$A$2:$H$252,4,0)*J1528,"")</f>
        <v>1.3672032</v>
      </c>
      <c r="L1528" s="26">
        <f t="shared" si="23"/>
        <v>0</v>
      </c>
      <c r="M1528" s="27"/>
      <c r="N1528" s="30"/>
      <c r="O1528" s="28"/>
      <c r="P1528" s="28"/>
      <c r="Q1528" s="28"/>
      <c r="R1528" s="28"/>
      <c r="S1528" s="28"/>
    </row>
    <row r="1529">
      <c r="A1529" s="17">
        <v>45857.0</v>
      </c>
      <c r="B1529" s="18" t="s">
        <v>194</v>
      </c>
      <c r="C1529" s="18" t="s">
        <v>193</v>
      </c>
      <c r="D1529" s="19"/>
      <c r="E1529" s="19"/>
      <c r="F1529" s="20">
        <f t="shared" si="24"/>
        <v>0</v>
      </c>
      <c r="G1529" s="67">
        <f>IFERROR(VLOOKUP(B1529,DADOS!$A$2:$H$252,8,0),"")</f>
        <v>50</v>
      </c>
      <c r="H1529" s="22">
        <v>41.0</v>
      </c>
      <c r="I1529" s="23">
        <f>IFERROR(VLOOKUP(B1529,DADOS!$A$2:$H$252,4,0)*H1529,"")</f>
        <v>4.6712776</v>
      </c>
      <c r="J1529" s="36"/>
      <c r="K1529" s="25">
        <f>IFERROR(VLOOKUP(B1529,DADOS!$A$2:$H$252,4,0)*J1529,"")</f>
        <v>0</v>
      </c>
      <c r="L1529" s="26">
        <f t="shared" si="23"/>
        <v>0</v>
      </c>
      <c r="M1529" s="27"/>
      <c r="N1529" s="30"/>
      <c r="O1529" s="28"/>
      <c r="P1529" s="28"/>
      <c r="Q1529" s="28"/>
      <c r="R1529" s="28"/>
      <c r="S1529" s="28"/>
    </row>
    <row r="1530">
      <c r="A1530" s="17">
        <v>45859.0</v>
      </c>
      <c r="B1530" s="18" t="s">
        <v>188</v>
      </c>
      <c r="C1530" s="18" t="s">
        <v>19</v>
      </c>
      <c r="D1530" s="19"/>
      <c r="E1530" s="19"/>
      <c r="F1530" s="20">
        <f t="shared" si="24"/>
        <v>0</v>
      </c>
      <c r="G1530" s="67">
        <f>IFERROR(VLOOKUP(B1530,DADOS!$A$2:$H$252,8,0),"")</f>
        <v>30</v>
      </c>
      <c r="H1530" s="35"/>
      <c r="I1530" s="23">
        <f>IFERROR(VLOOKUP(B1530,DADOS!$A$2:$H$252,4,0)*H1530,"")</f>
        <v>0</v>
      </c>
      <c r="J1530" s="24">
        <v>2.0</v>
      </c>
      <c r="K1530" s="25">
        <f>IFERROR(VLOOKUP(B1530,DADOS!$A$2:$H$252,4,0)*J1530,"")</f>
        <v>0.2278672</v>
      </c>
      <c r="L1530" s="26" t="str">
        <f t="shared" si="23"/>
        <v/>
      </c>
      <c r="M1530" s="27"/>
      <c r="N1530" s="30"/>
      <c r="O1530" s="28"/>
      <c r="P1530" s="28"/>
      <c r="Q1530" s="28"/>
      <c r="R1530" s="28"/>
      <c r="S1530" s="28"/>
    </row>
    <row r="1531">
      <c r="A1531" s="17">
        <v>45859.0</v>
      </c>
      <c r="B1531" s="18" t="s">
        <v>56</v>
      </c>
      <c r="C1531" s="18" t="s">
        <v>165</v>
      </c>
      <c r="D1531" s="19"/>
      <c r="E1531" s="19"/>
      <c r="F1531" s="20">
        <f t="shared" si="24"/>
        <v>0</v>
      </c>
      <c r="G1531" s="67">
        <f>IFERROR(VLOOKUP(B1531,DADOS!$A$2:$H$252,8,0),"")</f>
        <v>162</v>
      </c>
      <c r="H1531" s="22">
        <v>23.0</v>
      </c>
      <c r="I1531" s="23">
        <f>IFERROR(VLOOKUP(B1531,DADOS!$A$2:$H$252,4,0)*H1531,"")</f>
        <v>0.22149</v>
      </c>
      <c r="J1531" s="36"/>
      <c r="K1531" s="25">
        <f>IFERROR(VLOOKUP(B1531,DADOS!$A$2:$H$252,4,0)*J1531,"")</f>
        <v>0</v>
      </c>
      <c r="L1531" s="26">
        <f t="shared" si="23"/>
        <v>0</v>
      </c>
      <c r="M1531" s="27"/>
      <c r="N1531" s="30"/>
      <c r="O1531" s="28"/>
      <c r="P1531" s="28"/>
      <c r="Q1531" s="28"/>
      <c r="R1531" s="28"/>
      <c r="S1531" s="28"/>
    </row>
    <row r="1532">
      <c r="A1532" s="17">
        <v>45859.0</v>
      </c>
      <c r="B1532" s="18" t="s">
        <v>186</v>
      </c>
      <c r="C1532" s="18" t="s">
        <v>165</v>
      </c>
      <c r="D1532" s="19"/>
      <c r="E1532" s="19"/>
      <c r="F1532" s="20">
        <f t="shared" si="24"/>
        <v>0</v>
      </c>
      <c r="G1532" s="67">
        <f>IFERROR(VLOOKUP(B1532,DADOS!$A$2:$H$252,8,0),"")</f>
        <v>25</v>
      </c>
      <c r="H1532" s="22">
        <v>75.0</v>
      </c>
      <c r="I1532" s="23">
        <f>IFERROR(VLOOKUP(B1532,DADOS!$A$2:$H$252,4,0)*H1532,"")</f>
        <v>20.8008</v>
      </c>
      <c r="J1532" s="24">
        <v>6.0</v>
      </c>
      <c r="K1532" s="25">
        <f>IFERROR(VLOOKUP(B1532,DADOS!$A$2:$H$252,4,0)*J1532,"")</f>
        <v>1.664064</v>
      </c>
      <c r="L1532" s="26">
        <f t="shared" si="23"/>
        <v>0</v>
      </c>
      <c r="M1532" s="27"/>
      <c r="N1532" s="30"/>
      <c r="O1532" s="28"/>
      <c r="P1532" s="28"/>
      <c r="Q1532" s="28"/>
      <c r="R1532" s="28"/>
      <c r="S1532" s="28"/>
    </row>
    <row r="1533">
      <c r="A1533" s="17">
        <v>45859.0</v>
      </c>
      <c r="B1533" s="18" t="s">
        <v>35</v>
      </c>
      <c r="C1533" s="18" t="s">
        <v>165</v>
      </c>
      <c r="D1533" s="19"/>
      <c r="E1533" s="19"/>
      <c r="F1533" s="20">
        <f t="shared" si="24"/>
        <v>0</v>
      </c>
      <c r="G1533" s="67">
        <f>IFERROR(VLOOKUP(B1533,DADOS!$A$2:$H$252,8,0),"")</f>
        <v>30</v>
      </c>
      <c r="H1533" s="22">
        <v>25.0</v>
      </c>
      <c r="I1533" s="23">
        <f>IFERROR(VLOOKUP(B1533,DADOS!$A$2:$H$252,4,0)*H1533,"")</f>
        <v>4.290165</v>
      </c>
      <c r="J1533" s="24">
        <v>6.0</v>
      </c>
      <c r="K1533" s="25">
        <f>IFERROR(VLOOKUP(B1533,DADOS!$A$2:$H$252,4,0)*J1533,"")</f>
        <v>1.0296396</v>
      </c>
      <c r="L1533" s="26">
        <f t="shared" si="23"/>
        <v>0</v>
      </c>
      <c r="M1533" s="27"/>
      <c r="N1533" s="30"/>
      <c r="O1533" s="28"/>
      <c r="P1533" s="28"/>
      <c r="Q1533" s="28"/>
      <c r="R1533" s="28"/>
      <c r="S1533" s="28"/>
    </row>
    <row r="1534">
      <c r="A1534" s="17">
        <v>45860.0</v>
      </c>
      <c r="B1534" s="18" t="s">
        <v>187</v>
      </c>
      <c r="C1534" s="18" t="s">
        <v>19</v>
      </c>
      <c r="D1534" s="19"/>
      <c r="E1534" s="19"/>
      <c r="F1534" s="20">
        <f t="shared" si="24"/>
        <v>0</v>
      </c>
      <c r="G1534" s="67">
        <f>IFERROR(VLOOKUP(B1534,DADOS!$A$2:$H$252,8,0),"")</f>
        <v>40</v>
      </c>
      <c r="H1534" s="22">
        <v>30.0</v>
      </c>
      <c r="I1534" s="23">
        <f>IFERROR(VLOOKUP(B1534,DADOS!$A$2:$H$252,4,0)*H1534,"")</f>
        <v>8.32032</v>
      </c>
      <c r="J1534" s="36"/>
      <c r="K1534" s="25">
        <f>IFERROR(VLOOKUP(B1534,DADOS!$A$2:$H$252,4,0)*J1534,"")</f>
        <v>0</v>
      </c>
      <c r="L1534" s="26">
        <f t="shared" si="23"/>
        <v>0</v>
      </c>
      <c r="M1534" s="27"/>
      <c r="N1534" s="30"/>
      <c r="O1534" s="28"/>
      <c r="P1534" s="28"/>
      <c r="Q1534" s="28"/>
      <c r="R1534" s="28"/>
      <c r="S1534" s="28"/>
    </row>
    <row r="1535">
      <c r="A1535" s="17">
        <v>45860.0</v>
      </c>
      <c r="B1535" s="18" t="s">
        <v>58</v>
      </c>
      <c r="C1535" s="18" t="s">
        <v>19</v>
      </c>
      <c r="D1535" s="19"/>
      <c r="E1535" s="19"/>
      <c r="F1535" s="20">
        <f t="shared" si="24"/>
        <v>0</v>
      </c>
      <c r="G1535" s="67">
        <f>IFERROR(VLOOKUP(B1535,DADOS!$A$2:$H$252,8,0),"")</f>
        <v>31</v>
      </c>
      <c r="H1535" s="22">
        <v>3.0</v>
      </c>
      <c r="I1535" s="23">
        <f>IFERROR(VLOOKUP(B1535,DADOS!$A$2:$H$252,4,0)*H1535,"")</f>
        <v>0.3418008</v>
      </c>
      <c r="J1535" s="36"/>
      <c r="K1535" s="25">
        <f>IFERROR(VLOOKUP(B1535,DADOS!$A$2:$H$252,4,0)*J1535,"")</f>
        <v>0</v>
      </c>
      <c r="L1535" s="26">
        <f t="shared" si="23"/>
        <v>0</v>
      </c>
      <c r="M1535" s="27"/>
      <c r="N1535" s="30"/>
      <c r="O1535" s="28"/>
      <c r="P1535" s="28"/>
      <c r="Q1535" s="28"/>
      <c r="R1535" s="28"/>
      <c r="S1535" s="28"/>
    </row>
    <row r="1536">
      <c r="A1536" s="17">
        <v>45860.0</v>
      </c>
      <c r="B1536" s="18" t="s">
        <v>26</v>
      </c>
      <c r="C1536" s="18" t="s">
        <v>19</v>
      </c>
      <c r="D1536" s="19"/>
      <c r="E1536" s="19"/>
      <c r="F1536" s="20">
        <f t="shared" si="24"/>
        <v>0</v>
      </c>
      <c r="G1536" s="67">
        <f>IFERROR(VLOOKUP(B1536,DADOS!$A$2:$H$252,8,0),"")</f>
        <v>50</v>
      </c>
      <c r="H1536" s="22">
        <v>3.0</v>
      </c>
      <c r="I1536" s="23">
        <f>IFERROR(VLOOKUP(B1536,DADOS!$A$2:$H$252,4,0)*H1536,"")</f>
        <v>0.3418008</v>
      </c>
      <c r="J1536" s="36"/>
      <c r="K1536" s="25">
        <f>IFERROR(VLOOKUP(B1536,DADOS!$A$2:$H$252,4,0)*J1536,"")</f>
        <v>0</v>
      </c>
      <c r="L1536" s="26">
        <f t="shared" si="23"/>
        <v>0</v>
      </c>
      <c r="M1536" s="27"/>
      <c r="N1536" s="30"/>
      <c r="O1536" s="28"/>
      <c r="P1536" s="28"/>
      <c r="Q1536" s="28"/>
      <c r="R1536" s="28"/>
      <c r="S1536" s="28"/>
    </row>
    <row r="1537">
      <c r="A1537" s="17">
        <v>45860.0</v>
      </c>
      <c r="B1537" s="18" t="s">
        <v>16</v>
      </c>
      <c r="C1537" s="18" t="s">
        <v>65</v>
      </c>
      <c r="D1537" s="19"/>
      <c r="E1537" s="19"/>
      <c r="F1537" s="20">
        <f t="shared" si="24"/>
        <v>0</v>
      </c>
      <c r="G1537" s="67">
        <f>IFERROR(VLOOKUP(B1537,DADOS!$A$2:$H$252,8,0),"")</f>
        <v>150</v>
      </c>
      <c r="H1537" s="22">
        <v>569.0</v>
      </c>
      <c r="I1537" s="23">
        <f>IFERROR(VLOOKUP(B1537,DADOS!$A$2:$H$252,4,0)*H1537,"")</f>
        <v>16.4627632</v>
      </c>
      <c r="J1537" s="24">
        <v>2.0</v>
      </c>
      <c r="K1537" s="25">
        <f>IFERROR(VLOOKUP(B1537,DADOS!$A$2:$H$252,4,0)*J1537,"")</f>
        <v>0.0578656</v>
      </c>
      <c r="L1537" s="26">
        <f t="shared" si="23"/>
        <v>0</v>
      </c>
      <c r="M1537" s="27"/>
      <c r="N1537" s="30"/>
      <c r="O1537" s="28"/>
      <c r="P1537" s="28"/>
      <c r="Q1537" s="28"/>
      <c r="R1537" s="28"/>
      <c r="S1537" s="28"/>
    </row>
    <row r="1538">
      <c r="A1538" s="17">
        <v>45860.0</v>
      </c>
      <c r="B1538" s="18" t="s">
        <v>35</v>
      </c>
      <c r="C1538" s="18" t="s">
        <v>165</v>
      </c>
      <c r="D1538" s="19">
        <v>0.34375</v>
      </c>
      <c r="E1538" s="19">
        <v>0.6006944444444444</v>
      </c>
      <c r="F1538" s="20">
        <f t="shared" si="24"/>
        <v>0.2569444444</v>
      </c>
      <c r="G1538" s="67">
        <f>IFERROR(VLOOKUP(B1538,DADOS!$A$2:$H$252,8,0),"")</f>
        <v>30</v>
      </c>
      <c r="H1538" s="22">
        <v>44.0</v>
      </c>
      <c r="I1538" s="23">
        <f>IFERROR(VLOOKUP(B1538,DADOS!$A$2:$H$252,4,0)*H1538,"")</f>
        <v>7.5506904</v>
      </c>
      <c r="J1538" s="24">
        <v>8.0</v>
      </c>
      <c r="K1538" s="25">
        <f>IFERROR(VLOOKUP(B1538,DADOS!$A$2:$H$252,4,0)*J1538,"")</f>
        <v>1.3728528</v>
      </c>
      <c r="L1538" s="26">
        <f t="shared" si="23"/>
        <v>0</v>
      </c>
      <c r="M1538" s="27"/>
      <c r="N1538" s="30"/>
      <c r="O1538" s="28"/>
      <c r="P1538" s="28"/>
      <c r="Q1538" s="28"/>
      <c r="R1538" s="28"/>
      <c r="S1538" s="28"/>
    </row>
    <row r="1539">
      <c r="A1539" s="17">
        <v>45860.0</v>
      </c>
      <c r="B1539" s="18" t="s">
        <v>58</v>
      </c>
      <c r="C1539" s="18" t="s">
        <v>165</v>
      </c>
      <c r="D1539" s="19">
        <v>0.625</v>
      </c>
      <c r="E1539" s="19">
        <v>0.7215277777777778</v>
      </c>
      <c r="F1539" s="20">
        <f t="shared" si="24"/>
        <v>0.09652777778</v>
      </c>
      <c r="G1539" s="67">
        <f>IFERROR(VLOOKUP(B1539,DADOS!$A$2:$H$252,8,0),"")</f>
        <v>31</v>
      </c>
      <c r="H1539" s="22">
        <v>18.0</v>
      </c>
      <c r="I1539" s="23">
        <f>IFERROR(VLOOKUP(B1539,DADOS!$A$2:$H$252,4,0)*H1539,"")</f>
        <v>2.0508048</v>
      </c>
      <c r="J1539" s="24">
        <v>1.0</v>
      </c>
      <c r="K1539" s="25">
        <f>IFERROR(VLOOKUP(B1539,DADOS!$A$2:$H$252,4,0)*J1539,"")</f>
        <v>0.1139336</v>
      </c>
      <c r="L1539" s="26">
        <f t="shared" si="23"/>
        <v>0</v>
      </c>
      <c r="M1539" s="27"/>
      <c r="N1539" s="30"/>
      <c r="O1539" s="28"/>
      <c r="P1539" s="28"/>
      <c r="Q1539" s="28"/>
      <c r="R1539" s="28"/>
      <c r="S1539" s="28"/>
    </row>
    <row r="1540">
      <c r="A1540" s="17">
        <v>45861.0</v>
      </c>
      <c r="B1540" s="18" t="s">
        <v>47</v>
      </c>
      <c r="C1540" s="18" t="s">
        <v>19</v>
      </c>
      <c r="D1540" s="19"/>
      <c r="E1540" s="19"/>
      <c r="F1540" s="20">
        <f t="shared" si="24"/>
        <v>0</v>
      </c>
      <c r="G1540" s="67">
        <f>IFERROR(VLOOKUP(B1540,DADOS!$A$2:$H$252,8,0),"")</f>
        <v>35</v>
      </c>
      <c r="H1540" s="22">
        <v>4.0</v>
      </c>
      <c r="I1540" s="23">
        <f>IFERROR(VLOOKUP(B1540,DADOS!$A$2:$H$252,4,0)*H1540,"")</f>
        <v>0.4557344</v>
      </c>
      <c r="J1540" s="36"/>
      <c r="K1540" s="25">
        <f>IFERROR(VLOOKUP(B1540,DADOS!$A$2:$H$252,4,0)*J1540,"")</f>
        <v>0</v>
      </c>
      <c r="L1540" s="26">
        <f t="shared" si="23"/>
        <v>0</v>
      </c>
      <c r="M1540" s="27"/>
      <c r="N1540" s="30"/>
      <c r="O1540" s="28"/>
      <c r="P1540" s="28"/>
      <c r="Q1540" s="28"/>
      <c r="R1540" s="28"/>
      <c r="S1540" s="28"/>
    </row>
    <row r="1541">
      <c r="A1541" s="17">
        <v>45861.0</v>
      </c>
      <c r="B1541" s="18" t="s">
        <v>71</v>
      </c>
      <c r="C1541" s="18" t="s">
        <v>19</v>
      </c>
      <c r="D1541" s="19"/>
      <c r="E1541" s="19"/>
      <c r="F1541" s="20">
        <f t="shared" si="24"/>
        <v>0</v>
      </c>
      <c r="G1541" s="67">
        <f>IFERROR(VLOOKUP(B1541,DADOS!$A$2:$H$252,8,0),"")</f>
        <v>7</v>
      </c>
      <c r="H1541" s="22">
        <v>5.0</v>
      </c>
      <c r="I1541" s="23">
        <f>IFERROR(VLOOKUP(B1541,DADOS!$A$2:$H$252,4,0)*H1541,"")</f>
        <v>7.012031</v>
      </c>
      <c r="J1541" s="36"/>
      <c r="K1541" s="25">
        <f>IFERROR(VLOOKUP(B1541,DADOS!$A$2:$H$252,4,0)*J1541,"")</f>
        <v>0</v>
      </c>
      <c r="L1541" s="26">
        <f t="shared" si="23"/>
        <v>0</v>
      </c>
      <c r="M1541" s="27"/>
      <c r="N1541" s="30"/>
      <c r="O1541" s="28"/>
      <c r="P1541" s="28"/>
      <c r="Q1541" s="28"/>
      <c r="R1541" s="28"/>
      <c r="S1541" s="28"/>
    </row>
    <row r="1542">
      <c r="A1542" s="17">
        <v>45861.0</v>
      </c>
      <c r="B1542" s="18" t="s">
        <v>29</v>
      </c>
      <c r="C1542" s="18" t="s">
        <v>19</v>
      </c>
      <c r="D1542" s="19"/>
      <c r="E1542" s="19"/>
      <c r="F1542" s="20">
        <f t="shared" si="24"/>
        <v>0</v>
      </c>
      <c r="G1542" s="67">
        <f>IFERROR(VLOOKUP(B1542,DADOS!$A$2:$H$252,8,0),"")</f>
        <v>12</v>
      </c>
      <c r="H1542" s="22">
        <v>30.0</v>
      </c>
      <c r="I1542" s="23">
        <f>IFERROR(VLOOKUP(B1542,DADOS!$A$2:$H$252,4,0)*H1542,"")</f>
        <v>26.209008</v>
      </c>
      <c r="J1542" s="36"/>
      <c r="K1542" s="25">
        <f>IFERROR(VLOOKUP(B1542,DADOS!$A$2:$H$252,4,0)*J1542,"")</f>
        <v>0</v>
      </c>
      <c r="L1542" s="26">
        <f t="shared" si="23"/>
        <v>0</v>
      </c>
      <c r="M1542" s="27"/>
      <c r="N1542" s="30"/>
      <c r="O1542" s="28"/>
      <c r="P1542" s="28"/>
      <c r="Q1542" s="28"/>
      <c r="R1542" s="28"/>
      <c r="S1542" s="28"/>
    </row>
    <row r="1543">
      <c r="A1543" s="17">
        <v>45861.0</v>
      </c>
      <c r="B1543" s="18" t="s">
        <v>16</v>
      </c>
      <c r="C1543" s="18" t="s">
        <v>65</v>
      </c>
      <c r="D1543" s="19"/>
      <c r="E1543" s="19"/>
      <c r="F1543" s="20">
        <f t="shared" si="24"/>
        <v>0</v>
      </c>
      <c r="G1543" s="67">
        <f>IFERROR(VLOOKUP(B1543,DADOS!$A$2:$H$252,8,0),"")</f>
        <v>150</v>
      </c>
      <c r="H1543" s="22">
        <v>834.0</v>
      </c>
      <c r="I1543" s="23">
        <f>IFERROR(VLOOKUP(B1543,DADOS!$A$2:$H$252,4,0)*H1543,"")</f>
        <v>24.1299552</v>
      </c>
      <c r="J1543" s="24">
        <v>6.0</v>
      </c>
      <c r="K1543" s="25">
        <f>IFERROR(VLOOKUP(B1543,DADOS!$A$2:$H$252,4,0)*J1543,"")</f>
        <v>0.1735968</v>
      </c>
      <c r="L1543" s="26">
        <f t="shared" si="23"/>
        <v>0</v>
      </c>
      <c r="M1543" s="27"/>
      <c r="N1543" s="30"/>
      <c r="O1543" s="28"/>
      <c r="P1543" s="28"/>
      <c r="Q1543" s="28"/>
      <c r="R1543" s="28"/>
      <c r="S1543" s="28"/>
    </row>
    <row r="1544">
      <c r="A1544" s="17">
        <v>45861.0</v>
      </c>
      <c r="B1544" s="18" t="s">
        <v>58</v>
      </c>
      <c r="C1544" s="18" t="s">
        <v>165</v>
      </c>
      <c r="D1544" s="19"/>
      <c r="E1544" s="19"/>
      <c r="F1544" s="20">
        <f t="shared" si="24"/>
        <v>0</v>
      </c>
      <c r="G1544" s="67">
        <f>IFERROR(VLOOKUP(B1544,DADOS!$A$2:$H$252,8,0),"")</f>
        <v>31</v>
      </c>
      <c r="H1544" s="22">
        <v>61.0</v>
      </c>
      <c r="I1544" s="23">
        <f>IFERROR(VLOOKUP(B1544,DADOS!$A$2:$H$252,4,0)*H1544,"")</f>
        <v>6.9499496</v>
      </c>
      <c r="J1544" s="24">
        <v>6.0</v>
      </c>
      <c r="K1544" s="25">
        <f>IFERROR(VLOOKUP(B1544,DADOS!$A$2:$H$252,4,0)*J1544,"")</f>
        <v>0.6836016</v>
      </c>
      <c r="L1544" s="26">
        <f t="shared" si="23"/>
        <v>0</v>
      </c>
      <c r="M1544" s="27"/>
      <c r="N1544" s="30"/>
      <c r="O1544" s="28"/>
      <c r="P1544" s="28"/>
      <c r="Q1544" s="28"/>
      <c r="R1544" s="28"/>
      <c r="S1544" s="28"/>
    </row>
    <row r="1545">
      <c r="A1545" s="17">
        <v>45861.0</v>
      </c>
      <c r="B1545" s="18" t="s">
        <v>47</v>
      </c>
      <c r="C1545" s="18" t="s">
        <v>165</v>
      </c>
      <c r="D1545" s="19"/>
      <c r="E1545" s="19"/>
      <c r="F1545" s="20">
        <f t="shared" si="24"/>
        <v>0</v>
      </c>
      <c r="G1545" s="67">
        <f>IFERROR(VLOOKUP(B1545,DADOS!$A$2:$H$252,8,0),"")</f>
        <v>35</v>
      </c>
      <c r="H1545" s="22">
        <v>18.0</v>
      </c>
      <c r="I1545" s="23">
        <f>IFERROR(VLOOKUP(B1545,DADOS!$A$2:$H$252,4,0)*H1545,"")</f>
        <v>2.0508048</v>
      </c>
      <c r="J1545" s="24">
        <v>8.0</v>
      </c>
      <c r="K1545" s="25">
        <f>IFERROR(VLOOKUP(B1545,DADOS!$A$2:$H$252,4,0)*J1545,"")</f>
        <v>0.9114688</v>
      </c>
      <c r="L1545" s="26">
        <f t="shared" si="23"/>
        <v>0</v>
      </c>
      <c r="M1545" s="27"/>
      <c r="N1545" s="30"/>
      <c r="O1545" s="28"/>
      <c r="P1545" s="28"/>
      <c r="Q1545" s="28"/>
      <c r="R1545" s="28"/>
      <c r="S1545" s="28"/>
    </row>
    <row r="1546">
      <c r="A1546" s="17">
        <v>45862.0</v>
      </c>
      <c r="B1546" s="18" t="s">
        <v>71</v>
      </c>
      <c r="C1546" s="18" t="s">
        <v>166</v>
      </c>
      <c r="D1546" s="19"/>
      <c r="E1546" s="19"/>
      <c r="F1546" s="20">
        <f t="shared" si="24"/>
        <v>0</v>
      </c>
      <c r="G1546" s="67">
        <f>IFERROR(VLOOKUP(B1546,DADOS!$A$2:$H$252,8,0),"")</f>
        <v>7</v>
      </c>
      <c r="H1546" s="22">
        <v>25.0</v>
      </c>
      <c r="I1546" s="23">
        <f>IFERROR(VLOOKUP(B1546,DADOS!$A$2:$H$252,4,0)*H1546,"")</f>
        <v>35.060155</v>
      </c>
      <c r="J1546" s="36"/>
      <c r="K1546" s="25">
        <f>IFERROR(VLOOKUP(B1546,DADOS!$A$2:$H$252,4,0)*J1546,"")</f>
        <v>0</v>
      </c>
      <c r="L1546" s="26">
        <f t="shared" si="23"/>
        <v>0</v>
      </c>
      <c r="M1546" s="27"/>
      <c r="N1546" s="30"/>
      <c r="O1546" s="28"/>
      <c r="P1546" s="28"/>
      <c r="Q1546" s="28"/>
      <c r="R1546" s="28"/>
      <c r="S1546" s="28"/>
    </row>
    <row r="1547">
      <c r="A1547" s="17">
        <v>45862.0</v>
      </c>
      <c r="B1547" s="18" t="s">
        <v>187</v>
      </c>
      <c r="C1547" s="18" t="s">
        <v>19</v>
      </c>
      <c r="D1547" s="19"/>
      <c r="E1547" s="19"/>
      <c r="F1547" s="20">
        <f t="shared" si="24"/>
        <v>0</v>
      </c>
      <c r="G1547" s="67">
        <f>IFERROR(VLOOKUP(B1547,DADOS!$A$2:$H$252,8,0),"")</f>
        <v>40</v>
      </c>
      <c r="H1547" s="22">
        <v>14.0</v>
      </c>
      <c r="I1547" s="23">
        <f>IFERROR(VLOOKUP(B1547,DADOS!$A$2:$H$252,4,0)*H1547,"")</f>
        <v>3.882816</v>
      </c>
      <c r="J1547" s="36"/>
      <c r="K1547" s="25">
        <f>IFERROR(VLOOKUP(B1547,DADOS!$A$2:$H$252,4,0)*J1547,"")</f>
        <v>0</v>
      </c>
      <c r="L1547" s="26">
        <f t="shared" si="23"/>
        <v>0</v>
      </c>
      <c r="M1547" s="27"/>
      <c r="N1547" s="30"/>
      <c r="O1547" s="28"/>
      <c r="P1547" s="28"/>
      <c r="Q1547" s="28"/>
      <c r="R1547" s="28"/>
      <c r="S1547" s="28"/>
    </row>
    <row r="1548">
      <c r="A1548" s="17">
        <v>45862.0</v>
      </c>
      <c r="B1548" s="18" t="s">
        <v>16</v>
      </c>
      <c r="C1548" s="18" t="s">
        <v>65</v>
      </c>
      <c r="D1548" s="19"/>
      <c r="E1548" s="19"/>
      <c r="F1548" s="20">
        <f t="shared" si="24"/>
        <v>0</v>
      </c>
      <c r="G1548" s="67">
        <f>IFERROR(VLOOKUP(B1548,DADOS!$A$2:$H$252,8,0),"")</f>
        <v>150</v>
      </c>
      <c r="H1548" s="22">
        <v>72.0</v>
      </c>
      <c r="I1548" s="23">
        <f>IFERROR(VLOOKUP(B1548,DADOS!$A$2:$H$252,4,0)*H1548,"")</f>
        <v>2.0831616</v>
      </c>
      <c r="J1548" s="24">
        <v>2.0</v>
      </c>
      <c r="K1548" s="25">
        <f>IFERROR(VLOOKUP(B1548,DADOS!$A$2:$H$252,4,0)*J1548,"")</f>
        <v>0.0578656</v>
      </c>
      <c r="L1548" s="26">
        <f t="shared" si="23"/>
        <v>0</v>
      </c>
      <c r="M1548" s="27"/>
      <c r="N1548" s="30"/>
      <c r="O1548" s="28"/>
      <c r="P1548" s="28"/>
      <c r="Q1548" s="28"/>
      <c r="R1548" s="28"/>
      <c r="S1548" s="28"/>
    </row>
    <row r="1549">
      <c r="A1549" s="17">
        <v>45862.0</v>
      </c>
      <c r="B1549" s="18" t="s">
        <v>47</v>
      </c>
      <c r="C1549" s="18" t="s">
        <v>165</v>
      </c>
      <c r="D1549" s="19"/>
      <c r="E1549" s="19"/>
      <c r="F1549" s="20">
        <f t="shared" si="24"/>
        <v>0</v>
      </c>
      <c r="G1549" s="67">
        <f>IFERROR(VLOOKUP(B1549,DADOS!$A$2:$H$252,8,0),"")</f>
        <v>35</v>
      </c>
      <c r="H1549" s="22">
        <v>39.0</v>
      </c>
      <c r="I1549" s="23">
        <f>IFERROR(VLOOKUP(B1549,DADOS!$A$2:$H$252,4,0)*H1549,"")</f>
        <v>4.4434104</v>
      </c>
      <c r="J1549" s="24">
        <v>3.0</v>
      </c>
      <c r="K1549" s="25">
        <f>IFERROR(VLOOKUP(B1549,DADOS!$A$2:$H$252,4,0)*J1549,"")</f>
        <v>0.3418008</v>
      </c>
      <c r="L1549" s="26">
        <f t="shared" si="23"/>
        <v>0</v>
      </c>
      <c r="M1549" s="27"/>
      <c r="N1549" s="30"/>
      <c r="O1549" s="68"/>
      <c r="P1549" s="68"/>
      <c r="Q1549" s="68"/>
      <c r="R1549" s="68"/>
      <c r="S1549" s="68"/>
      <c r="T1549" s="69"/>
      <c r="U1549" s="69"/>
      <c r="V1549" s="69"/>
      <c r="W1549" s="69"/>
      <c r="X1549" s="69"/>
      <c r="Y1549" s="69"/>
      <c r="Z1549" s="69"/>
      <c r="AA1549" s="69"/>
      <c r="AB1549" s="69"/>
      <c r="AC1549" s="69"/>
      <c r="AD1549" s="69"/>
      <c r="AE1549" s="69"/>
      <c r="AF1549" s="69"/>
      <c r="AG1549" s="69"/>
      <c r="AH1549" s="69"/>
      <c r="AI1549" s="69"/>
      <c r="AJ1549" s="69"/>
    </row>
    <row r="1550">
      <c r="A1550" s="17">
        <v>45862.0</v>
      </c>
      <c r="B1550" s="18" t="s">
        <v>25</v>
      </c>
      <c r="C1550" s="18" t="s">
        <v>165</v>
      </c>
      <c r="D1550" s="19"/>
      <c r="E1550" s="19"/>
      <c r="F1550" s="20">
        <f t="shared" si="24"/>
        <v>0</v>
      </c>
      <c r="G1550" s="67">
        <f>IFERROR(VLOOKUP(B1550,DADOS!$A$2:$H$252,8,0),"")</f>
        <v>40</v>
      </c>
      <c r="H1550" s="22">
        <v>45.0</v>
      </c>
      <c r="I1550" s="23">
        <f>IFERROR(VLOOKUP(B1550,DADOS!$A$2:$H$252,4,0)*H1550,"")</f>
        <v>4.66092</v>
      </c>
      <c r="J1550" s="36"/>
      <c r="K1550" s="25">
        <f>IFERROR(VLOOKUP(B1550,DADOS!$A$2:$H$252,4,0)*J1550,"")</f>
        <v>0</v>
      </c>
      <c r="L1550" s="26">
        <f t="shared" si="23"/>
        <v>0</v>
      </c>
      <c r="M1550" s="27"/>
      <c r="N1550" s="30"/>
      <c r="O1550" s="68"/>
      <c r="P1550" s="68"/>
      <c r="Q1550" s="68"/>
      <c r="R1550" s="68"/>
      <c r="S1550" s="68"/>
      <c r="T1550" s="69"/>
      <c r="U1550" s="69"/>
      <c r="V1550" s="69"/>
      <c r="W1550" s="69"/>
      <c r="X1550" s="69"/>
      <c r="Y1550" s="69"/>
      <c r="Z1550" s="69"/>
      <c r="AA1550" s="69"/>
      <c r="AB1550" s="69"/>
      <c r="AC1550" s="69"/>
      <c r="AD1550" s="69"/>
      <c r="AE1550" s="69"/>
      <c r="AF1550" s="69"/>
      <c r="AG1550" s="69"/>
      <c r="AH1550" s="69"/>
      <c r="AI1550" s="69"/>
      <c r="AJ1550" s="69"/>
    </row>
    <row r="1551">
      <c r="A1551" s="70">
        <v>45862.0</v>
      </c>
      <c r="B1551" s="71" t="s">
        <v>171</v>
      </c>
      <c r="C1551" s="71"/>
      <c r="D1551" s="72"/>
      <c r="E1551" s="72"/>
      <c r="F1551" s="20">
        <f t="shared" si="24"/>
        <v>0</v>
      </c>
      <c r="G1551" s="67">
        <f>IFERROR(VLOOKUP(B1551,DADOS!$A$2:$H$252,8,0),"")</f>
        <v>75</v>
      </c>
      <c r="H1551" s="73"/>
      <c r="I1551" s="23">
        <f>IFERROR(VLOOKUP(B1551,DADOS!$A$2:$H$252,4,0)*H1551,"")</f>
        <v>0</v>
      </c>
      <c r="J1551" s="74">
        <v>1.0</v>
      </c>
      <c r="K1551" s="25">
        <f>IFERROR(VLOOKUP(B1551,DADOS!$A$2:$H$252,4,0)*J1551,"")</f>
        <v>0.15408</v>
      </c>
      <c r="L1551" s="26" t="str">
        <f t="shared" si="23"/>
        <v/>
      </c>
      <c r="M1551" s="75" t="s">
        <v>39</v>
      </c>
      <c r="N1551" s="75" t="s">
        <v>85</v>
      </c>
      <c r="O1551" s="68"/>
      <c r="P1551" s="68"/>
      <c r="Q1551" s="68"/>
      <c r="R1551" s="68"/>
      <c r="S1551" s="68"/>
      <c r="T1551" s="69"/>
      <c r="U1551" s="69"/>
      <c r="V1551" s="69"/>
      <c r="W1551" s="69"/>
      <c r="X1551" s="69"/>
      <c r="Y1551" s="69"/>
      <c r="Z1551" s="69"/>
      <c r="AA1551" s="69"/>
      <c r="AB1551" s="69"/>
      <c r="AC1551" s="69"/>
      <c r="AD1551" s="69"/>
      <c r="AE1551" s="69"/>
      <c r="AF1551" s="69"/>
      <c r="AG1551" s="69"/>
      <c r="AH1551" s="69"/>
      <c r="AI1551" s="69"/>
      <c r="AJ1551" s="69"/>
    </row>
    <row r="1552">
      <c r="A1552" s="70">
        <v>45862.0</v>
      </c>
      <c r="B1552" s="71" t="s">
        <v>188</v>
      </c>
      <c r="C1552" s="71"/>
      <c r="D1552" s="72"/>
      <c r="E1552" s="72"/>
      <c r="F1552" s="20">
        <f t="shared" si="24"/>
        <v>0</v>
      </c>
      <c r="G1552" s="67">
        <f>IFERROR(VLOOKUP(B1552,DADOS!$A$2:$H$252,8,0),"")</f>
        <v>30</v>
      </c>
      <c r="H1552" s="73"/>
      <c r="I1552" s="23">
        <f>IFERROR(VLOOKUP(B1552,DADOS!$A$2:$H$252,4,0)*H1552,"")</f>
        <v>0</v>
      </c>
      <c r="J1552" s="74">
        <v>6.0</v>
      </c>
      <c r="K1552" s="25">
        <f>IFERROR(VLOOKUP(B1552,DADOS!$A$2:$H$252,4,0)*J1552,"")</f>
        <v>0.6836016</v>
      </c>
      <c r="L1552" s="26" t="str">
        <f t="shared" si="23"/>
        <v/>
      </c>
      <c r="M1552" s="75" t="s">
        <v>83</v>
      </c>
      <c r="N1552" s="75" t="s">
        <v>85</v>
      </c>
      <c r="O1552" s="68"/>
      <c r="P1552" s="68"/>
      <c r="Q1552" s="68"/>
      <c r="R1552" s="68"/>
      <c r="S1552" s="68"/>
      <c r="T1552" s="69"/>
      <c r="U1552" s="69"/>
      <c r="V1552" s="69"/>
      <c r="W1552" s="69"/>
      <c r="X1552" s="69"/>
      <c r="Y1552" s="69"/>
      <c r="Z1552" s="69"/>
      <c r="AA1552" s="69"/>
      <c r="AB1552" s="69"/>
      <c r="AC1552" s="69"/>
      <c r="AD1552" s="69"/>
      <c r="AE1552" s="69"/>
      <c r="AF1552" s="69"/>
      <c r="AG1552" s="69"/>
      <c r="AH1552" s="69"/>
      <c r="AI1552" s="69"/>
      <c r="AJ1552" s="69"/>
    </row>
    <row r="1553">
      <c r="A1553" s="70">
        <v>45862.0</v>
      </c>
      <c r="B1553" s="71" t="s">
        <v>49</v>
      </c>
      <c r="C1553" s="71"/>
      <c r="D1553" s="72"/>
      <c r="E1553" s="72"/>
      <c r="F1553" s="20">
        <f t="shared" si="24"/>
        <v>0</v>
      </c>
      <c r="G1553" s="67">
        <f>IFERROR(VLOOKUP(B1553,DADOS!$A$2:$H$252,8,0),"")</f>
        <v>42</v>
      </c>
      <c r="H1553" s="73"/>
      <c r="I1553" s="23">
        <f>IFERROR(VLOOKUP(B1553,DADOS!$A$2:$H$252,4,0)*H1553,"")</f>
        <v>0</v>
      </c>
      <c r="J1553" s="74">
        <v>1.0</v>
      </c>
      <c r="K1553" s="25">
        <f>IFERROR(VLOOKUP(B1553,DADOS!$A$2:$H$252,4,0)*J1553,"")</f>
        <v>0.0680306</v>
      </c>
      <c r="L1553" s="26" t="str">
        <f t="shared" si="23"/>
        <v/>
      </c>
      <c r="M1553" s="75" t="s">
        <v>83</v>
      </c>
      <c r="N1553" s="75" t="s">
        <v>85</v>
      </c>
      <c r="O1553" s="68"/>
      <c r="P1553" s="68"/>
      <c r="Q1553" s="68"/>
      <c r="R1553" s="68"/>
      <c r="S1553" s="68"/>
      <c r="T1553" s="69"/>
      <c r="U1553" s="69"/>
      <c r="V1553" s="69"/>
      <c r="W1553" s="69"/>
      <c r="X1553" s="69"/>
      <c r="Y1553" s="69"/>
      <c r="Z1553" s="69"/>
      <c r="AA1553" s="69"/>
      <c r="AB1553" s="69"/>
      <c r="AC1553" s="69"/>
      <c r="AD1553" s="69"/>
      <c r="AE1553" s="69"/>
      <c r="AF1553" s="69"/>
      <c r="AG1553" s="69"/>
      <c r="AH1553" s="69"/>
      <c r="AI1553" s="69"/>
      <c r="AJ1553" s="69"/>
    </row>
    <row r="1554">
      <c r="A1554" s="70">
        <v>45862.0</v>
      </c>
      <c r="B1554" s="71" t="s">
        <v>22</v>
      </c>
      <c r="C1554" s="71"/>
      <c r="D1554" s="72"/>
      <c r="E1554" s="72"/>
      <c r="F1554" s="20">
        <f t="shared" si="24"/>
        <v>0</v>
      </c>
      <c r="G1554" s="67">
        <f>IFERROR(VLOOKUP(B1554,DADOS!$A$2:$H$252,8,0),"")</f>
        <v>15</v>
      </c>
      <c r="H1554" s="73"/>
      <c r="I1554" s="23">
        <f>IFERROR(VLOOKUP(B1554,DADOS!$A$2:$H$252,4,0)*H1554,"")</f>
        <v>0</v>
      </c>
      <c r="J1554" s="74">
        <v>1.0</v>
      </c>
      <c r="K1554" s="25">
        <f>IFERROR(VLOOKUP(B1554,DADOS!$A$2:$H$252,4,0)*J1554,"")</f>
        <v>0.6122754</v>
      </c>
      <c r="L1554" s="26" t="str">
        <f t="shared" si="23"/>
        <v/>
      </c>
      <c r="M1554" s="75" t="s">
        <v>189</v>
      </c>
      <c r="N1554" s="75" t="s">
        <v>173</v>
      </c>
      <c r="O1554" s="68"/>
      <c r="P1554" s="68"/>
      <c r="Q1554" s="68"/>
      <c r="R1554" s="68"/>
      <c r="S1554" s="68"/>
      <c r="T1554" s="69"/>
      <c r="U1554" s="69"/>
      <c r="V1554" s="69"/>
      <c r="W1554" s="69"/>
      <c r="X1554" s="69"/>
      <c r="Y1554" s="69"/>
      <c r="Z1554" s="69"/>
      <c r="AA1554" s="69"/>
      <c r="AB1554" s="69"/>
      <c r="AC1554" s="69"/>
      <c r="AD1554" s="69"/>
      <c r="AE1554" s="69"/>
      <c r="AF1554" s="69"/>
      <c r="AG1554" s="69"/>
      <c r="AH1554" s="69"/>
      <c r="AI1554" s="69"/>
      <c r="AJ1554" s="69"/>
    </row>
    <row r="1555">
      <c r="A1555" s="70">
        <v>45862.0</v>
      </c>
      <c r="B1555" s="71" t="s">
        <v>75</v>
      </c>
      <c r="C1555" s="71"/>
      <c r="D1555" s="72"/>
      <c r="E1555" s="72"/>
      <c r="F1555" s="20">
        <f t="shared" si="24"/>
        <v>0</v>
      </c>
      <c r="G1555" s="67">
        <f>IFERROR(VLOOKUP(B1555,DADOS!$A$2:$H$252,8,0),"")</f>
        <v>23</v>
      </c>
      <c r="H1555" s="73"/>
      <c r="I1555" s="23">
        <f>IFERROR(VLOOKUP(B1555,DADOS!$A$2:$H$252,4,0)*H1555,"")</f>
        <v>0</v>
      </c>
      <c r="J1555" s="74">
        <v>2.0</v>
      </c>
      <c r="K1555" s="25">
        <f>IFERROR(VLOOKUP(B1555,DADOS!$A$2:$H$252,4,0)*J1555,"")</f>
        <v>0.2278672</v>
      </c>
      <c r="L1555" s="26" t="str">
        <f t="shared" si="23"/>
        <v/>
      </c>
      <c r="M1555" s="75" t="s">
        <v>189</v>
      </c>
      <c r="N1555" s="75" t="s">
        <v>104</v>
      </c>
      <c r="O1555" s="68"/>
      <c r="P1555" s="68"/>
      <c r="Q1555" s="68"/>
      <c r="R1555" s="68"/>
      <c r="S1555" s="68"/>
      <c r="T1555" s="69"/>
      <c r="U1555" s="69"/>
      <c r="V1555" s="69"/>
      <c r="W1555" s="69"/>
      <c r="X1555" s="69"/>
      <c r="Y1555" s="69"/>
      <c r="Z1555" s="69"/>
      <c r="AA1555" s="69"/>
      <c r="AB1555" s="69"/>
      <c r="AC1555" s="69"/>
      <c r="AD1555" s="69"/>
      <c r="AE1555" s="69"/>
      <c r="AF1555" s="69"/>
      <c r="AG1555" s="69"/>
      <c r="AH1555" s="69"/>
      <c r="AI1555" s="69"/>
      <c r="AJ1555" s="69"/>
    </row>
    <row r="1556">
      <c r="A1556" s="70">
        <v>45862.0</v>
      </c>
      <c r="B1556" s="71" t="s">
        <v>55</v>
      </c>
      <c r="C1556" s="71"/>
      <c r="D1556" s="72"/>
      <c r="E1556" s="72"/>
      <c r="F1556" s="20">
        <f t="shared" si="24"/>
        <v>0</v>
      </c>
      <c r="G1556" s="67">
        <f>IFERROR(VLOOKUP(B1556,DADOS!$A$2:$H$252,8,0),"")</f>
        <v>60</v>
      </c>
      <c r="H1556" s="73"/>
      <c r="I1556" s="23">
        <f>IFERROR(VLOOKUP(B1556,DADOS!$A$2:$H$252,4,0)*H1556,"")</f>
        <v>0</v>
      </c>
      <c r="J1556" s="74">
        <v>1.0</v>
      </c>
      <c r="K1556" s="25">
        <f>IFERROR(VLOOKUP(B1556,DADOS!$A$2:$H$252,4,0)*J1556,"")</f>
        <v>0.01712</v>
      </c>
      <c r="L1556" s="26" t="str">
        <f t="shared" si="23"/>
        <v/>
      </c>
      <c r="M1556" s="75" t="s">
        <v>189</v>
      </c>
      <c r="N1556" s="75" t="s">
        <v>104</v>
      </c>
      <c r="O1556" s="68"/>
      <c r="P1556" s="68"/>
      <c r="Q1556" s="68"/>
      <c r="R1556" s="68"/>
      <c r="S1556" s="68"/>
      <c r="T1556" s="69"/>
      <c r="U1556" s="69"/>
      <c r="V1556" s="69"/>
      <c r="W1556" s="69"/>
      <c r="X1556" s="69"/>
      <c r="Y1556" s="69"/>
      <c r="Z1556" s="69"/>
      <c r="AA1556" s="69"/>
      <c r="AB1556" s="69"/>
      <c r="AC1556" s="69"/>
      <c r="AD1556" s="69"/>
      <c r="AE1556" s="69"/>
      <c r="AF1556" s="69"/>
      <c r="AG1556" s="69"/>
      <c r="AH1556" s="69"/>
      <c r="AI1556" s="69"/>
      <c r="AJ1556" s="69"/>
    </row>
    <row r="1557">
      <c r="A1557" s="70">
        <v>45862.0</v>
      </c>
      <c r="B1557" s="71" t="s">
        <v>188</v>
      </c>
      <c r="C1557" s="71"/>
      <c r="D1557" s="72"/>
      <c r="E1557" s="72"/>
      <c r="F1557" s="20">
        <f t="shared" si="24"/>
        <v>0</v>
      </c>
      <c r="G1557" s="67">
        <f>IFERROR(VLOOKUP(B1557,DADOS!$A$2:$H$252,8,0),"")</f>
        <v>30</v>
      </c>
      <c r="H1557" s="73"/>
      <c r="I1557" s="23">
        <f>IFERROR(VLOOKUP(B1557,DADOS!$A$2:$H$252,4,0)*H1557,"")</f>
        <v>0</v>
      </c>
      <c r="J1557" s="74">
        <v>1.0</v>
      </c>
      <c r="K1557" s="25">
        <f>IFERROR(VLOOKUP(B1557,DADOS!$A$2:$H$252,4,0)*J1557,"")</f>
        <v>0.1139336</v>
      </c>
      <c r="L1557" s="26" t="str">
        <f t="shared" si="23"/>
        <v/>
      </c>
      <c r="M1557" s="75" t="s">
        <v>39</v>
      </c>
      <c r="N1557" s="75" t="s">
        <v>120</v>
      </c>
      <c r="O1557" s="68"/>
      <c r="P1557" s="68"/>
      <c r="Q1557" s="68"/>
      <c r="R1557" s="68"/>
      <c r="S1557" s="68"/>
      <c r="T1557" s="69"/>
      <c r="U1557" s="69"/>
      <c r="V1557" s="69"/>
      <c r="W1557" s="69"/>
      <c r="X1557" s="69"/>
      <c r="Y1557" s="69"/>
      <c r="Z1557" s="69"/>
      <c r="AA1557" s="69"/>
      <c r="AB1557" s="69"/>
      <c r="AC1557" s="69"/>
      <c r="AD1557" s="69"/>
      <c r="AE1557" s="69"/>
      <c r="AF1557" s="69"/>
      <c r="AG1557" s="69"/>
      <c r="AH1557" s="69"/>
      <c r="AI1557" s="69"/>
      <c r="AJ1557" s="69"/>
    </row>
    <row r="1558">
      <c r="A1558" s="70">
        <v>45862.0</v>
      </c>
      <c r="B1558" s="71" t="s">
        <v>122</v>
      </c>
      <c r="C1558" s="71"/>
      <c r="D1558" s="72"/>
      <c r="E1558" s="72"/>
      <c r="F1558" s="20">
        <f t="shared" si="24"/>
        <v>0</v>
      </c>
      <c r="G1558" s="67">
        <f>IFERROR(VLOOKUP(B1558,DADOS!$A$2:$H$252,8,0),"")</f>
        <v>17</v>
      </c>
      <c r="H1558" s="73"/>
      <c r="I1558" s="23">
        <f>IFERROR(VLOOKUP(B1558,DADOS!$A$2:$H$252,4,0)*H1558,"")</f>
        <v>0</v>
      </c>
      <c r="J1558" s="74">
        <v>1.0</v>
      </c>
      <c r="K1558" s="25">
        <f>IFERROR(VLOOKUP(B1558,DADOS!$A$2:$H$252,4,0)*J1558,"")</f>
        <v>0.1716066</v>
      </c>
      <c r="L1558" s="26" t="str">
        <f t="shared" si="23"/>
        <v/>
      </c>
      <c r="M1558" s="75" t="s">
        <v>39</v>
      </c>
      <c r="N1558" s="75" t="s">
        <v>120</v>
      </c>
      <c r="O1558" s="68"/>
      <c r="P1558" s="68"/>
      <c r="Q1558" s="68"/>
      <c r="R1558" s="68"/>
      <c r="S1558" s="68"/>
      <c r="T1558" s="69"/>
      <c r="U1558" s="69"/>
      <c r="V1558" s="69"/>
      <c r="W1558" s="69"/>
      <c r="X1558" s="69"/>
      <c r="Y1558" s="69"/>
      <c r="Z1558" s="69"/>
      <c r="AA1558" s="69"/>
      <c r="AB1558" s="69"/>
      <c r="AC1558" s="69"/>
      <c r="AD1558" s="69"/>
      <c r="AE1558" s="69"/>
      <c r="AF1558" s="69"/>
      <c r="AG1558" s="69"/>
      <c r="AH1558" s="69"/>
      <c r="AI1558" s="69"/>
      <c r="AJ1558" s="69"/>
    </row>
    <row r="1559">
      <c r="A1559" s="70">
        <v>45862.0</v>
      </c>
      <c r="B1559" s="71" t="s">
        <v>115</v>
      </c>
      <c r="C1559" s="71"/>
      <c r="D1559" s="72"/>
      <c r="E1559" s="72"/>
      <c r="F1559" s="20">
        <f t="shared" si="24"/>
        <v>0</v>
      </c>
      <c r="G1559" s="67">
        <f>IFERROR(VLOOKUP(B1559,DADOS!$A$2:$H$252,8,0),"")</f>
        <v>12</v>
      </c>
      <c r="H1559" s="73"/>
      <c r="I1559" s="23">
        <f>IFERROR(VLOOKUP(B1559,DADOS!$A$2:$H$252,4,0)*H1559,"")</f>
        <v>0</v>
      </c>
      <c r="J1559" s="74">
        <v>1.0</v>
      </c>
      <c r="K1559" s="25">
        <f>IFERROR(VLOOKUP(B1559,DADOS!$A$2:$H$252,4,0)*J1559,"")</f>
        <v>0.292966</v>
      </c>
      <c r="L1559" s="26" t="str">
        <f t="shared" si="23"/>
        <v/>
      </c>
      <c r="M1559" s="75" t="s">
        <v>39</v>
      </c>
      <c r="N1559" s="75" t="s">
        <v>120</v>
      </c>
      <c r="O1559" s="68"/>
      <c r="P1559" s="68"/>
      <c r="Q1559" s="68"/>
      <c r="R1559" s="68"/>
      <c r="S1559" s="68"/>
      <c r="T1559" s="69"/>
      <c r="U1559" s="69"/>
      <c r="V1559" s="69"/>
      <c r="W1559" s="69"/>
      <c r="X1559" s="69"/>
      <c r="Y1559" s="69"/>
      <c r="Z1559" s="69"/>
      <c r="AA1559" s="69"/>
      <c r="AB1559" s="69"/>
      <c r="AC1559" s="69"/>
      <c r="AD1559" s="69"/>
      <c r="AE1559" s="69"/>
      <c r="AF1559" s="69"/>
      <c r="AG1559" s="69"/>
      <c r="AH1559" s="69"/>
      <c r="AI1559" s="69"/>
      <c r="AJ1559" s="69"/>
    </row>
    <row r="1560">
      <c r="A1560" s="70">
        <v>45862.0</v>
      </c>
      <c r="B1560" s="71" t="s">
        <v>18</v>
      </c>
      <c r="C1560" s="71"/>
      <c r="D1560" s="72"/>
      <c r="E1560" s="72"/>
      <c r="F1560" s="20">
        <f t="shared" si="24"/>
        <v>0</v>
      </c>
      <c r="G1560" s="67">
        <f>IFERROR(VLOOKUP(B1560,DADOS!$A$2:$H$252,8,0),"")</f>
        <v>21</v>
      </c>
      <c r="H1560" s="73"/>
      <c r="I1560" s="23">
        <f>IFERROR(VLOOKUP(B1560,DADOS!$A$2:$H$252,4,0)*H1560,"")</f>
        <v>0</v>
      </c>
      <c r="J1560" s="74">
        <v>1.0</v>
      </c>
      <c r="K1560" s="25">
        <f>IFERROR(VLOOKUP(B1560,DADOS!$A$2:$H$252,4,0)*J1560,"")</f>
        <v>0.292966</v>
      </c>
      <c r="L1560" s="26" t="str">
        <f t="shared" si="23"/>
        <v/>
      </c>
      <c r="M1560" s="75" t="s">
        <v>83</v>
      </c>
      <c r="N1560" s="75" t="s">
        <v>88</v>
      </c>
      <c r="O1560" s="68"/>
      <c r="P1560" s="68"/>
      <c r="Q1560" s="68"/>
      <c r="R1560" s="68"/>
      <c r="S1560" s="68"/>
      <c r="T1560" s="69"/>
      <c r="U1560" s="69"/>
      <c r="V1560" s="69"/>
      <c r="W1560" s="69"/>
      <c r="X1560" s="69"/>
      <c r="Y1560" s="69"/>
      <c r="Z1560" s="69"/>
      <c r="AA1560" s="69"/>
      <c r="AB1560" s="69"/>
      <c r="AC1560" s="69"/>
      <c r="AD1560" s="69"/>
      <c r="AE1560" s="69"/>
      <c r="AF1560" s="69"/>
      <c r="AG1560" s="69"/>
      <c r="AH1560" s="69"/>
      <c r="AI1560" s="69"/>
      <c r="AJ1560" s="69"/>
    </row>
    <row r="1561">
      <c r="A1561" s="70">
        <v>45862.0</v>
      </c>
      <c r="B1561" s="71" t="s">
        <v>195</v>
      </c>
      <c r="C1561" s="71"/>
      <c r="D1561" s="72"/>
      <c r="E1561" s="72"/>
      <c r="F1561" s="20">
        <f t="shared" si="24"/>
        <v>0</v>
      </c>
      <c r="G1561" s="67">
        <f>IFERROR(VLOOKUP(B1561,DADOS!$A$2:$H$252,8,0),"")</f>
        <v>43</v>
      </c>
      <c r="H1561" s="73"/>
      <c r="I1561" s="23">
        <f>IFERROR(VLOOKUP(B1561,DADOS!$A$2:$H$252,4,0)*H1561,"")</f>
        <v>0</v>
      </c>
      <c r="J1561" s="74">
        <v>1.0</v>
      </c>
      <c r="K1561" s="25">
        <f>IFERROR(VLOOKUP(B1561,DADOS!$A$2:$H$252,4,0)*J1561,"")</f>
        <v>0.21186</v>
      </c>
      <c r="L1561" s="26" t="str">
        <f t="shared" si="23"/>
        <v/>
      </c>
      <c r="M1561" s="75" t="s">
        <v>83</v>
      </c>
      <c r="N1561" s="75" t="s">
        <v>88</v>
      </c>
      <c r="O1561" s="68"/>
      <c r="P1561" s="68"/>
      <c r="Q1561" s="68"/>
      <c r="R1561" s="68"/>
      <c r="S1561" s="68"/>
      <c r="T1561" s="69"/>
      <c r="U1561" s="69"/>
      <c r="V1561" s="69"/>
      <c r="W1561" s="69"/>
      <c r="X1561" s="69"/>
      <c r="Y1561" s="69"/>
      <c r="Z1561" s="69"/>
      <c r="AA1561" s="69"/>
      <c r="AB1561" s="69"/>
      <c r="AC1561" s="69"/>
      <c r="AD1561" s="69"/>
      <c r="AE1561" s="69"/>
      <c r="AF1561" s="69"/>
      <c r="AG1561" s="69"/>
      <c r="AH1561" s="69"/>
      <c r="AI1561" s="69"/>
      <c r="AJ1561" s="69"/>
    </row>
    <row r="1562">
      <c r="A1562" s="70">
        <v>45862.0</v>
      </c>
      <c r="B1562" s="71" t="s">
        <v>96</v>
      </c>
      <c r="C1562" s="71"/>
      <c r="D1562" s="72"/>
      <c r="E1562" s="72"/>
      <c r="F1562" s="20">
        <f t="shared" si="24"/>
        <v>0</v>
      </c>
      <c r="G1562" s="67">
        <f>IFERROR(VLOOKUP(B1562,DADOS!$A$2:$H$252,8,0),"")</f>
        <v>27</v>
      </c>
      <c r="H1562" s="73"/>
      <c r="I1562" s="23">
        <f>IFERROR(VLOOKUP(B1562,DADOS!$A$2:$H$252,4,0)*H1562,"")</f>
        <v>0</v>
      </c>
      <c r="J1562" s="74">
        <v>2.0</v>
      </c>
      <c r="K1562" s="25">
        <f>IFERROR(VLOOKUP(B1562,DADOS!$A$2:$H$252,4,0)*J1562,"")</f>
        <v>0.18832</v>
      </c>
      <c r="L1562" s="26" t="str">
        <f t="shared" si="23"/>
        <v/>
      </c>
      <c r="M1562" s="75" t="s">
        <v>83</v>
      </c>
      <c r="N1562" s="75" t="s">
        <v>88</v>
      </c>
      <c r="O1562" s="68"/>
      <c r="P1562" s="68"/>
      <c r="Q1562" s="68"/>
      <c r="R1562" s="68"/>
      <c r="S1562" s="68"/>
      <c r="T1562" s="69"/>
      <c r="U1562" s="69"/>
      <c r="V1562" s="69"/>
      <c r="W1562" s="69"/>
      <c r="X1562" s="69"/>
      <c r="Y1562" s="69"/>
      <c r="Z1562" s="69"/>
      <c r="AA1562" s="69"/>
      <c r="AB1562" s="69"/>
      <c r="AC1562" s="69"/>
      <c r="AD1562" s="69"/>
      <c r="AE1562" s="69"/>
      <c r="AF1562" s="69"/>
      <c r="AG1562" s="69"/>
      <c r="AH1562" s="69"/>
      <c r="AI1562" s="69"/>
      <c r="AJ1562" s="69"/>
    </row>
    <row r="1563">
      <c r="A1563" s="70">
        <v>45862.0</v>
      </c>
      <c r="B1563" s="71" t="s">
        <v>188</v>
      </c>
      <c r="C1563" s="71"/>
      <c r="D1563" s="72"/>
      <c r="E1563" s="72"/>
      <c r="F1563" s="20">
        <f t="shared" si="24"/>
        <v>0</v>
      </c>
      <c r="G1563" s="67">
        <f>IFERROR(VLOOKUP(B1563,DADOS!$A$2:$H$252,8,0),"")</f>
        <v>30</v>
      </c>
      <c r="H1563" s="73"/>
      <c r="I1563" s="23">
        <f>IFERROR(VLOOKUP(B1563,DADOS!$A$2:$H$252,4,0)*H1563,"")</f>
        <v>0</v>
      </c>
      <c r="J1563" s="74">
        <v>9.0</v>
      </c>
      <c r="K1563" s="25">
        <f>IFERROR(VLOOKUP(B1563,DADOS!$A$2:$H$252,4,0)*J1563,"")</f>
        <v>1.0254024</v>
      </c>
      <c r="L1563" s="26" t="str">
        <f t="shared" si="23"/>
        <v/>
      </c>
      <c r="M1563" s="75" t="s">
        <v>83</v>
      </c>
      <c r="N1563" s="75" t="s">
        <v>88</v>
      </c>
      <c r="O1563" s="68"/>
      <c r="P1563" s="68"/>
      <c r="Q1563" s="68"/>
      <c r="R1563" s="68"/>
      <c r="S1563" s="68"/>
      <c r="T1563" s="69"/>
      <c r="U1563" s="69"/>
      <c r="V1563" s="69"/>
      <c r="W1563" s="69"/>
      <c r="X1563" s="69"/>
      <c r="Y1563" s="69"/>
      <c r="Z1563" s="69"/>
      <c r="AA1563" s="69"/>
      <c r="AB1563" s="69"/>
      <c r="AC1563" s="69"/>
      <c r="AD1563" s="69"/>
      <c r="AE1563" s="69"/>
      <c r="AF1563" s="69"/>
      <c r="AG1563" s="69"/>
      <c r="AH1563" s="69"/>
      <c r="AI1563" s="69"/>
      <c r="AJ1563" s="69"/>
    </row>
    <row r="1564">
      <c r="A1564" s="70">
        <v>45862.0</v>
      </c>
      <c r="B1564" s="71" t="s">
        <v>58</v>
      </c>
      <c r="C1564" s="71"/>
      <c r="D1564" s="72"/>
      <c r="E1564" s="72"/>
      <c r="F1564" s="20">
        <f t="shared" si="24"/>
        <v>0</v>
      </c>
      <c r="G1564" s="67">
        <f>IFERROR(VLOOKUP(B1564,DADOS!$A$2:$H$252,8,0),"")</f>
        <v>31</v>
      </c>
      <c r="H1564" s="73"/>
      <c r="I1564" s="23">
        <f>IFERROR(VLOOKUP(B1564,DADOS!$A$2:$H$252,4,0)*H1564,"")</f>
        <v>0</v>
      </c>
      <c r="J1564" s="74">
        <v>1.0</v>
      </c>
      <c r="K1564" s="25">
        <f>IFERROR(VLOOKUP(B1564,DADOS!$A$2:$H$252,4,0)*J1564,"")</f>
        <v>0.1139336</v>
      </c>
      <c r="L1564" s="26" t="str">
        <f t="shared" si="23"/>
        <v/>
      </c>
      <c r="M1564" s="75" t="s">
        <v>83</v>
      </c>
      <c r="N1564" s="75" t="s">
        <v>88</v>
      </c>
      <c r="O1564" s="68"/>
      <c r="P1564" s="68"/>
      <c r="Q1564" s="68"/>
      <c r="R1564" s="68"/>
      <c r="S1564" s="68"/>
      <c r="T1564" s="69"/>
      <c r="U1564" s="69"/>
      <c r="V1564" s="69"/>
      <c r="W1564" s="69"/>
      <c r="X1564" s="69"/>
      <c r="Y1564" s="69"/>
      <c r="Z1564" s="69"/>
      <c r="AA1564" s="69"/>
      <c r="AB1564" s="69"/>
      <c r="AC1564" s="69"/>
      <c r="AD1564" s="69"/>
      <c r="AE1564" s="69"/>
      <c r="AF1564" s="69"/>
      <c r="AG1564" s="69"/>
      <c r="AH1564" s="69"/>
      <c r="AI1564" s="69"/>
      <c r="AJ1564" s="69"/>
    </row>
    <row r="1565">
      <c r="A1565" s="70">
        <v>45862.0</v>
      </c>
      <c r="B1565" s="71" t="s">
        <v>55</v>
      </c>
      <c r="C1565" s="71"/>
      <c r="D1565" s="72"/>
      <c r="E1565" s="72"/>
      <c r="F1565" s="20">
        <f t="shared" si="24"/>
        <v>0</v>
      </c>
      <c r="G1565" s="67">
        <f>IFERROR(VLOOKUP(B1565,DADOS!$A$2:$H$252,8,0),"")</f>
        <v>60</v>
      </c>
      <c r="H1565" s="73"/>
      <c r="I1565" s="23">
        <f>IFERROR(VLOOKUP(B1565,DADOS!$A$2:$H$252,4,0)*H1565,"")</f>
        <v>0</v>
      </c>
      <c r="J1565" s="74">
        <v>1.0</v>
      </c>
      <c r="K1565" s="25">
        <f>IFERROR(VLOOKUP(B1565,DADOS!$A$2:$H$252,4,0)*J1565,"")</f>
        <v>0.01712</v>
      </c>
      <c r="L1565" s="26" t="str">
        <f t="shared" si="23"/>
        <v/>
      </c>
      <c r="M1565" s="75" t="s">
        <v>83</v>
      </c>
      <c r="N1565" s="75" t="s">
        <v>88</v>
      </c>
      <c r="O1565" s="68"/>
      <c r="P1565" s="68"/>
      <c r="Q1565" s="68"/>
      <c r="R1565" s="68"/>
      <c r="S1565" s="68"/>
      <c r="T1565" s="69"/>
      <c r="U1565" s="69"/>
      <c r="V1565" s="69"/>
      <c r="W1565" s="69"/>
      <c r="X1565" s="69"/>
      <c r="Y1565" s="69"/>
      <c r="Z1565" s="69"/>
      <c r="AA1565" s="69"/>
      <c r="AB1565" s="69"/>
      <c r="AC1565" s="69"/>
      <c r="AD1565" s="69"/>
      <c r="AE1565" s="69"/>
      <c r="AF1565" s="69"/>
      <c r="AG1565" s="69"/>
      <c r="AH1565" s="69"/>
      <c r="AI1565" s="69"/>
      <c r="AJ1565" s="69"/>
    </row>
    <row r="1566">
      <c r="A1566" s="70">
        <v>45862.0</v>
      </c>
      <c r="B1566" s="71" t="s">
        <v>16</v>
      </c>
      <c r="C1566" s="71"/>
      <c r="D1566" s="72"/>
      <c r="E1566" s="72"/>
      <c r="F1566" s="20">
        <f t="shared" si="24"/>
        <v>0</v>
      </c>
      <c r="G1566" s="67">
        <f>IFERROR(VLOOKUP(B1566,DADOS!$A$2:$H$252,8,0),"")</f>
        <v>150</v>
      </c>
      <c r="H1566" s="73"/>
      <c r="I1566" s="23">
        <f>IFERROR(VLOOKUP(B1566,DADOS!$A$2:$H$252,4,0)*H1566,"")</f>
        <v>0</v>
      </c>
      <c r="J1566" s="74">
        <v>2.0</v>
      </c>
      <c r="K1566" s="25">
        <f>IFERROR(VLOOKUP(B1566,DADOS!$A$2:$H$252,4,0)*J1566,"")</f>
        <v>0.0578656</v>
      </c>
      <c r="L1566" s="26" t="str">
        <f t="shared" si="23"/>
        <v/>
      </c>
      <c r="M1566" s="75" t="s">
        <v>83</v>
      </c>
      <c r="N1566" s="75" t="s">
        <v>88</v>
      </c>
      <c r="O1566" s="68"/>
      <c r="P1566" s="68"/>
      <c r="Q1566" s="68"/>
      <c r="R1566" s="68"/>
      <c r="S1566" s="68"/>
      <c r="T1566" s="69"/>
      <c r="U1566" s="69"/>
      <c r="V1566" s="69"/>
      <c r="W1566" s="69"/>
      <c r="X1566" s="69"/>
      <c r="Y1566" s="69"/>
      <c r="Z1566" s="69"/>
      <c r="AA1566" s="69"/>
      <c r="AB1566" s="69"/>
      <c r="AC1566" s="69"/>
      <c r="AD1566" s="69"/>
      <c r="AE1566" s="69"/>
      <c r="AF1566" s="69"/>
      <c r="AG1566" s="69"/>
      <c r="AH1566" s="69"/>
      <c r="AI1566" s="69"/>
      <c r="AJ1566" s="69"/>
    </row>
    <row r="1567">
      <c r="A1567" s="70">
        <v>45862.0</v>
      </c>
      <c r="B1567" s="71" t="s">
        <v>150</v>
      </c>
      <c r="C1567" s="71"/>
      <c r="D1567" s="72"/>
      <c r="E1567" s="72"/>
      <c r="F1567" s="20">
        <f t="shared" si="24"/>
        <v>0</v>
      </c>
      <c r="G1567" s="67">
        <f>IFERROR(VLOOKUP(B1567,DADOS!$A$2:$H$252,8,0),"")</f>
        <v>12</v>
      </c>
      <c r="H1567" s="73"/>
      <c r="I1567" s="23">
        <f>IFERROR(VLOOKUP(B1567,DADOS!$A$2:$H$252,4,0)*H1567,"")</f>
        <v>0</v>
      </c>
      <c r="J1567" s="74">
        <v>6.0</v>
      </c>
      <c r="K1567" s="25">
        <f>IFERROR(VLOOKUP(B1567,DADOS!$A$2:$H$252,4,0)*J1567,"")</f>
        <v>1.0296396</v>
      </c>
      <c r="L1567" s="26" t="str">
        <f t="shared" si="23"/>
        <v/>
      </c>
      <c r="M1567" s="75" t="s">
        <v>110</v>
      </c>
      <c r="N1567" s="75" t="s">
        <v>144</v>
      </c>
      <c r="O1567" s="28"/>
      <c r="P1567" s="28"/>
      <c r="Q1567" s="28"/>
      <c r="R1567" s="28"/>
      <c r="S1567" s="28"/>
    </row>
    <row r="1568">
      <c r="A1568" s="70">
        <v>45862.0</v>
      </c>
      <c r="B1568" s="71" t="s">
        <v>122</v>
      </c>
      <c r="C1568" s="71"/>
      <c r="D1568" s="72"/>
      <c r="E1568" s="72"/>
      <c r="F1568" s="20">
        <f t="shared" si="24"/>
        <v>0</v>
      </c>
      <c r="G1568" s="67">
        <f>IFERROR(VLOOKUP(B1568,DADOS!$A$2:$H$252,8,0),"")</f>
        <v>17</v>
      </c>
      <c r="H1568" s="73"/>
      <c r="I1568" s="23">
        <f>IFERROR(VLOOKUP(B1568,DADOS!$A$2:$H$252,4,0)*H1568,"")</f>
        <v>0</v>
      </c>
      <c r="J1568" s="74">
        <v>4.0</v>
      </c>
      <c r="K1568" s="25">
        <f>IFERROR(VLOOKUP(B1568,DADOS!$A$2:$H$252,4,0)*J1568,"")</f>
        <v>0.6864264</v>
      </c>
      <c r="L1568" s="26" t="str">
        <f t="shared" si="23"/>
        <v/>
      </c>
      <c r="M1568" s="75" t="s">
        <v>39</v>
      </c>
      <c r="N1568" s="75" t="s">
        <v>86</v>
      </c>
      <c r="O1568" s="28"/>
      <c r="P1568" s="28"/>
      <c r="Q1568" s="28"/>
      <c r="R1568" s="28"/>
      <c r="S1568" s="28"/>
    </row>
    <row r="1569">
      <c r="A1569" s="17">
        <v>45863.0</v>
      </c>
      <c r="B1569" s="18" t="s">
        <v>155</v>
      </c>
      <c r="C1569" s="18" t="s">
        <v>166</v>
      </c>
      <c r="D1569" s="19">
        <v>0.3472222222222222</v>
      </c>
      <c r="E1569" s="19"/>
      <c r="F1569" s="20">
        <f t="shared" si="24"/>
        <v>-0.3472222222</v>
      </c>
      <c r="G1569" s="67">
        <f>IFERROR(VLOOKUP(B1569,DADOS!$A$2:$H$252,8,0),"")</f>
        <v>18</v>
      </c>
      <c r="H1569" s="22">
        <v>30.0</v>
      </c>
      <c r="I1569" s="23">
        <f>IFERROR(VLOOKUP(B1569,DADOS!$A$2:$H$252,4,0)*H1569,"")</f>
        <v>11.87058</v>
      </c>
      <c r="J1569" s="36"/>
      <c r="K1569" s="25">
        <f>IFERROR(VLOOKUP(B1569,DADOS!$A$2:$H$252,4,0)*J1569,"")</f>
        <v>0</v>
      </c>
      <c r="L1569" s="26">
        <f t="shared" si="23"/>
        <v>0</v>
      </c>
      <c r="M1569" s="27"/>
      <c r="N1569" s="30"/>
      <c r="O1569" s="28"/>
      <c r="P1569" s="28"/>
      <c r="Q1569" s="28"/>
      <c r="R1569" s="28"/>
      <c r="S1569" s="28"/>
    </row>
    <row r="1570">
      <c r="A1570" s="17">
        <v>45863.0</v>
      </c>
      <c r="B1570" s="18" t="s">
        <v>190</v>
      </c>
      <c r="C1570" s="18" t="s">
        <v>166</v>
      </c>
      <c r="D1570" s="19"/>
      <c r="E1570" s="19">
        <v>0.4861111111111111</v>
      </c>
      <c r="F1570" s="20">
        <f t="shared" si="24"/>
        <v>0.4861111111</v>
      </c>
      <c r="G1570" s="67">
        <f>IFERROR(VLOOKUP(B1570,DADOS!$A$2:$H$252,8,0),"")</f>
        <v>12</v>
      </c>
      <c r="H1570" s="22">
        <v>24.0</v>
      </c>
      <c r="I1570" s="23">
        <f>IFERROR(VLOOKUP(B1570,DADOS!$A$2:$H$252,4,0)*H1570,"")</f>
        <v>9.496464</v>
      </c>
      <c r="J1570" s="36"/>
      <c r="K1570" s="25">
        <f>IFERROR(VLOOKUP(B1570,DADOS!$A$2:$H$252,4,0)*J1570,"")</f>
        <v>0</v>
      </c>
      <c r="L1570" s="26">
        <f t="shared" si="23"/>
        <v>0</v>
      </c>
      <c r="M1570" s="27"/>
      <c r="N1570" s="30"/>
      <c r="O1570" s="28"/>
      <c r="P1570" s="28"/>
      <c r="Q1570" s="28"/>
      <c r="R1570" s="28"/>
      <c r="S1570" s="28"/>
    </row>
    <row r="1571">
      <c r="A1571" s="17">
        <v>45863.0</v>
      </c>
      <c r="B1571" s="18" t="s">
        <v>196</v>
      </c>
      <c r="C1571" s="18" t="s">
        <v>19</v>
      </c>
      <c r="D1571" s="19"/>
      <c r="E1571" s="19"/>
      <c r="F1571" s="20">
        <f t="shared" si="24"/>
        <v>0</v>
      </c>
      <c r="G1571" s="67">
        <f>IFERROR(VLOOKUP(B1571,DADOS!$A$2:$H$252,8,0),"")</f>
        <v>15</v>
      </c>
      <c r="H1571" s="22">
        <v>167.0</v>
      </c>
      <c r="I1571" s="23">
        <f>IFERROR(VLOOKUP(B1571,DADOS!$A$2:$H$252,4,0)*H1571,"")</f>
        <v>10.4212008</v>
      </c>
      <c r="J1571" s="24">
        <v>2.0</v>
      </c>
      <c r="K1571" s="25">
        <f>IFERROR(VLOOKUP(B1571,DADOS!$A$2:$H$252,4,0)*J1571,"")</f>
        <v>0.1248048</v>
      </c>
      <c r="L1571" s="26">
        <f t="shared" si="23"/>
        <v>0</v>
      </c>
      <c r="M1571" s="27"/>
      <c r="N1571" s="30"/>
      <c r="O1571" s="28"/>
      <c r="P1571" s="28"/>
      <c r="Q1571" s="28"/>
      <c r="R1571" s="28"/>
      <c r="S1571" s="28"/>
    </row>
    <row r="1572">
      <c r="A1572" s="17">
        <v>45863.0</v>
      </c>
      <c r="B1572" s="18" t="s">
        <v>25</v>
      </c>
      <c r="C1572" s="18" t="s">
        <v>165</v>
      </c>
      <c r="D1572" s="19"/>
      <c r="E1572" s="19"/>
      <c r="F1572" s="20">
        <f t="shared" si="24"/>
        <v>0</v>
      </c>
      <c r="G1572" s="67">
        <f>IFERROR(VLOOKUP(B1572,DADOS!$A$2:$H$252,8,0),"")</f>
        <v>40</v>
      </c>
      <c r="H1572" s="22">
        <v>113.0</v>
      </c>
      <c r="I1572" s="23">
        <f>IFERROR(VLOOKUP(B1572,DADOS!$A$2:$H$252,4,0)*H1572,"")</f>
        <v>11.704088</v>
      </c>
      <c r="J1572" s="36"/>
      <c r="K1572" s="25">
        <f>IFERROR(VLOOKUP(B1572,DADOS!$A$2:$H$252,4,0)*J1572,"")</f>
        <v>0</v>
      </c>
      <c r="L1572" s="26">
        <f t="shared" si="23"/>
        <v>0</v>
      </c>
      <c r="M1572" s="27"/>
      <c r="N1572" s="30"/>
      <c r="O1572" s="28"/>
      <c r="P1572" s="28"/>
      <c r="Q1572" s="28"/>
      <c r="R1572" s="28"/>
      <c r="S1572" s="28"/>
    </row>
    <row r="1573">
      <c r="A1573" s="17">
        <v>45863.0</v>
      </c>
      <c r="B1573" s="18" t="s">
        <v>18</v>
      </c>
      <c r="C1573" s="18" t="s">
        <v>165</v>
      </c>
      <c r="D1573" s="19"/>
      <c r="E1573" s="19"/>
      <c r="F1573" s="20">
        <f t="shared" si="24"/>
        <v>0</v>
      </c>
      <c r="G1573" s="67">
        <f>IFERROR(VLOOKUP(B1573,DADOS!$A$2:$H$252,8,0),"")</f>
        <v>21</v>
      </c>
      <c r="H1573" s="22">
        <v>30.0</v>
      </c>
      <c r="I1573" s="23">
        <f>IFERROR(VLOOKUP(B1573,DADOS!$A$2:$H$252,4,0)*H1573,"")</f>
        <v>8.78898</v>
      </c>
      <c r="J1573" s="36"/>
      <c r="K1573" s="25">
        <f>IFERROR(VLOOKUP(B1573,DADOS!$A$2:$H$252,4,0)*J1573,"")</f>
        <v>0</v>
      </c>
      <c r="L1573" s="26">
        <f t="shared" si="23"/>
        <v>0</v>
      </c>
      <c r="M1573" s="27"/>
      <c r="N1573" s="30"/>
      <c r="O1573" s="28"/>
      <c r="P1573" s="28"/>
      <c r="Q1573" s="28"/>
      <c r="R1573" s="28"/>
      <c r="S1573" s="28"/>
    </row>
    <row r="1574">
      <c r="A1574" s="17">
        <v>45864.0</v>
      </c>
      <c r="B1574" s="18" t="s">
        <v>71</v>
      </c>
      <c r="C1574" s="18" t="s">
        <v>193</v>
      </c>
      <c r="D1574" s="19"/>
      <c r="E1574" s="19"/>
      <c r="F1574" s="20">
        <f t="shared" si="24"/>
        <v>0</v>
      </c>
      <c r="G1574" s="67">
        <f>IFERROR(VLOOKUP(B1574,DADOS!$A$2:$H$252,8,0),"")</f>
        <v>7</v>
      </c>
      <c r="H1574" s="22">
        <v>30.0</v>
      </c>
      <c r="I1574" s="23">
        <f>IFERROR(VLOOKUP(B1574,DADOS!$A$2:$H$252,4,0)*H1574,"")</f>
        <v>42.072186</v>
      </c>
      <c r="J1574" s="36"/>
      <c r="K1574" s="25">
        <f>IFERROR(VLOOKUP(B1574,DADOS!$A$2:$H$252,4,0)*J1574,"")</f>
        <v>0</v>
      </c>
      <c r="L1574" s="26">
        <f t="shared" si="23"/>
        <v>0</v>
      </c>
      <c r="M1574" s="27"/>
      <c r="N1574" s="30"/>
      <c r="O1574" s="28"/>
      <c r="P1574" s="28"/>
      <c r="Q1574" s="28"/>
      <c r="R1574" s="28"/>
      <c r="S1574" s="28"/>
    </row>
    <row r="1575">
      <c r="A1575" s="17">
        <v>45864.0</v>
      </c>
      <c r="B1575" s="18" t="s">
        <v>26</v>
      </c>
      <c r="C1575" s="18" t="s">
        <v>193</v>
      </c>
      <c r="D1575" s="19"/>
      <c r="E1575" s="19"/>
      <c r="F1575" s="20">
        <f t="shared" si="24"/>
        <v>0</v>
      </c>
      <c r="G1575" s="67">
        <f>IFERROR(VLOOKUP(B1575,DADOS!$A$2:$H$252,8,0),"")</f>
        <v>50</v>
      </c>
      <c r="H1575" s="22">
        <v>56.0</v>
      </c>
      <c r="I1575" s="23">
        <f>IFERROR(VLOOKUP(B1575,DADOS!$A$2:$H$252,4,0)*H1575,"")</f>
        <v>6.3802816</v>
      </c>
      <c r="J1575" s="24">
        <v>3.0</v>
      </c>
      <c r="K1575" s="25">
        <f>IFERROR(VLOOKUP(B1575,DADOS!$A$2:$H$252,4,0)*J1575,"")</f>
        <v>0.3418008</v>
      </c>
      <c r="L1575" s="26">
        <f t="shared" si="23"/>
        <v>0</v>
      </c>
      <c r="M1575" s="27"/>
      <c r="N1575" s="30"/>
      <c r="O1575" s="28"/>
      <c r="P1575" s="28"/>
      <c r="Q1575" s="28"/>
      <c r="R1575" s="28"/>
      <c r="S1575" s="28"/>
    </row>
    <row r="1576">
      <c r="A1576" s="17">
        <v>45866.0</v>
      </c>
      <c r="B1576" s="18" t="s">
        <v>197</v>
      </c>
      <c r="C1576" s="18" t="s">
        <v>19</v>
      </c>
      <c r="D1576" s="19"/>
      <c r="E1576" s="19"/>
      <c r="F1576" s="20">
        <f t="shared" si="24"/>
        <v>0</v>
      </c>
      <c r="G1576" s="67">
        <f>IFERROR(VLOOKUP(B1576,DADOS!$A$2:$H$252,8,0),"")</f>
        <v>15</v>
      </c>
      <c r="H1576" s="22">
        <v>63.0</v>
      </c>
      <c r="I1576" s="23">
        <f>IFERROR(VLOOKUP(B1576,DADOS!$A$2:$H$252,4,0)*H1576,"")</f>
        <v>7.131978</v>
      </c>
      <c r="J1576" s="24">
        <v>2.0</v>
      </c>
      <c r="K1576" s="25">
        <f>IFERROR(VLOOKUP(B1576,DADOS!$A$2:$H$252,4,0)*J1576,"")</f>
        <v>0.226412</v>
      </c>
      <c r="L1576" s="26">
        <f t="shared" si="23"/>
        <v>0</v>
      </c>
      <c r="M1576" s="27"/>
      <c r="N1576" s="30"/>
      <c r="O1576" s="28"/>
      <c r="P1576" s="28"/>
      <c r="Q1576" s="28"/>
      <c r="R1576" s="28"/>
      <c r="S1576" s="28"/>
    </row>
    <row r="1577">
      <c r="A1577" s="17">
        <v>45866.0</v>
      </c>
      <c r="B1577" s="18" t="s">
        <v>122</v>
      </c>
      <c r="C1577" s="18" t="s">
        <v>19</v>
      </c>
      <c r="D1577" s="19"/>
      <c r="E1577" s="19"/>
      <c r="F1577" s="20">
        <f t="shared" si="24"/>
        <v>0</v>
      </c>
      <c r="G1577" s="67">
        <f>IFERROR(VLOOKUP(B1577,DADOS!$A$2:$H$252,8,0),"")</f>
        <v>17</v>
      </c>
      <c r="H1577" s="22">
        <v>20.0</v>
      </c>
      <c r="I1577" s="23">
        <f>IFERROR(VLOOKUP(B1577,DADOS!$A$2:$H$252,4,0)*H1577,"")</f>
        <v>3.432132</v>
      </c>
      <c r="J1577" s="36"/>
      <c r="K1577" s="25">
        <f>IFERROR(VLOOKUP(B1577,DADOS!$A$2:$H$252,4,0)*J1577,"")</f>
        <v>0</v>
      </c>
      <c r="L1577" s="26">
        <f t="shared" si="23"/>
        <v>0</v>
      </c>
      <c r="M1577" s="27"/>
      <c r="N1577" s="30"/>
      <c r="O1577" s="28"/>
      <c r="P1577" s="28"/>
      <c r="Q1577" s="28"/>
      <c r="R1577" s="28"/>
      <c r="S1577" s="28"/>
    </row>
    <row r="1578">
      <c r="A1578" s="17">
        <v>45866.0</v>
      </c>
      <c r="B1578" s="18" t="s">
        <v>18</v>
      </c>
      <c r="C1578" s="18" t="s">
        <v>165</v>
      </c>
      <c r="D1578" s="19"/>
      <c r="E1578" s="19"/>
      <c r="F1578" s="20">
        <f t="shared" si="24"/>
        <v>0</v>
      </c>
      <c r="G1578" s="67">
        <f>IFERROR(VLOOKUP(B1578,DADOS!$A$2:$H$252,8,0),"")</f>
        <v>21</v>
      </c>
      <c r="H1578" s="22">
        <v>90.0</v>
      </c>
      <c r="I1578" s="23">
        <f>IFERROR(VLOOKUP(B1578,DADOS!$A$2:$H$252,4,0)*H1578,"")</f>
        <v>26.36694</v>
      </c>
      <c r="J1578" s="24">
        <v>1.0</v>
      </c>
      <c r="K1578" s="25">
        <f>IFERROR(VLOOKUP(B1578,DADOS!$A$2:$H$252,4,0)*J1578,"")</f>
        <v>0.292966</v>
      </c>
      <c r="L1578" s="26">
        <f t="shared" si="23"/>
        <v>0</v>
      </c>
      <c r="M1578" s="27"/>
      <c r="N1578" s="30"/>
      <c r="O1578" s="28"/>
      <c r="P1578" s="28"/>
      <c r="Q1578" s="28"/>
      <c r="R1578" s="28"/>
      <c r="S1578" s="28"/>
    </row>
    <row r="1579">
      <c r="A1579" s="17">
        <v>45867.0</v>
      </c>
      <c r="B1579" s="18" t="s">
        <v>49</v>
      </c>
      <c r="C1579" s="18" t="s">
        <v>165</v>
      </c>
      <c r="D1579" s="19">
        <v>0.375</v>
      </c>
      <c r="E1579" s="19">
        <v>0.7152777777777778</v>
      </c>
      <c r="F1579" s="20">
        <f t="shared" si="24"/>
        <v>0.3402777778</v>
      </c>
      <c r="G1579" s="67">
        <f>IFERROR(VLOOKUP(B1579,DADOS!$A$2:$H$252,8,0),"")</f>
        <v>42</v>
      </c>
      <c r="H1579" s="22">
        <v>112.0</v>
      </c>
      <c r="I1579" s="23">
        <f>IFERROR(VLOOKUP(B1579,DADOS!$A$2:$H$252,4,0)*H1579,"")</f>
        <v>7.6194272</v>
      </c>
      <c r="J1579" s="24">
        <v>4.0</v>
      </c>
      <c r="K1579" s="25">
        <f>IFERROR(VLOOKUP(B1579,DADOS!$A$2:$H$252,4,0)*J1579,"")</f>
        <v>0.2721224</v>
      </c>
      <c r="L1579" s="26">
        <f t="shared" si="23"/>
        <v>0</v>
      </c>
      <c r="M1579" s="27"/>
      <c r="N1579" s="30"/>
      <c r="O1579" s="28"/>
      <c r="P1579" s="28"/>
      <c r="Q1579" s="28"/>
      <c r="R1579" s="28"/>
      <c r="S1579" s="28"/>
    </row>
    <row r="1580">
      <c r="A1580" s="76">
        <v>45867.0</v>
      </c>
      <c r="B1580" s="77" t="s">
        <v>122</v>
      </c>
      <c r="C1580" s="77"/>
      <c r="D1580" s="78"/>
      <c r="E1580" s="78"/>
      <c r="F1580" s="20">
        <f t="shared" si="24"/>
        <v>0</v>
      </c>
      <c r="G1580" s="67">
        <f>IFERROR(VLOOKUP(B1580,DADOS!$A$2:$H$252,8,0),"")</f>
        <v>17</v>
      </c>
      <c r="H1580" s="79"/>
      <c r="I1580" s="23">
        <f>IFERROR(VLOOKUP(B1580,DADOS!$A$2:$H$252,4,0)*H1580,"")</f>
        <v>0</v>
      </c>
      <c r="J1580" s="80">
        <v>1.0</v>
      </c>
      <c r="K1580" s="25">
        <f>IFERROR(VLOOKUP(B1580,DADOS!$A$2:$H$252,4,0)*J1580,"")</f>
        <v>0.1716066</v>
      </c>
      <c r="L1580" s="26" t="str">
        <f t="shared" si="23"/>
        <v/>
      </c>
      <c r="M1580" s="81" t="s">
        <v>39</v>
      </c>
      <c r="N1580" s="81" t="s">
        <v>86</v>
      </c>
      <c r="O1580" s="28"/>
      <c r="P1580" s="28"/>
      <c r="Q1580" s="28"/>
      <c r="R1580" s="28"/>
      <c r="S1580" s="28"/>
    </row>
    <row r="1581">
      <c r="A1581" s="76">
        <v>45867.0</v>
      </c>
      <c r="B1581" s="77" t="s">
        <v>191</v>
      </c>
      <c r="C1581" s="77"/>
      <c r="D1581" s="78"/>
      <c r="E1581" s="78"/>
      <c r="F1581" s="20">
        <f t="shared" si="24"/>
        <v>0</v>
      </c>
      <c r="G1581" s="67" t="str">
        <f>IFERROR(VLOOKUP(B1581,DADOS!$A$2:$H$252,8,0),"")</f>
        <v/>
      </c>
      <c r="H1581" s="79"/>
      <c r="I1581" s="23">
        <f>IFERROR(VLOOKUP(B1581,DADOS!$A$2:$H$252,4,0)*H1581,"")</f>
        <v>0</v>
      </c>
      <c r="J1581" s="80">
        <v>1.0</v>
      </c>
      <c r="K1581" s="25">
        <f>IFERROR(VLOOKUP(B1581,DADOS!$A$2:$H$252,4,0)*J1581,"")</f>
        <v>0</v>
      </c>
      <c r="L1581" s="26" t="str">
        <f t="shared" si="23"/>
        <v/>
      </c>
      <c r="M1581" s="81" t="s">
        <v>83</v>
      </c>
      <c r="N1581" s="81" t="s">
        <v>198</v>
      </c>
      <c r="O1581" s="82"/>
      <c r="P1581" s="82"/>
      <c r="Q1581" s="82"/>
      <c r="R1581" s="82"/>
      <c r="S1581" s="82"/>
      <c r="T1581" s="83"/>
      <c r="U1581" s="83"/>
      <c r="V1581" s="83"/>
      <c r="W1581" s="83"/>
      <c r="X1581" s="83"/>
      <c r="Y1581" s="83"/>
      <c r="Z1581" s="83"/>
      <c r="AA1581" s="83"/>
      <c r="AB1581" s="83"/>
      <c r="AC1581" s="83"/>
      <c r="AD1581" s="83"/>
      <c r="AE1581" s="83"/>
      <c r="AF1581" s="83"/>
      <c r="AG1581" s="83"/>
      <c r="AH1581" s="83"/>
      <c r="AI1581" s="83"/>
      <c r="AJ1581" s="83"/>
    </row>
    <row r="1582">
      <c r="A1582" s="17">
        <v>45868.0</v>
      </c>
      <c r="B1582" s="18" t="s">
        <v>190</v>
      </c>
      <c r="C1582" s="18" t="s">
        <v>166</v>
      </c>
      <c r="D1582" s="19">
        <v>0.3472222222222222</v>
      </c>
      <c r="E1582" s="19">
        <v>0.4722222222222222</v>
      </c>
      <c r="F1582" s="20">
        <f t="shared" si="24"/>
        <v>0.125</v>
      </c>
      <c r="G1582" s="67">
        <f>IFERROR(VLOOKUP(B1582,DADOS!$A$2:$H$252,8,0),"")</f>
        <v>12</v>
      </c>
      <c r="H1582" s="22">
        <v>44.0</v>
      </c>
      <c r="I1582" s="23">
        <f>IFERROR(VLOOKUP(B1582,DADOS!$A$2:$H$252,4,0)*H1582,"")</f>
        <v>17.410184</v>
      </c>
      <c r="J1582" s="36"/>
      <c r="K1582" s="25">
        <f>IFERROR(VLOOKUP(B1582,DADOS!$A$2:$H$252,4,0)*J1582,"")</f>
        <v>0</v>
      </c>
      <c r="L1582" s="26">
        <f t="shared" si="23"/>
        <v>0</v>
      </c>
      <c r="M1582" s="27"/>
      <c r="N1582" s="30"/>
      <c r="O1582" s="82"/>
      <c r="P1582" s="82"/>
      <c r="Q1582" s="82"/>
      <c r="R1582" s="82"/>
      <c r="S1582" s="82"/>
      <c r="T1582" s="83"/>
      <c r="U1582" s="83"/>
      <c r="V1582" s="83"/>
      <c r="W1582" s="83"/>
      <c r="X1582" s="83"/>
      <c r="Y1582" s="83"/>
      <c r="Z1582" s="83"/>
      <c r="AA1582" s="83"/>
      <c r="AB1582" s="83"/>
      <c r="AC1582" s="83"/>
      <c r="AD1582" s="83"/>
      <c r="AE1582" s="83"/>
      <c r="AF1582" s="83"/>
      <c r="AG1582" s="83"/>
      <c r="AH1582" s="83"/>
      <c r="AI1582" s="83"/>
      <c r="AJ1582" s="83"/>
    </row>
    <row r="1583">
      <c r="A1583" s="17">
        <v>45868.0</v>
      </c>
      <c r="B1583" s="18" t="s">
        <v>49</v>
      </c>
      <c r="C1583" s="18" t="s">
        <v>165</v>
      </c>
      <c r="D1583" s="19">
        <v>0.3159722222222222</v>
      </c>
      <c r="E1583" s="19">
        <v>0.3958333333333333</v>
      </c>
      <c r="F1583" s="20">
        <f t="shared" si="24"/>
        <v>0.07986111111</v>
      </c>
      <c r="G1583" s="67">
        <f>IFERROR(VLOOKUP(B1583,DADOS!$A$2:$H$252,8,0),"")</f>
        <v>42</v>
      </c>
      <c r="H1583" s="22">
        <v>33.0</v>
      </c>
      <c r="I1583" s="23">
        <f>IFERROR(VLOOKUP(B1583,DADOS!$A$2:$H$252,4,0)*H1583,"")</f>
        <v>2.2450098</v>
      </c>
      <c r="J1583" s="36"/>
      <c r="K1583" s="25">
        <f>IFERROR(VLOOKUP(B1583,DADOS!$A$2:$H$252,4,0)*J1583,"")</f>
        <v>0</v>
      </c>
      <c r="L1583" s="26">
        <f t="shared" si="23"/>
        <v>0</v>
      </c>
      <c r="M1583" s="27"/>
      <c r="N1583" s="30"/>
      <c r="O1583" s="28"/>
      <c r="P1583" s="28"/>
      <c r="Q1583" s="28"/>
      <c r="R1583" s="28"/>
      <c r="S1583" s="28"/>
    </row>
    <row r="1584">
      <c r="A1584" s="17">
        <v>45868.0</v>
      </c>
      <c r="B1584" s="18" t="s">
        <v>119</v>
      </c>
      <c r="C1584" s="18" t="s">
        <v>165</v>
      </c>
      <c r="D1584" s="19">
        <v>0.4097222222222222</v>
      </c>
      <c r="E1584" s="19">
        <v>0.71875</v>
      </c>
      <c r="F1584" s="20">
        <f t="shared" si="24"/>
        <v>0.3090277778</v>
      </c>
      <c r="G1584" s="67">
        <f>IFERROR(VLOOKUP(B1584,DADOS!$A$2:$H$252,8,0),"")</f>
        <v>25</v>
      </c>
      <c r="H1584" s="22">
        <v>34.0</v>
      </c>
      <c r="I1584" s="23">
        <f>IFERROR(VLOOKUP(B1584,DADOS!$A$2:$H$252,4,0)*H1584,"")</f>
        <v>4.4267184</v>
      </c>
      <c r="J1584" s="36"/>
      <c r="K1584" s="25">
        <f>IFERROR(VLOOKUP(B1584,DADOS!$A$2:$H$252,4,0)*J1584,"")</f>
        <v>0</v>
      </c>
      <c r="L1584" s="26">
        <f t="shared" si="23"/>
        <v>0</v>
      </c>
      <c r="M1584" s="27"/>
      <c r="N1584" s="30"/>
      <c r="O1584" s="28"/>
      <c r="P1584" s="28"/>
      <c r="Q1584" s="28"/>
      <c r="R1584" s="28"/>
      <c r="S1584" s="28"/>
    </row>
    <row r="1585">
      <c r="A1585" s="17">
        <v>45869.0</v>
      </c>
      <c r="B1585" s="18" t="s">
        <v>115</v>
      </c>
      <c r="C1585" s="18" t="s">
        <v>166</v>
      </c>
      <c r="D1585" s="19">
        <v>0.3333333333333333</v>
      </c>
      <c r="E1585" s="19">
        <v>0.4722222222222222</v>
      </c>
      <c r="F1585" s="20">
        <f t="shared" si="24"/>
        <v>0.1388888889</v>
      </c>
      <c r="G1585" s="67">
        <f>IFERROR(VLOOKUP(B1585,DADOS!$A$2:$H$252,8,0),"")</f>
        <v>12</v>
      </c>
      <c r="H1585" s="22">
        <v>39.0</v>
      </c>
      <c r="I1585" s="23">
        <f>IFERROR(VLOOKUP(B1585,DADOS!$A$2:$H$252,4,0)*H1585,"")</f>
        <v>11.425674</v>
      </c>
      <c r="J1585" s="24">
        <v>1.0</v>
      </c>
      <c r="K1585" s="25">
        <f>IFERROR(VLOOKUP(B1585,DADOS!$A$2:$H$252,4,0)*J1585,"")</f>
        <v>0.292966</v>
      </c>
      <c r="L1585" s="26">
        <f t="shared" si="23"/>
        <v>0</v>
      </c>
      <c r="M1585" s="27"/>
      <c r="N1585" s="30"/>
      <c r="O1585" s="28"/>
      <c r="P1585" s="28"/>
      <c r="Q1585" s="28"/>
      <c r="R1585" s="28"/>
      <c r="S1585" s="28"/>
    </row>
    <row r="1586">
      <c r="A1586" s="17">
        <v>45869.0</v>
      </c>
      <c r="B1586" s="18" t="s">
        <v>119</v>
      </c>
      <c r="C1586" s="18" t="s">
        <v>165</v>
      </c>
      <c r="D1586" s="19"/>
      <c r="E1586" s="19"/>
      <c r="F1586" s="20">
        <f t="shared" si="24"/>
        <v>0</v>
      </c>
      <c r="G1586" s="67">
        <f>IFERROR(VLOOKUP(B1586,DADOS!$A$2:$H$252,8,0),"")</f>
        <v>25</v>
      </c>
      <c r="H1586" s="22">
        <v>5.0</v>
      </c>
      <c r="I1586" s="23">
        <f>IFERROR(VLOOKUP(B1586,DADOS!$A$2:$H$252,4,0)*H1586,"")</f>
        <v>0.650988</v>
      </c>
      <c r="J1586" s="24">
        <v>1.0</v>
      </c>
      <c r="K1586" s="25">
        <f>IFERROR(VLOOKUP(B1586,DADOS!$A$2:$H$252,4,0)*J1586,"")</f>
        <v>0.1301976</v>
      </c>
      <c r="L1586" s="26">
        <f t="shared" si="23"/>
        <v>0</v>
      </c>
      <c r="M1586" s="27"/>
      <c r="N1586" s="30"/>
      <c r="O1586" s="28"/>
      <c r="P1586" s="28"/>
      <c r="Q1586" s="28"/>
      <c r="R1586" s="28"/>
      <c r="S1586" s="28"/>
    </row>
    <row r="1587">
      <c r="A1587" s="17">
        <v>45869.0</v>
      </c>
      <c r="B1587" s="18" t="s">
        <v>28</v>
      </c>
      <c r="C1587" s="18" t="s">
        <v>165</v>
      </c>
      <c r="D1587" s="19"/>
      <c r="E1587" s="19"/>
      <c r="F1587" s="20">
        <f t="shared" si="24"/>
        <v>0</v>
      </c>
      <c r="G1587" s="67">
        <f>IFERROR(VLOOKUP(B1587,DADOS!$A$2:$H$252,8,0),"")</f>
        <v>25</v>
      </c>
      <c r="H1587" s="22">
        <v>31.0</v>
      </c>
      <c r="I1587" s="23">
        <f>IFERROR(VLOOKUP(B1587,DADOS!$A$2:$H$252,4,0)*H1587,"")</f>
        <v>3.5319416</v>
      </c>
      <c r="J1587" s="24">
        <v>2.0</v>
      </c>
      <c r="K1587" s="25">
        <f>IFERROR(VLOOKUP(B1587,DADOS!$A$2:$H$252,4,0)*J1587,"")</f>
        <v>0.2278672</v>
      </c>
      <c r="L1587" s="26">
        <f t="shared" si="23"/>
        <v>0</v>
      </c>
      <c r="M1587" s="27"/>
      <c r="N1587" s="30"/>
      <c r="O1587" s="28"/>
      <c r="P1587" s="28"/>
      <c r="Q1587" s="28"/>
      <c r="R1587" s="28"/>
      <c r="S1587" s="28"/>
    </row>
    <row r="1588">
      <c r="A1588" s="17">
        <v>45870.0</v>
      </c>
      <c r="B1588" s="18" t="s">
        <v>71</v>
      </c>
      <c r="C1588" s="18" t="s">
        <v>166</v>
      </c>
      <c r="D1588" s="19">
        <v>0.3333333333333333</v>
      </c>
      <c r="E1588" s="19">
        <v>0.4861111111111111</v>
      </c>
      <c r="F1588" s="20">
        <f t="shared" si="24"/>
        <v>0.1527777778</v>
      </c>
      <c r="G1588" s="67">
        <f>IFERROR(VLOOKUP(B1588,DADOS!$A$2:$H$252,8,0),"")</f>
        <v>7</v>
      </c>
      <c r="H1588" s="22">
        <v>30.0</v>
      </c>
      <c r="I1588" s="23">
        <f>IFERROR(VLOOKUP(B1588,DADOS!$A$2:$H$252,4,0)*H1588,"")</f>
        <v>42.072186</v>
      </c>
      <c r="J1588" s="36"/>
      <c r="K1588" s="25">
        <f>IFERROR(VLOOKUP(B1588,DADOS!$A$2:$H$252,4,0)*J1588,"")</f>
        <v>0</v>
      </c>
      <c r="L1588" s="26">
        <f t="shared" si="23"/>
        <v>0</v>
      </c>
      <c r="M1588" s="27"/>
      <c r="N1588" s="30"/>
      <c r="O1588" s="28"/>
      <c r="P1588" s="28"/>
      <c r="Q1588" s="28"/>
      <c r="R1588" s="28"/>
      <c r="S1588" s="28"/>
    </row>
    <row r="1589">
      <c r="A1589" s="17">
        <v>45870.0</v>
      </c>
      <c r="B1589" s="18" t="s">
        <v>28</v>
      </c>
      <c r="C1589" s="18" t="s">
        <v>165</v>
      </c>
      <c r="D1589" s="19">
        <v>0.3194444444444444</v>
      </c>
      <c r="E1589" s="19">
        <v>0.5625</v>
      </c>
      <c r="F1589" s="20">
        <f t="shared" si="24"/>
        <v>0.2430555556</v>
      </c>
      <c r="G1589" s="67">
        <f>IFERROR(VLOOKUP(B1589,DADOS!$A$2:$H$252,8,0),"")</f>
        <v>25</v>
      </c>
      <c r="H1589" s="22">
        <v>46.0</v>
      </c>
      <c r="I1589" s="23">
        <f>IFERROR(VLOOKUP(B1589,DADOS!$A$2:$H$252,4,0)*H1589,"")</f>
        <v>5.2409456</v>
      </c>
      <c r="J1589" s="24">
        <v>1.0</v>
      </c>
      <c r="K1589" s="25">
        <f>IFERROR(VLOOKUP(B1589,DADOS!$A$2:$H$252,4,0)*J1589,"")</f>
        <v>0.1139336</v>
      </c>
      <c r="L1589" s="26">
        <f t="shared" si="23"/>
        <v>0</v>
      </c>
      <c r="M1589" s="27"/>
      <c r="N1589" s="30"/>
      <c r="O1589" s="28"/>
      <c r="P1589" s="28"/>
      <c r="Q1589" s="28"/>
      <c r="R1589" s="28"/>
      <c r="S1589" s="28"/>
    </row>
    <row r="1590">
      <c r="A1590" s="17">
        <v>45870.0</v>
      </c>
      <c r="B1590" s="18" t="s">
        <v>199</v>
      </c>
      <c r="C1590" s="18" t="s">
        <v>165</v>
      </c>
      <c r="D1590" s="19">
        <v>0.5902777777777778</v>
      </c>
      <c r="E1590" s="19">
        <v>0.6354166666666666</v>
      </c>
      <c r="F1590" s="20">
        <f t="shared" si="24"/>
        <v>0.04513888889</v>
      </c>
      <c r="G1590" s="67">
        <f>IFERROR(VLOOKUP(B1590,DADOS!$A$2:$H$252,8,0),"")</f>
        <v>15</v>
      </c>
      <c r="H1590" s="22">
        <v>21.0</v>
      </c>
      <c r="I1590" s="23">
        <f>IFERROR(VLOOKUP(B1590,DADOS!$A$2:$H$252,4,0)*H1590,"")</f>
        <v>6.489336</v>
      </c>
      <c r="J1590" s="36"/>
      <c r="K1590" s="25">
        <f>IFERROR(VLOOKUP(B1590,DADOS!$A$2:$H$252,4,0)*J1590,"")</f>
        <v>0</v>
      </c>
      <c r="L1590" s="26">
        <f t="shared" si="23"/>
        <v>0</v>
      </c>
      <c r="M1590" s="27"/>
      <c r="N1590" s="30"/>
      <c r="O1590" s="84"/>
      <c r="P1590" s="84"/>
      <c r="Q1590" s="84"/>
      <c r="R1590" s="84"/>
      <c r="S1590" s="84"/>
      <c r="T1590" s="85"/>
      <c r="U1590" s="85"/>
      <c r="V1590" s="85"/>
      <c r="W1590" s="85"/>
      <c r="X1590" s="85"/>
      <c r="Y1590" s="85"/>
      <c r="Z1590" s="85"/>
      <c r="AA1590" s="85"/>
      <c r="AB1590" s="85"/>
      <c r="AC1590" s="85"/>
      <c r="AD1590" s="85"/>
      <c r="AE1590" s="85"/>
      <c r="AF1590" s="85"/>
      <c r="AG1590" s="85"/>
      <c r="AH1590" s="85"/>
      <c r="AI1590" s="85"/>
      <c r="AJ1590" s="85"/>
    </row>
    <row r="1591">
      <c r="A1591" s="86">
        <v>45870.0</v>
      </c>
      <c r="B1591" s="87" t="s">
        <v>190</v>
      </c>
      <c r="C1591" s="87" t="s">
        <v>80</v>
      </c>
      <c r="D1591" s="88"/>
      <c r="E1591" s="88"/>
      <c r="F1591" s="20">
        <f t="shared" si="24"/>
        <v>0</v>
      </c>
      <c r="G1591" s="67">
        <f>IFERROR(VLOOKUP(B1591,DADOS!$A$2:$H$252,8,0),"")</f>
        <v>12</v>
      </c>
      <c r="H1591" s="89"/>
      <c r="I1591" s="23">
        <f>IFERROR(VLOOKUP(B1591,DADOS!$A$2:$H$252,4,0)*H1591,"")</f>
        <v>0</v>
      </c>
      <c r="J1591" s="90">
        <v>4.0</v>
      </c>
      <c r="K1591" s="25">
        <f>IFERROR(VLOOKUP(B1591,DADOS!$A$2:$H$252,4,0)*J1591,"")</f>
        <v>1.582744</v>
      </c>
      <c r="L1591" s="26">
        <f t="shared" si="23"/>
        <v>0</v>
      </c>
      <c r="M1591" s="91" t="s">
        <v>39</v>
      </c>
      <c r="N1591" s="91" t="s">
        <v>86</v>
      </c>
      <c r="O1591" s="28"/>
      <c r="P1591" s="28"/>
      <c r="Q1591" s="28"/>
      <c r="R1591" s="28"/>
      <c r="S1591" s="28"/>
    </row>
    <row r="1592">
      <c r="A1592" s="17">
        <v>45871.0</v>
      </c>
      <c r="B1592" s="18" t="s">
        <v>71</v>
      </c>
      <c r="C1592" s="18" t="s">
        <v>193</v>
      </c>
      <c r="D1592" s="19"/>
      <c r="E1592" s="19"/>
      <c r="F1592" s="20">
        <f t="shared" si="24"/>
        <v>0</v>
      </c>
      <c r="G1592" s="67">
        <f>IFERROR(VLOOKUP(B1592,DADOS!$A$2:$H$252,8,0),"")</f>
        <v>7</v>
      </c>
      <c r="H1592" s="22">
        <v>23.0</v>
      </c>
      <c r="I1592" s="23">
        <f>IFERROR(VLOOKUP(B1592,DADOS!$A$2:$H$252,4,0)*H1592,"")</f>
        <v>32.2553426</v>
      </c>
      <c r="J1592" s="36"/>
      <c r="K1592" s="25">
        <f>IFERROR(VLOOKUP(B1592,DADOS!$A$2:$H$252,4,0)*J1592,"")</f>
        <v>0</v>
      </c>
      <c r="L1592" s="26">
        <f t="shared" si="23"/>
        <v>0</v>
      </c>
      <c r="M1592" s="27"/>
      <c r="N1592" s="30"/>
      <c r="O1592" s="28"/>
      <c r="P1592" s="28"/>
      <c r="Q1592" s="28"/>
      <c r="R1592" s="28"/>
      <c r="S1592" s="28"/>
    </row>
    <row r="1593">
      <c r="A1593" s="17">
        <v>45871.0</v>
      </c>
      <c r="B1593" s="18" t="s">
        <v>26</v>
      </c>
      <c r="C1593" s="18" t="s">
        <v>193</v>
      </c>
      <c r="D1593" s="19"/>
      <c r="E1593" s="19"/>
      <c r="F1593" s="20">
        <f t="shared" si="24"/>
        <v>0</v>
      </c>
      <c r="G1593" s="67">
        <f>IFERROR(VLOOKUP(B1593,DADOS!$A$2:$H$252,8,0),"")</f>
        <v>50</v>
      </c>
      <c r="H1593" s="22">
        <v>87.0</v>
      </c>
      <c r="I1593" s="23">
        <f>IFERROR(VLOOKUP(B1593,DADOS!$A$2:$H$252,4,0)*H1593,"")</f>
        <v>9.9122232</v>
      </c>
      <c r="J1593" s="24">
        <v>2.0</v>
      </c>
      <c r="K1593" s="25">
        <f>IFERROR(VLOOKUP(B1593,DADOS!$A$2:$H$252,4,0)*J1593,"")</f>
        <v>0.2278672</v>
      </c>
      <c r="L1593" s="26">
        <f t="shared" si="23"/>
        <v>0</v>
      </c>
      <c r="M1593" s="27"/>
      <c r="N1593" s="30"/>
      <c r="O1593" s="28"/>
      <c r="P1593" s="28"/>
      <c r="Q1593" s="28"/>
      <c r="R1593" s="28"/>
      <c r="S1593" s="28"/>
    </row>
    <row r="1594">
      <c r="A1594" s="17">
        <v>45873.0</v>
      </c>
      <c r="B1594" s="18" t="s">
        <v>178</v>
      </c>
      <c r="C1594" s="18" t="s">
        <v>19</v>
      </c>
      <c r="D1594" s="19"/>
      <c r="E1594" s="19"/>
      <c r="F1594" s="20">
        <f t="shared" si="24"/>
        <v>0</v>
      </c>
      <c r="G1594" s="67">
        <f>IFERROR(VLOOKUP(B1594,DADOS!$A$2:$H$252,8,0),"")</f>
        <v>35</v>
      </c>
      <c r="H1594" s="22">
        <v>50.0</v>
      </c>
      <c r="I1594" s="23">
        <f>IFERROR(VLOOKUP(B1594,DADOS!$A$2:$H$252,4,0)*H1594,"")</f>
        <v>10.593</v>
      </c>
      <c r="J1594" s="36"/>
      <c r="K1594" s="25">
        <f>IFERROR(VLOOKUP(B1594,DADOS!$A$2:$H$252,4,0)*J1594,"")</f>
        <v>0</v>
      </c>
      <c r="L1594" s="26">
        <f t="shared" si="23"/>
        <v>0</v>
      </c>
      <c r="M1594" s="27"/>
      <c r="N1594" s="30"/>
      <c r="O1594" s="28"/>
      <c r="P1594" s="28"/>
      <c r="Q1594" s="28"/>
      <c r="R1594" s="28"/>
      <c r="S1594" s="28"/>
    </row>
    <row r="1595">
      <c r="A1595" s="17">
        <v>45873.0</v>
      </c>
      <c r="B1595" s="18" t="s">
        <v>185</v>
      </c>
      <c r="C1595" s="18" t="s">
        <v>19</v>
      </c>
      <c r="D1595" s="19"/>
      <c r="E1595" s="19"/>
      <c r="F1595" s="20">
        <f t="shared" si="24"/>
        <v>0</v>
      </c>
      <c r="G1595" s="67">
        <f>IFERROR(VLOOKUP(B1595,DADOS!$A$2:$H$252,8,0),"")</f>
        <v>35</v>
      </c>
      <c r="H1595" s="22">
        <v>30.0</v>
      </c>
      <c r="I1595" s="23">
        <f>IFERROR(VLOOKUP(B1595,DADOS!$A$2:$H$252,4,0)*H1595,"")</f>
        <v>6.3558</v>
      </c>
      <c r="J1595" s="36"/>
      <c r="K1595" s="25">
        <f>IFERROR(VLOOKUP(B1595,DADOS!$A$2:$H$252,4,0)*J1595,"")</f>
        <v>0</v>
      </c>
      <c r="L1595" s="26">
        <f t="shared" si="23"/>
        <v>0</v>
      </c>
      <c r="M1595" s="27"/>
      <c r="N1595" s="30"/>
      <c r="O1595" s="28"/>
      <c r="P1595" s="28"/>
      <c r="Q1595" s="28"/>
      <c r="R1595" s="28"/>
      <c r="S1595" s="28"/>
    </row>
    <row r="1596">
      <c r="A1596" s="17">
        <v>45873.0</v>
      </c>
      <c r="B1596" s="18" t="s">
        <v>199</v>
      </c>
      <c r="C1596" s="18" t="s">
        <v>165</v>
      </c>
      <c r="D1596" s="29">
        <v>0.3229166666666667</v>
      </c>
      <c r="E1596" s="19">
        <v>0.4097222222222222</v>
      </c>
      <c r="F1596" s="20">
        <f t="shared" si="24"/>
        <v>0.08680555556</v>
      </c>
      <c r="G1596" s="67">
        <f>IFERROR(VLOOKUP(B1596,DADOS!$A$2:$H$252,8,0),"")</f>
        <v>15</v>
      </c>
      <c r="H1596" s="22">
        <v>27.0</v>
      </c>
      <c r="I1596" s="23">
        <f>IFERROR(VLOOKUP(B1596,DADOS!$A$2:$H$252,4,0)*H1596,"")</f>
        <v>8.343432</v>
      </c>
      <c r="J1596" s="24">
        <v>2.0</v>
      </c>
      <c r="K1596" s="25">
        <f>IFERROR(VLOOKUP(B1596,DADOS!$A$2:$H$252,4,0)*J1596,"")</f>
        <v>0.618032</v>
      </c>
      <c r="L1596" s="26">
        <f t="shared" si="23"/>
        <v>0</v>
      </c>
      <c r="M1596" s="27"/>
      <c r="N1596" s="30"/>
      <c r="O1596" s="28"/>
      <c r="P1596" s="28"/>
      <c r="Q1596" s="28"/>
      <c r="R1596" s="28"/>
      <c r="S1596" s="28"/>
    </row>
    <row r="1597">
      <c r="A1597" s="17">
        <v>45874.0</v>
      </c>
      <c r="B1597" s="18" t="s">
        <v>22</v>
      </c>
      <c r="C1597" s="18" t="s">
        <v>166</v>
      </c>
      <c r="D1597" s="19"/>
      <c r="E1597" s="19"/>
      <c r="F1597" s="20">
        <f t="shared" si="24"/>
        <v>0</v>
      </c>
      <c r="G1597" s="67">
        <f>IFERROR(VLOOKUP(B1597,DADOS!$A$2:$H$252,8,0),"")</f>
        <v>15</v>
      </c>
      <c r="H1597" s="92">
        <v>40.0</v>
      </c>
      <c r="I1597" s="23">
        <f>IFERROR(VLOOKUP(B1597,DADOS!$A$2:$H$252,4,0)*H1597,"")</f>
        <v>24.491016</v>
      </c>
      <c r="J1597" s="36"/>
      <c r="K1597" s="25">
        <f>IFERROR(VLOOKUP(B1597,DADOS!$A$2:$H$252,4,0)*J1597,"")</f>
        <v>0</v>
      </c>
      <c r="L1597" s="26">
        <f t="shared" si="23"/>
        <v>0</v>
      </c>
      <c r="M1597" s="27"/>
      <c r="N1597" s="30"/>
      <c r="O1597" s="28"/>
      <c r="P1597" s="28"/>
      <c r="Q1597" s="28"/>
      <c r="R1597" s="28"/>
      <c r="S1597" s="28"/>
    </row>
    <row r="1598">
      <c r="A1598" s="17">
        <v>45874.0</v>
      </c>
      <c r="B1598" s="18" t="s">
        <v>16</v>
      </c>
      <c r="C1598" s="18" t="s">
        <v>65</v>
      </c>
      <c r="D1598" s="19"/>
      <c r="E1598" s="19"/>
      <c r="F1598" s="20">
        <f t="shared" si="24"/>
        <v>0</v>
      </c>
      <c r="G1598" s="67">
        <f>IFERROR(VLOOKUP(B1598,DADOS!$A$2:$H$252,8,0),"")</f>
        <v>150</v>
      </c>
      <c r="H1598" s="22">
        <v>1069.0</v>
      </c>
      <c r="I1598" s="23">
        <f>IFERROR(VLOOKUP(B1598,DADOS!$A$2:$H$252,4,0)*H1598,"")</f>
        <v>30.9291632</v>
      </c>
      <c r="J1598" s="24">
        <v>8.0</v>
      </c>
      <c r="K1598" s="25">
        <f>IFERROR(VLOOKUP(B1598,DADOS!$A$2:$H$252,4,0)*J1598,"")</f>
        <v>0.2314624</v>
      </c>
      <c r="L1598" s="26">
        <f t="shared" si="23"/>
        <v>0</v>
      </c>
      <c r="M1598" s="27"/>
      <c r="N1598" s="30"/>
      <c r="O1598" s="28"/>
      <c r="P1598" s="28"/>
      <c r="Q1598" s="28"/>
      <c r="R1598" s="28"/>
      <c r="S1598" s="28"/>
    </row>
    <row r="1599">
      <c r="A1599" s="17">
        <v>45874.0</v>
      </c>
      <c r="B1599" s="18" t="s">
        <v>41</v>
      </c>
      <c r="C1599" s="18" t="s">
        <v>165</v>
      </c>
      <c r="D1599" s="19"/>
      <c r="E1599" s="19"/>
      <c r="F1599" s="20">
        <f t="shared" si="24"/>
        <v>0</v>
      </c>
      <c r="G1599" s="67">
        <f>IFERROR(VLOOKUP(B1599,DADOS!$A$2:$H$252,8,0),"")</f>
        <v>14</v>
      </c>
      <c r="H1599" s="22">
        <v>44.0</v>
      </c>
      <c r="I1599" s="23">
        <f>IFERROR(VLOOKUP(B1599,DADOS!$A$2:$H$252,4,0)*H1599,"")</f>
        <v>12.203136</v>
      </c>
      <c r="J1599" s="24">
        <v>4.0</v>
      </c>
      <c r="K1599" s="25">
        <f>IFERROR(VLOOKUP(B1599,DADOS!$A$2:$H$252,4,0)*J1599,"")</f>
        <v>1.109376</v>
      </c>
      <c r="L1599" s="26">
        <f t="shared" si="23"/>
        <v>0</v>
      </c>
      <c r="M1599" s="27"/>
      <c r="N1599" s="30"/>
      <c r="O1599" s="28"/>
      <c r="P1599" s="28"/>
      <c r="Q1599" s="28"/>
      <c r="R1599" s="28"/>
      <c r="S1599" s="28"/>
    </row>
    <row r="1600">
      <c r="A1600" s="17">
        <v>45875.0</v>
      </c>
      <c r="B1600" s="18" t="s">
        <v>200</v>
      </c>
      <c r="C1600" s="18" t="s">
        <v>19</v>
      </c>
      <c r="D1600" s="19"/>
      <c r="E1600" s="19"/>
      <c r="F1600" s="20">
        <f t="shared" si="24"/>
        <v>0</v>
      </c>
      <c r="G1600" s="67">
        <f>IFERROR(VLOOKUP(B1600,DADOS!$A$2:$H$252,8,0),"")</f>
        <v>37</v>
      </c>
      <c r="H1600" s="22">
        <v>18.0</v>
      </c>
      <c r="I1600" s="23">
        <f>IFERROR(VLOOKUP(B1600,DADOS!$A$2:$H$252,4,0)*H1600,"")</f>
        <v>7.122348</v>
      </c>
      <c r="J1600" s="24">
        <v>2.0</v>
      </c>
      <c r="K1600" s="25">
        <f>IFERROR(VLOOKUP(B1600,DADOS!$A$2:$H$252,4,0)*J1600,"")</f>
        <v>0.791372</v>
      </c>
      <c r="L1600" s="26">
        <f t="shared" si="23"/>
        <v>0</v>
      </c>
      <c r="M1600" s="27"/>
      <c r="N1600" s="30"/>
      <c r="O1600" s="28"/>
      <c r="P1600" s="28"/>
      <c r="Q1600" s="28"/>
      <c r="R1600" s="28"/>
      <c r="S1600" s="28"/>
    </row>
    <row r="1601">
      <c r="A1601" s="17">
        <v>45875.0</v>
      </c>
      <c r="B1601" s="18" t="s">
        <v>41</v>
      </c>
      <c r="C1601" s="18" t="s">
        <v>165</v>
      </c>
      <c r="D1601" s="19"/>
      <c r="E1601" s="19"/>
      <c r="F1601" s="20">
        <f t="shared" si="24"/>
        <v>0</v>
      </c>
      <c r="G1601" s="67">
        <f>IFERROR(VLOOKUP(B1601,DADOS!$A$2:$H$252,8,0),"")</f>
        <v>14</v>
      </c>
      <c r="H1601" s="22">
        <v>19.0</v>
      </c>
      <c r="I1601" s="23">
        <f>IFERROR(VLOOKUP(B1601,DADOS!$A$2:$H$252,4,0)*H1601,"")</f>
        <v>5.269536</v>
      </c>
      <c r="J1601" s="36"/>
      <c r="K1601" s="25">
        <f>IFERROR(VLOOKUP(B1601,DADOS!$A$2:$H$252,4,0)*J1601,"")</f>
        <v>0</v>
      </c>
      <c r="L1601" s="26">
        <f t="shared" si="23"/>
        <v>0</v>
      </c>
      <c r="M1601" s="27"/>
      <c r="N1601" s="30"/>
      <c r="O1601" s="28"/>
      <c r="P1601" s="28"/>
      <c r="Q1601" s="28"/>
      <c r="R1601" s="28"/>
      <c r="S1601" s="28"/>
    </row>
    <row r="1602">
      <c r="A1602" s="17">
        <v>45875.0</v>
      </c>
      <c r="B1602" s="18" t="s">
        <v>25</v>
      </c>
      <c r="C1602" s="18" t="s">
        <v>165</v>
      </c>
      <c r="D1602" s="19">
        <v>0.4930555555555556</v>
      </c>
      <c r="E1602" s="19">
        <v>0.71875</v>
      </c>
      <c r="F1602" s="20">
        <f t="shared" si="24"/>
        <v>0.2256944444</v>
      </c>
      <c r="G1602" s="67">
        <f>IFERROR(VLOOKUP(B1602,DADOS!$A$2:$H$252,8,0),"")</f>
        <v>40</v>
      </c>
      <c r="H1602" s="22">
        <v>70.0</v>
      </c>
      <c r="I1602" s="23">
        <f>IFERROR(VLOOKUP(B1602,DADOS!$A$2:$H$252,4,0)*H1602,"")</f>
        <v>7.25032</v>
      </c>
      <c r="J1602" s="24">
        <v>3.0</v>
      </c>
      <c r="K1602" s="25">
        <f>IFERROR(VLOOKUP(B1602,DADOS!$A$2:$H$252,4,0)*J1602,"")</f>
        <v>0.310728</v>
      </c>
      <c r="L1602" s="26">
        <f t="shared" si="23"/>
        <v>0</v>
      </c>
      <c r="M1602" s="27"/>
      <c r="N1602" s="30"/>
      <c r="O1602" s="28"/>
      <c r="P1602" s="28"/>
      <c r="Q1602" s="28"/>
      <c r="R1602" s="28"/>
      <c r="S1602" s="28"/>
    </row>
    <row r="1603">
      <c r="A1603" s="17">
        <v>45876.0</v>
      </c>
      <c r="B1603" s="18" t="s">
        <v>64</v>
      </c>
      <c r="C1603" s="18" t="s">
        <v>19</v>
      </c>
      <c r="D1603" s="19"/>
      <c r="E1603" s="19"/>
      <c r="F1603" s="20">
        <f t="shared" si="24"/>
        <v>0</v>
      </c>
      <c r="G1603" s="67">
        <f>IFERROR(VLOOKUP(B1603,DADOS!$A$2:$H$252,8,0),"")</f>
        <v>21</v>
      </c>
      <c r="H1603" s="22">
        <v>28.0</v>
      </c>
      <c r="I1603" s="23">
        <f>IFERROR(VLOOKUP(B1603,DADOS!$A$2:$H$252,4,0)*H1603,"")</f>
        <v>6.525288</v>
      </c>
      <c r="J1603" s="24">
        <v>2.0</v>
      </c>
      <c r="K1603" s="25">
        <f>IFERROR(VLOOKUP(B1603,DADOS!$A$2:$H$252,4,0)*J1603,"")</f>
        <v>0.466092</v>
      </c>
      <c r="L1603" s="26">
        <f t="shared" si="23"/>
        <v>0</v>
      </c>
      <c r="M1603" s="27"/>
      <c r="N1603" s="30"/>
      <c r="O1603" s="28"/>
      <c r="P1603" s="28"/>
      <c r="Q1603" s="28"/>
      <c r="R1603" s="28"/>
      <c r="S1603" s="28"/>
    </row>
    <row r="1604">
      <c r="A1604" s="17">
        <v>45876.0</v>
      </c>
      <c r="B1604" s="18" t="s">
        <v>187</v>
      </c>
      <c r="C1604" s="18" t="s">
        <v>19</v>
      </c>
      <c r="D1604" s="19"/>
      <c r="E1604" s="19"/>
      <c r="F1604" s="20">
        <f t="shared" si="24"/>
        <v>0</v>
      </c>
      <c r="G1604" s="67">
        <f>IFERROR(VLOOKUP(B1604,DADOS!$A$2:$H$252,8,0),"")</f>
        <v>40</v>
      </c>
      <c r="H1604" s="22">
        <v>50.0</v>
      </c>
      <c r="I1604" s="23">
        <f>IFERROR(VLOOKUP(B1604,DADOS!$A$2:$H$252,4,0)*H1604,"")</f>
        <v>13.8672</v>
      </c>
      <c r="J1604" s="36"/>
      <c r="K1604" s="25">
        <f>IFERROR(VLOOKUP(B1604,DADOS!$A$2:$H$252,4,0)*J1604,"")</f>
        <v>0</v>
      </c>
      <c r="L1604" s="26">
        <f t="shared" si="23"/>
        <v>0</v>
      </c>
      <c r="M1604" s="27"/>
      <c r="N1604" s="30"/>
      <c r="O1604" s="28"/>
      <c r="P1604" s="28"/>
      <c r="Q1604" s="28"/>
      <c r="R1604" s="28"/>
      <c r="S1604" s="28"/>
    </row>
    <row r="1605">
      <c r="A1605" s="17">
        <v>45876.0</v>
      </c>
      <c r="B1605" s="18" t="s">
        <v>63</v>
      </c>
      <c r="C1605" s="18" t="s">
        <v>19</v>
      </c>
      <c r="D1605" s="19"/>
      <c r="E1605" s="19"/>
      <c r="F1605" s="20">
        <f t="shared" si="24"/>
        <v>0</v>
      </c>
      <c r="G1605" s="67" t="str">
        <f>IFERROR(VLOOKUP(B1605,DADOS!$A$2:$H$252,8,0),"")</f>
        <v/>
      </c>
      <c r="H1605" s="22">
        <v>28.0</v>
      </c>
      <c r="I1605" s="23">
        <f>IFERROR(VLOOKUP(B1605,DADOS!$A$2:$H$252,4,0)*H1605,"")</f>
        <v>0</v>
      </c>
      <c r="J1605" s="36"/>
      <c r="K1605" s="25">
        <f>IFERROR(VLOOKUP(B1605,DADOS!$A$2:$H$252,4,0)*J1605,"")</f>
        <v>0</v>
      </c>
      <c r="L1605" s="26" t="str">
        <f t="shared" si="23"/>
        <v/>
      </c>
      <c r="M1605" s="27"/>
      <c r="N1605" s="30"/>
      <c r="O1605" s="28"/>
      <c r="P1605" s="28"/>
      <c r="Q1605" s="28"/>
      <c r="R1605" s="28"/>
      <c r="S1605" s="28"/>
    </row>
    <row r="1606">
      <c r="A1606" s="17">
        <v>45876.0</v>
      </c>
      <c r="B1606" s="18" t="s">
        <v>25</v>
      </c>
      <c r="C1606" s="18" t="s">
        <v>165</v>
      </c>
      <c r="D1606" s="19">
        <v>0.3402777777777778</v>
      </c>
      <c r="E1606" s="19">
        <v>0.7048611111111112</v>
      </c>
      <c r="F1606" s="20">
        <f t="shared" si="24"/>
        <v>0.3645833333</v>
      </c>
      <c r="G1606" s="67">
        <f>IFERROR(VLOOKUP(B1606,DADOS!$A$2:$H$252,8,0),"")</f>
        <v>40</v>
      </c>
      <c r="H1606" s="22">
        <v>171.0</v>
      </c>
      <c r="I1606" s="23">
        <f>IFERROR(VLOOKUP(B1606,DADOS!$A$2:$H$252,4,0)*H1606,"")</f>
        <v>17.711496</v>
      </c>
      <c r="J1606" s="24">
        <v>2.0</v>
      </c>
      <c r="K1606" s="25">
        <f>IFERROR(VLOOKUP(B1606,DADOS!$A$2:$H$252,4,0)*J1606,"")</f>
        <v>0.207152</v>
      </c>
      <c r="L1606" s="26">
        <f t="shared" si="23"/>
        <v>0</v>
      </c>
      <c r="M1606" s="27"/>
      <c r="N1606" s="30"/>
      <c r="O1606" s="28"/>
      <c r="P1606" s="28"/>
      <c r="Q1606" s="28"/>
      <c r="R1606" s="28"/>
      <c r="S1606" s="28"/>
    </row>
    <row r="1607">
      <c r="A1607" s="17">
        <v>45877.0</v>
      </c>
      <c r="B1607" s="18" t="s">
        <v>26</v>
      </c>
      <c r="C1607" s="18" t="s">
        <v>19</v>
      </c>
      <c r="D1607" s="19"/>
      <c r="E1607" s="19"/>
      <c r="F1607" s="20">
        <f t="shared" si="24"/>
        <v>0</v>
      </c>
      <c r="G1607" s="67">
        <f>IFERROR(VLOOKUP(B1607,DADOS!$A$2:$H$252,8,0),"")</f>
        <v>50</v>
      </c>
      <c r="H1607" s="22">
        <v>10.0</v>
      </c>
      <c r="I1607" s="23">
        <f>IFERROR(VLOOKUP(B1607,DADOS!$A$2:$H$252,4,0)*H1607,"")</f>
        <v>1.139336</v>
      </c>
      <c r="J1607" s="36"/>
      <c r="K1607" s="25">
        <f>IFERROR(VLOOKUP(B1607,DADOS!$A$2:$H$252,4,0)*J1607,"")</f>
        <v>0</v>
      </c>
      <c r="L1607" s="26">
        <f t="shared" si="23"/>
        <v>0</v>
      </c>
      <c r="M1607" s="27"/>
      <c r="N1607" s="30"/>
      <c r="O1607" s="28"/>
      <c r="P1607" s="28"/>
      <c r="Q1607" s="28"/>
      <c r="R1607" s="28"/>
      <c r="S1607" s="28"/>
    </row>
    <row r="1608">
      <c r="A1608" s="17">
        <v>45877.0</v>
      </c>
      <c r="B1608" s="18" t="s">
        <v>56</v>
      </c>
      <c r="C1608" s="18" t="s">
        <v>65</v>
      </c>
      <c r="D1608" s="19"/>
      <c r="E1608" s="19"/>
      <c r="F1608" s="20">
        <f t="shared" si="24"/>
        <v>0</v>
      </c>
      <c r="G1608" s="67">
        <f>IFERROR(VLOOKUP(B1608,DADOS!$A$2:$H$252,8,0),"")</f>
        <v>162</v>
      </c>
      <c r="H1608" s="22">
        <v>249.0</v>
      </c>
      <c r="I1608" s="23">
        <f>IFERROR(VLOOKUP(B1608,DADOS!$A$2:$H$252,4,0)*H1608,"")</f>
        <v>2.39787</v>
      </c>
      <c r="J1608" s="24">
        <v>1.0</v>
      </c>
      <c r="K1608" s="25">
        <f>IFERROR(VLOOKUP(B1608,DADOS!$A$2:$H$252,4,0)*J1608,"")</f>
        <v>0.00963</v>
      </c>
      <c r="L1608" s="26">
        <f t="shared" si="23"/>
        <v>0</v>
      </c>
      <c r="M1608" s="27"/>
      <c r="N1608" s="30"/>
      <c r="O1608" s="28"/>
      <c r="P1608" s="28"/>
      <c r="Q1608" s="28"/>
      <c r="R1608" s="28"/>
      <c r="S1608" s="28"/>
    </row>
    <row r="1609">
      <c r="A1609" s="17">
        <v>45877.0</v>
      </c>
      <c r="B1609" s="18" t="s">
        <v>122</v>
      </c>
      <c r="C1609" s="18" t="s">
        <v>165</v>
      </c>
      <c r="D1609" s="19">
        <v>0.34375</v>
      </c>
      <c r="E1609" s="19">
        <v>0.4583333333333333</v>
      </c>
      <c r="F1609" s="20">
        <f t="shared" si="24"/>
        <v>0.1145833333</v>
      </c>
      <c r="G1609" s="67">
        <f>IFERROR(VLOOKUP(B1609,DADOS!$A$2:$H$252,8,0),"")</f>
        <v>17</v>
      </c>
      <c r="H1609" s="22">
        <v>35.0</v>
      </c>
      <c r="I1609" s="23">
        <f>IFERROR(VLOOKUP(B1609,DADOS!$A$2:$H$252,4,0)*H1609,"")</f>
        <v>6.006231</v>
      </c>
      <c r="J1609" s="24">
        <v>1.0</v>
      </c>
      <c r="K1609" s="25">
        <f>IFERROR(VLOOKUP(B1609,DADOS!$A$2:$H$252,4,0)*J1609,"")</f>
        <v>0.1716066</v>
      </c>
      <c r="L1609" s="26">
        <f t="shared" si="23"/>
        <v>0</v>
      </c>
      <c r="M1609" s="27"/>
      <c r="N1609" s="30"/>
      <c r="O1609" s="28"/>
      <c r="P1609" s="28"/>
      <c r="Q1609" s="28"/>
      <c r="R1609" s="28"/>
      <c r="S1609" s="28"/>
    </row>
    <row r="1610">
      <c r="A1610" s="17">
        <v>45877.0</v>
      </c>
      <c r="B1610" s="18" t="s">
        <v>18</v>
      </c>
      <c r="C1610" s="18" t="s">
        <v>165</v>
      </c>
      <c r="D1610" s="19">
        <v>0.4701388888888889</v>
      </c>
      <c r="E1610" s="19">
        <v>0.6770833333333334</v>
      </c>
      <c r="F1610" s="20">
        <f t="shared" si="24"/>
        <v>0.2069444444</v>
      </c>
      <c r="G1610" s="67">
        <f>IFERROR(VLOOKUP(B1610,DADOS!$A$2:$H$252,8,0),"")</f>
        <v>21</v>
      </c>
      <c r="H1610" s="22">
        <v>47.0</v>
      </c>
      <c r="I1610" s="23">
        <f>IFERROR(VLOOKUP(B1610,DADOS!$A$2:$H$252,4,0)*H1610,"")</f>
        <v>13.769402</v>
      </c>
      <c r="J1610" s="24">
        <v>2.0</v>
      </c>
      <c r="K1610" s="25">
        <f>IFERROR(VLOOKUP(B1610,DADOS!$A$2:$H$252,4,0)*J1610,"")</f>
        <v>0.585932</v>
      </c>
      <c r="L1610" s="26">
        <f t="shared" si="23"/>
        <v>0</v>
      </c>
      <c r="M1610" s="27"/>
      <c r="N1610" s="30"/>
      <c r="O1610" s="28"/>
      <c r="P1610" s="28"/>
      <c r="Q1610" s="28"/>
      <c r="R1610" s="28"/>
      <c r="S1610" s="28"/>
    </row>
    <row r="1611">
      <c r="A1611" s="17">
        <v>45878.0</v>
      </c>
      <c r="B1611" s="18" t="s">
        <v>71</v>
      </c>
      <c r="C1611" s="18" t="s">
        <v>193</v>
      </c>
      <c r="D1611" s="19"/>
      <c r="E1611" s="19"/>
      <c r="F1611" s="20">
        <f t="shared" si="24"/>
        <v>0</v>
      </c>
      <c r="G1611" s="67">
        <f>IFERROR(VLOOKUP(B1611,DADOS!$A$2:$H$252,8,0),"")</f>
        <v>7</v>
      </c>
      <c r="H1611" s="22">
        <v>39.0</v>
      </c>
      <c r="I1611" s="23">
        <f>IFERROR(VLOOKUP(B1611,DADOS!$A$2:$H$252,4,0)*H1611,"")</f>
        <v>54.6938418</v>
      </c>
      <c r="J1611" s="24">
        <v>1.0</v>
      </c>
      <c r="K1611" s="25">
        <f>IFERROR(VLOOKUP(B1611,DADOS!$A$2:$H$252,4,0)*J1611,"")</f>
        <v>1.4024062</v>
      </c>
      <c r="L1611" s="26">
        <f t="shared" si="23"/>
        <v>0</v>
      </c>
      <c r="M1611" s="27"/>
      <c r="N1611" s="30"/>
      <c r="O1611" s="28"/>
      <c r="P1611" s="28"/>
      <c r="Q1611" s="28"/>
      <c r="R1611" s="28"/>
      <c r="S1611" s="28"/>
    </row>
    <row r="1612">
      <c r="A1612" s="17">
        <v>45878.0</v>
      </c>
      <c r="B1612" s="18" t="s">
        <v>26</v>
      </c>
      <c r="C1612" s="18" t="s">
        <v>193</v>
      </c>
      <c r="D1612" s="19"/>
      <c r="E1612" s="19"/>
      <c r="F1612" s="20">
        <f t="shared" si="24"/>
        <v>0</v>
      </c>
      <c r="G1612" s="67">
        <f>IFERROR(VLOOKUP(B1612,DADOS!$A$2:$H$252,8,0),"")</f>
        <v>50</v>
      </c>
      <c r="H1612" s="22">
        <v>87.0</v>
      </c>
      <c r="I1612" s="23">
        <f>IFERROR(VLOOKUP(B1612,DADOS!$A$2:$H$252,4,0)*H1612,"")</f>
        <v>9.9122232</v>
      </c>
      <c r="J1612" s="24">
        <v>2.0</v>
      </c>
      <c r="K1612" s="25">
        <f>IFERROR(VLOOKUP(B1612,DADOS!$A$2:$H$252,4,0)*J1612,"")</f>
        <v>0.2278672</v>
      </c>
      <c r="L1612" s="26">
        <f t="shared" si="23"/>
        <v>0</v>
      </c>
      <c r="M1612" s="27"/>
      <c r="N1612" s="30"/>
      <c r="O1612" s="28"/>
      <c r="P1612" s="28"/>
      <c r="Q1612" s="28"/>
      <c r="R1612" s="28"/>
      <c r="S1612" s="28"/>
    </row>
    <row r="1613">
      <c r="A1613" s="17">
        <v>45880.0</v>
      </c>
      <c r="B1613" s="18" t="s">
        <v>18</v>
      </c>
      <c r="C1613" s="18" t="s">
        <v>165</v>
      </c>
      <c r="D1613" s="19">
        <v>0.3229166666666667</v>
      </c>
      <c r="E1613" s="19">
        <v>0.5520833333333334</v>
      </c>
      <c r="F1613" s="20">
        <f t="shared" si="24"/>
        <v>0.2291666667</v>
      </c>
      <c r="G1613" s="67">
        <f>IFERROR(VLOOKUP(B1613,DADOS!$A$2:$H$252,8,0),"")</f>
        <v>21</v>
      </c>
      <c r="H1613" s="22">
        <v>49.0</v>
      </c>
      <c r="I1613" s="23">
        <f>IFERROR(VLOOKUP(B1613,DADOS!$A$2:$H$252,4,0)*H1613,"")</f>
        <v>14.355334</v>
      </c>
      <c r="J1613" s="24">
        <v>2.0</v>
      </c>
      <c r="K1613" s="25">
        <f>IFERROR(VLOOKUP(B1613,DADOS!$A$2:$H$252,4,0)*J1613,"")</f>
        <v>0.585932</v>
      </c>
      <c r="L1613" s="26">
        <f t="shared" si="23"/>
        <v>0</v>
      </c>
      <c r="M1613" s="27"/>
      <c r="N1613" s="30"/>
      <c r="O1613" s="28"/>
      <c r="P1613" s="28"/>
      <c r="Q1613" s="28"/>
      <c r="R1613" s="28"/>
      <c r="S1613" s="28"/>
    </row>
    <row r="1614">
      <c r="A1614" s="17">
        <v>45881.0</v>
      </c>
      <c r="B1614" s="18" t="s">
        <v>122</v>
      </c>
      <c r="C1614" s="18" t="s">
        <v>165</v>
      </c>
      <c r="D1614" s="19">
        <v>0.4340277777777778</v>
      </c>
      <c r="E1614" s="19">
        <v>0.71875</v>
      </c>
      <c r="F1614" s="20">
        <f t="shared" si="24"/>
        <v>0.2847222222</v>
      </c>
      <c r="G1614" s="67">
        <f>IFERROR(VLOOKUP(B1614,DADOS!$A$2:$H$252,8,0),"")</f>
        <v>17</v>
      </c>
      <c r="H1614" s="22">
        <v>43.0</v>
      </c>
      <c r="I1614" s="23">
        <f>IFERROR(VLOOKUP(B1614,DADOS!$A$2:$H$252,4,0)*H1614,"")</f>
        <v>7.3790838</v>
      </c>
      <c r="J1614" s="24">
        <v>13.0</v>
      </c>
      <c r="K1614" s="25">
        <f>IFERROR(VLOOKUP(B1614,DADOS!$A$2:$H$252,4,0)*J1614,"")</f>
        <v>2.2308858</v>
      </c>
      <c r="L1614" s="26">
        <f t="shared" si="23"/>
        <v>0</v>
      </c>
      <c r="M1614" s="27"/>
      <c r="N1614" s="30"/>
      <c r="O1614" s="28"/>
      <c r="P1614" s="28"/>
      <c r="Q1614" s="28"/>
      <c r="R1614" s="28"/>
      <c r="S1614" s="28"/>
    </row>
    <row r="1615">
      <c r="A1615" s="43">
        <v>45881.0</v>
      </c>
      <c r="B1615" s="44" t="s">
        <v>188</v>
      </c>
      <c r="C1615" s="44" t="s">
        <v>80</v>
      </c>
      <c r="D1615" s="45"/>
      <c r="E1615" s="45"/>
      <c r="F1615" s="20">
        <f t="shared" si="24"/>
        <v>0</v>
      </c>
      <c r="G1615" s="67">
        <f>IFERROR(VLOOKUP(B1615,DADOS!$A$2:$H$252,8,0),"")</f>
        <v>30</v>
      </c>
      <c r="H1615" s="47"/>
      <c r="I1615" s="23">
        <f>IFERROR(VLOOKUP(B1615,DADOS!$A$2:$H$252,4,0)*H1615,"")</f>
        <v>0</v>
      </c>
      <c r="J1615" s="46">
        <v>2.0</v>
      </c>
      <c r="K1615" s="25">
        <f>IFERROR(VLOOKUP(B1615,DADOS!$A$2:$H$252,4,0)*J1615,"")</f>
        <v>0.2278672</v>
      </c>
      <c r="L1615" s="26">
        <f t="shared" si="23"/>
        <v>0</v>
      </c>
      <c r="M1615" s="33" t="s">
        <v>189</v>
      </c>
      <c r="N1615" s="33" t="s">
        <v>173</v>
      </c>
      <c r="O1615" s="28"/>
      <c r="P1615" s="28"/>
      <c r="Q1615" s="28"/>
      <c r="R1615" s="28"/>
      <c r="S1615" s="28"/>
    </row>
    <row r="1616">
      <c r="A1616" s="43">
        <v>45881.0</v>
      </c>
      <c r="B1616" s="44" t="s">
        <v>24</v>
      </c>
      <c r="C1616" s="44" t="s">
        <v>80</v>
      </c>
      <c r="D1616" s="45"/>
      <c r="E1616" s="45"/>
      <c r="F1616" s="20">
        <f t="shared" si="24"/>
        <v>0</v>
      </c>
      <c r="G1616" s="67">
        <f>IFERROR(VLOOKUP(B1616,DADOS!$A$2:$H$252,8,0),"")</f>
        <v>37</v>
      </c>
      <c r="H1616" s="47"/>
      <c r="I1616" s="23">
        <f>IFERROR(VLOOKUP(B1616,DADOS!$A$2:$H$252,4,0)*H1616,"")</f>
        <v>0</v>
      </c>
      <c r="J1616" s="46">
        <v>1.0</v>
      </c>
      <c r="K1616" s="25">
        <f>IFERROR(VLOOKUP(B1616,DADOS!$A$2:$H$252,4,0)*J1616,"")</f>
        <v>0.1139336</v>
      </c>
      <c r="L1616" s="26">
        <f t="shared" si="23"/>
        <v>0</v>
      </c>
      <c r="M1616" s="33" t="s">
        <v>110</v>
      </c>
      <c r="N1616" s="33" t="s">
        <v>144</v>
      </c>
      <c r="O1616" s="63"/>
      <c r="P1616" s="63"/>
      <c r="Q1616" s="63"/>
      <c r="R1616" s="63"/>
      <c r="S1616" s="63"/>
      <c r="T1616" s="64"/>
      <c r="U1616" s="64"/>
      <c r="V1616" s="64"/>
      <c r="W1616" s="64"/>
      <c r="X1616" s="64"/>
      <c r="Y1616" s="64"/>
      <c r="Z1616" s="64"/>
      <c r="AA1616" s="64"/>
      <c r="AB1616" s="64"/>
      <c r="AC1616" s="64"/>
      <c r="AD1616" s="64"/>
      <c r="AE1616" s="64"/>
      <c r="AF1616" s="64"/>
      <c r="AG1616" s="64"/>
      <c r="AH1616" s="64"/>
      <c r="AI1616" s="64"/>
      <c r="AJ1616" s="64"/>
    </row>
    <row r="1617">
      <c r="A1617" s="43">
        <v>45881.0</v>
      </c>
      <c r="B1617" s="44" t="s">
        <v>27</v>
      </c>
      <c r="C1617" s="44" t="s">
        <v>80</v>
      </c>
      <c r="D1617" s="45"/>
      <c r="E1617" s="45"/>
      <c r="F1617" s="20">
        <f t="shared" si="24"/>
        <v>0</v>
      </c>
      <c r="G1617" s="67">
        <f>IFERROR(VLOOKUP(B1617,DADOS!$A$2:$H$252,8,0),"")</f>
        <v>30</v>
      </c>
      <c r="H1617" s="47"/>
      <c r="I1617" s="23">
        <f>IFERROR(VLOOKUP(B1617,DADOS!$A$2:$H$252,4,0)*H1617,"")</f>
        <v>0</v>
      </c>
      <c r="J1617" s="46">
        <v>1.0</v>
      </c>
      <c r="K1617" s="25">
        <f>IFERROR(VLOOKUP(B1617,DADOS!$A$2:$H$252,4,0)*J1617,"")</f>
        <v>0.01712</v>
      </c>
      <c r="L1617" s="26">
        <f t="shared" si="23"/>
        <v>0</v>
      </c>
      <c r="M1617" s="33" t="s">
        <v>189</v>
      </c>
      <c r="N1617" s="33" t="s">
        <v>104</v>
      </c>
      <c r="O1617" s="63"/>
      <c r="P1617" s="63"/>
      <c r="Q1617" s="63"/>
      <c r="R1617" s="63"/>
      <c r="S1617" s="63"/>
      <c r="T1617" s="64"/>
      <c r="U1617" s="64"/>
      <c r="V1617" s="64"/>
      <c r="W1617" s="64"/>
      <c r="X1617" s="64"/>
      <c r="Y1617" s="64"/>
      <c r="Z1617" s="64"/>
      <c r="AA1617" s="64"/>
      <c r="AB1617" s="64"/>
      <c r="AC1617" s="64"/>
      <c r="AD1617" s="64"/>
      <c r="AE1617" s="64"/>
      <c r="AF1617" s="64"/>
      <c r="AG1617" s="64"/>
      <c r="AH1617" s="64"/>
      <c r="AI1617" s="64"/>
      <c r="AJ1617" s="64"/>
    </row>
    <row r="1618">
      <c r="A1618" s="43">
        <v>45881.0</v>
      </c>
      <c r="B1618" s="44" t="s">
        <v>79</v>
      </c>
      <c r="C1618" s="44" t="s">
        <v>80</v>
      </c>
      <c r="D1618" s="45"/>
      <c r="E1618" s="45"/>
      <c r="F1618" s="20">
        <f t="shared" si="24"/>
        <v>0</v>
      </c>
      <c r="G1618" s="67">
        <f>IFERROR(VLOOKUP(B1618,DADOS!$A$2:$H$252,8,0),"")</f>
        <v>87</v>
      </c>
      <c r="H1618" s="47"/>
      <c r="I1618" s="23">
        <f>IFERROR(VLOOKUP(B1618,DADOS!$A$2:$H$252,4,0)*H1618,"")</f>
        <v>0</v>
      </c>
      <c r="J1618" s="46">
        <v>2.0</v>
      </c>
      <c r="K1618" s="25">
        <f>IFERROR(VLOOKUP(B1618,DADOS!$A$2:$H$252,4,0)*J1618,"")</f>
        <v>0.03424</v>
      </c>
      <c r="L1618" s="26">
        <f t="shared" si="23"/>
        <v>0</v>
      </c>
      <c r="M1618" s="33" t="s">
        <v>83</v>
      </c>
      <c r="N1618" s="33" t="s">
        <v>85</v>
      </c>
      <c r="O1618" s="63"/>
      <c r="P1618" s="63"/>
      <c r="Q1618" s="63"/>
      <c r="R1618" s="63"/>
      <c r="S1618" s="63"/>
      <c r="T1618" s="64"/>
      <c r="U1618" s="64"/>
      <c r="V1618" s="64"/>
      <c r="W1618" s="64"/>
      <c r="X1618" s="64"/>
      <c r="Y1618" s="64"/>
      <c r="Z1618" s="64"/>
      <c r="AA1618" s="64"/>
      <c r="AB1618" s="64"/>
      <c r="AC1618" s="64"/>
      <c r="AD1618" s="64"/>
      <c r="AE1618" s="64"/>
      <c r="AF1618" s="64"/>
      <c r="AG1618" s="64"/>
      <c r="AH1618" s="64"/>
      <c r="AI1618" s="64"/>
      <c r="AJ1618" s="64"/>
    </row>
    <row r="1619">
      <c r="A1619" s="43">
        <v>45881.0</v>
      </c>
      <c r="B1619" s="44" t="s">
        <v>59</v>
      </c>
      <c r="C1619" s="44" t="s">
        <v>80</v>
      </c>
      <c r="D1619" s="45"/>
      <c r="E1619" s="45"/>
      <c r="F1619" s="20">
        <f t="shared" si="24"/>
        <v>0</v>
      </c>
      <c r="G1619" s="67">
        <f>IFERROR(VLOOKUP(B1619,DADOS!$A$2:$H$252,8,0),"")</f>
        <v>50</v>
      </c>
      <c r="H1619" s="47"/>
      <c r="I1619" s="23">
        <f>IFERROR(VLOOKUP(B1619,DADOS!$A$2:$H$252,4,0)*H1619,"")</f>
        <v>0</v>
      </c>
      <c r="J1619" s="46">
        <v>1.0</v>
      </c>
      <c r="K1619" s="25">
        <f>IFERROR(VLOOKUP(B1619,DADOS!$A$2:$H$252,4,0)*J1619,"")</f>
        <v>0.01712</v>
      </c>
      <c r="L1619" s="26">
        <f t="shared" si="23"/>
        <v>0</v>
      </c>
      <c r="M1619" s="33" t="s">
        <v>83</v>
      </c>
      <c r="N1619" s="33" t="s">
        <v>85</v>
      </c>
      <c r="O1619" s="63"/>
      <c r="P1619" s="63"/>
      <c r="Q1619" s="63"/>
      <c r="R1619" s="63"/>
      <c r="S1619" s="63"/>
      <c r="T1619" s="64"/>
      <c r="U1619" s="64"/>
      <c r="V1619" s="64"/>
      <c r="W1619" s="64"/>
      <c r="X1619" s="64"/>
      <c r="Y1619" s="64"/>
      <c r="Z1619" s="64"/>
      <c r="AA1619" s="64"/>
      <c r="AB1619" s="64"/>
      <c r="AC1619" s="64"/>
      <c r="AD1619" s="64"/>
      <c r="AE1619" s="64"/>
      <c r="AF1619" s="64"/>
      <c r="AG1619" s="64"/>
      <c r="AH1619" s="64"/>
      <c r="AI1619" s="64"/>
      <c r="AJ1619" s="64"/>
    </row>
    <row r="1620">
      <c r="A1620" s="43">
        <v>45881.0</v>
      </c>
      <c r="B1620" s="44" t="s">
        <v>94</v>
      </c>
      <c r="C1620" s="44" t="s">
        <v>80</v>
      </c>
      <c r="D1620" s="45"/>
      <c r="E1620" s="45"/>
      <c r="F1620" s="20">
        <f t="shared" si="24"/>
        <v>0</v>
      </c>
      <c r="G1620" s="67">
        <f>IFERROR(VLOOKUP(B1620,DADOS!$A$2:$H$252,8,0),"")</f>
        <v>100</v>
      </c>
      <c r="H1620" s="47"/>
      <c r="I1620" s="23">
        <f>IFERROR(VLOOKUP(B1620,DADOS!$A$2:$H$252,4,0)*H1620,"")</f>
        <v>0</v>
      </c>
      <c r="J1620" s="46">
        <v>1.0</v>
      </c>
      <c r="K1620" s="25">
        <f>IFERROR(VLOOKUP(B1620,DADOS!$A$2:$H$252,4,0)*J1620,"")</f>
        <v>0.0377496</v>
      </c>
      <c r="L1620" s="26">
        <f t="shared" si="23"/>
        <v>0</v>
      </c>
      <c r="M1620" s="33" t="s">
        <v>83</v>
      </c>
      <c r="N1620" s="33" t="s">
        <v>88</v>
      </c>
      <c r="O1620" s="63"/>
      <c r="P1620" s="63"/>
      <c r="Q1620" s="63"/>
      <c r="R1620" s="63"/>
      <c r="S1620" s="63"/>
      <c r="T1620" s="64"/>
      <c r="U1620" s="64"/>
      <c r="V1620" s="64"/>
      <c r="W1620" s="64"/>
      <c r="X1620" s="64"/>
      <c r="Y1620" s="64"/>
      <c r="Z1620" s="64"/>
      <c r="AA1620" s="64"/>
      <c r="AB1620" s="64"/>
      <c r="AC1620" s="64"/>
      <c r="AD1620" s="64"/>
      <c r="AE1620" s="64"/>
      <c r="AF1620" s="64"/>
      <c r="AG1620" s="64"/>
      <c r="AH1620" s="64"/>
      <c r="AI1620" s="64"/>
      <c r="AJ1620" s="64"/>
    </row>
    <row r="1621" ht="16.5" customHeight="1">
      <c r="A1621" s="17">
        <v>45882.0</v>
      </c>
      <c r="B1621" s="18" t="s">
        <v>122</v>
      </c>
      <c r="C1621" s="18" t="s">
        <v>165</v>
      </c>
      <c r="D1621" s="19">
        <v>0.3194444444444444</v>
      </c>
      <c r="E1621" s="19">
        <v>0.5</v>
      </c>
      <c r="F1621" s="20">
        <f t="shared" si="24"/>
        <v>0.1805555556</v>
      </c>
      <c r="G1621" s="67">
        <f>IFERROR(VLOOKUP(B1621,DADOS!$A$2:$H$252,8,0),"")</f>
        <v>17</v>
      </c>
      <c r="H1621" s="22">
        <v>31.0</v>
      </c>
      <c r="I1621" s="23">
        <f>IFERROR(VLOOKUP(B1621,DADOS!$A$2:$H$252,4,0)*H1621,"")</f>
        <v>5.3198046</v>
      </c>
      <c r="J1621" s="24">
        <v>10.0</v>
      </c>
      <c r="K1621" s="25">
        <f>IFERROR(VLOOKUP(B1621,DADOS!$A$2:$H$252,4,0)*J1621,"")</f>
        <v>1.716066</v>
      </c>
      <c r="L1621" s="26">
        <f t="shared" si="23"/>
        <v>0</v>
      </c>
      <c r="M1621" s="27"/>
      <c r="N1621" s="30"/>
      <c r="O1621" s="63"/>
      <c r="P1621" s="63"/>
      <c r="Q1621" s="63"/>
      <c r="R1621" s="63"/>
      <c r="S1621" s="63"/>
      <c r="T1621" s="64"/>
      <c r="U1621" s="64"/>
      <c r="V1621" s="64"/>
      <c r="W1621" s="64"/>
      <c r="X1621" s="64"/>
      <c r="Y1621" s="64"/>
      <c r="Z1621" s="64"/>
      <c r="AA1621" s="64"/>
      <c r="AB1621" s="64"/>
      <c r="AC1621" s="64"/>
      <c r="AD1621" s="64"/>
      <c r="AE1621" s="64"/>
      <c r="AF1621" s="64"/>
      <c r="AG1621" s="64"/>
      <c r="AH1621" s="64"/>
      <c r="AI1621" s="64"/>
      <c r="AJ1621" s="64"/>
    </row>
    <row r="1622">
      <c r="A1622" s="17">
        <v>45883.0</v>
      </c>
      <c r="B1622" s="18" t="s">
        <v>182</v>
      </c>
      <c r="C1622" s="18" t="s">
        <v>165</v>
      </c>
      <c r="D1622" s="19">
        <v>0.3645833333333333</v>
      </c>
      <c r="E1622" s="19">
        <v>0.5</v>
      </c>
      <c r="F1622" s="20">
        <f t="shared" si="24"/>
        <v>0.1354166667</v>
      </c>
      <c r="G1622" s="67">
        <f>IFERROR(VLOOKUP(B1622,DADOS!$A$2:$H$252,8,0),"")</f>
        <v>120</v>
      </c>
      <c r="H1622" s="22">
        <v>38.0</v>
      </c>
      <c r="I1622" s="23">
        <f>IFERROR(VLOOKUP(B1622,DADOS!$A$2:$H$252,4,0)*H1622,"")</f>
        <v>12.368772</v>
      </c>
      <c r="J1622" s="24">
        <v>2.0</v>
      </c>
      <c r="K1622" s="25">
        <f>IFERROR(VLOOKUP(B1622,DADOS!$A$2:$H$252,4,0)*J1622,"")</f>
        <v>0.650988</v>
      </c>
      <c r="L1622" s="26">
        <f t="shared" si="23"/>
        <v>0</v>
      </c>
      <c r="M1622" s="27"/>
      <c r="N1622" s="30"/>
      <c r="O1622" s="28"/>
      <c r="P1622" s="28"/>
      <c r="Q1622" s="28"/>
      <c r="R1622" s="28"/>
      <c r="S1622" s="28"/>
    </row>
    <row r="1623">
      <c r="A1623" s="17">
        <v>45883.0</v>
      </c>
      <c r="B1623" s="18" t="s">
        <v>18</v>
      </c>
      <c r="C1623" s="18" t="s">
        <v>165</v>
      </c>
      <c r="D1623" s="19">
        <v>0.5659722222222222</v>
      </c>
      <c r="E1623" s="19">
        <v>0.71875</v>
      </c>
      <c r="F1623" s="20">
        <f t="shared" si="24"/>
        <v>0.1527777778</v>
      </c>
      <c r="G1623" s="67">
        <f>IFERROR(VLOOKUP(B1623,DADOS!$A$2:$H$252,8,0),"")</f>
        <v>21</v>
      </c>
      <c r="H1623" s="22">
        <v>40.0</v>
      </c>
      <c r="I1623" s="23">
        <f>IFERROR(VLOOKUP(B1623,DADOS!$A$2:$H$252,4,0)*H1623,"")</f>
        <v>11.71864</v>
      </c>
      <c r="J1623" s="36"/>
      <c r="K1623" s="25">
        <f>IFERROR(VLOOKUP(B1623,DADOS!$A$2:$H$252,4,0)*J1623,"")</f>
        <v>0</v>
      </c>
      <c r="L1623" s="26">
        <f t="shared" si="23"/>
        <v>0</v>
      </c>
      <c r="M1623" s="27"/>
      <c r="N1623" s="30"/>
      <c r="O1623" s="28"/>
      <c r="P1623" s="28"/>
      <c r="Q1623" s="28"/>
      <c r="R1623" s="28"/>
      <c r="S1623" s="28"/>
    </row>
    <row r="1624">
      <c r="A1624" s="17">
        <v>45884.0</v>
      </c>
      <c r="B1624" s="18" t="s">
        <v>71</v>
      </c>
      <c r="C1624" s="18" t="s">
        <v>193</v>
      </c>
      <c r="D1624" s="19"/>
      <c r="E1624" s="19"/>
      <c r="F1624" s="20">
        <f t="shared" si="24"/>
        <v>0</v>
      </c>
      <c r="G1624" s="67">
        <f>IFERROR(VLOOKUP(B1624,DADOS!$A$2:$H$252,8,0),"")</f>
        <v>7</v>
      </c>
      <c r="H1624" s="22">
        <v>30.0</v>
      </c>
      <c r="I1624" s="23">
        <f>IFERROR(VLOOKUP(B1624,DADOS!$A$2:$H$252,4,0)*H1624,"")</f>
        <v>42.072186</v>
      </c>
      <c r="J1624" s="36"/>
      <c r="K1624" s="25">
        <f>IFERROR(VLOOKUP(B1624,DADOS!$A$2:$H$252,4,0)*J1624,"")</f>
        <v>0</v>
      </c>
      <c r="L1624" s="26">
        <f t="shared" si="23"/>
        <v>0</v>
      </c>
      <c r="M1624" s="27"/>
      <c r="N1624" s="30"/>
      <c r="O1624" s="28"/>
      <c r="P1624" s="28"/>
      <c r="Q1624" s="28"/>
      <c r="R1624" s="28"/>
      <c r="S1624" s="28"/>
    </row>
    <row r="1625">
      <c r="A1625" s="17">
        <v>45884.0</v>
      </c>
      <c r="B1625" s="18" t="s">
        <v>26</v>
      </c>
      <c r="C1625" s="18" t="s">
        <v>193</v>
      </c>
      <c r="D1625" s="19"/>
      <c r="E1625" s="19"/>
      <c r="F1625" s="20">
        <f t="shared" si="24"/>
        <v>0</v>
      </c>
      <c r="G1625" s="67">
        <f>IFERROR(VLOOKUP(B1625,DADOS!$A$2:$H$252,8,0),"")</f>
        <v>50</v>
      </c>
      <c r="H1625" s="22">
        <v>100.0</v>
      </c>
      <c r="I1625" s="23">
        <f>IFERROR(VLOOKUP(B1625,DADOS!$A$2:$H$252,4,0)*H1625,"")</f>
        <v>11.39336</v>
      </c>
      <c r="J1625" s="36"/>
      <c r="K1625" s="25">
        <f>IFERROR(VLOOKUP(B1625,DADOS!$A$2:$H$252,4,0)*J1625,"")</f>
        <v>0</v>
      </c>
      <c r="L1625" s="26">
        <f t="shared" si="23"/>
        <v>0</v>
      </c>
      <c r="M1625" s="27"/>
      <c r="N1625" s="30"/>
      <c r="O1625" s="28"/>
      <c r="P1625" s="28"/>
      <c r="Q1625" s="28"/>
      <c r="R1625" s="28"/>
      <c r="S1625" s="28"/>
    </row>
    <row r="1626">
      <c r="A1626" s="17">
        <v>45887.0</v>
      </c>
      <c r="B1626" s="18" t="s">
        <v>18</v>
      </c>
      <c r="C1626" s="18" t="s">
        <v>165</v>
      </c>
      <c r="D1626" s="19">
        <v>0.3194444444444444</v>
      </c>
      <c r="E1626" s="19">
        <v>0.7083333333333334</v>
      </c>
      <c r="F1626" s="20">
        <f t="shared" si="24"/>
        <v>0.3888888889</v>
      </c>
      <c r="G1626" s="67">
        <f>IFERROR(VLOOKUP(B1626,DADOS!$A$2:$H$252,8,0),"")</f>
        <v>21</v>
      </c>
      <c r="H1626" s="22">
        <v>61.0</v>
      </c>
      <c r="I1626" s="23">
        <f>IFERROR(VLOOKUP(B1626,DADOS!$A$2:$H$252,4,0)*H1626,"")</f>
        <v>17.870926</v>
      </c>
      <c r="J1626" s="36"/>
      <c r="K1626" s="25">
        <f>IFERROR(VLOOKUP(B1626,DADOS!$A$2:$H$252,4,0)*J1626,"")</f>
        <v>0</v>
      </c>
      <c r="L1626" s="26">
        <f t="shared" si="23"/>
        <v>0</v>
      </c>
      <c r="M1626" s="27"/>
      <c r="N1626" s="30"/>
      <c r="O1626" s="28"/>
      <c r="P1626" s="28"/>
      <c r="Q1626" s="28"/>
      <c r="R1626" s="28"/>
      <c r="S1626" s="28"/>
    </row>
    <row r="1627">
      <c r="A1627" s="17">
        <v>45888.0</v>
      </c>
      <c r="B1627" s="18" t="s">
        <v>72</v>
      </c>
      <c r="C1627" s="18" t="s">
        <v>65</v>
      </c>
      <c r="D1627" s="19"/>
      <c r="E1627" s="19"/>
      <c r="F1627" s="20">
        <f t="shared" si="24"/>
        <v>0</v>
      </c>
      <c r="G1627" s="67">
        <f>IFERROR(VLOOKUP(B1627,DADOS!$A$2:$H$252,8,0),"")</f>
        <v>43</v>
      </c>
      <c r="H1627" s="22">
        <v>123.0</v>
      </c>
      <c r="I1627" s="23">
        <f>IFERROR(VLOOKUP(B1627,DADOS!$A$2:$H$252,4,0)*H1627,"")</f>
        <v>2.10576</v>
      </c>
      <c r="J1627" s="24">
        <v>3.0</v>
      </c>
      <c r="K1627" s="25">
        <f>IFERROR(VLOOKUP(B1627,DADOS!$A$2:$H$252,4,0)*J1627,"")</f>
        <v>0.05136</v>
      </c>
      <c r="L1627" s="26">
        <f t="shared" si="23"/>
        <v>0</v>
      </c>
      <c r="M1627" s="27"/>
      <c r="N1627" s="30"/>
      <c r="O1627" s="28"/>
      <c r="P1627" s="28"/>
      <c r="Q1627" s="28"/>
      <c r="R1627" s="28"/>
      <c r="S1627" s="28"/>
    </row>
    <row r="1628">
      <c r="A1628" s="17">
        <v>45888.0</v>
      </c>
      <c r="B1628" s="18" t="s">
        <v>51</v>
      </c>
      <c r="C1628" s="18" t="s">
        <v>165</v>
      </c>
      <c r="D1628" s="19">
        <v>0.3576388888888889</v>
      </c>
      <c r="E1628" s="19">
        <v>0.71875</v>
      </c>
      <c r="F1628" s="20">
        <f t="shared" si="24"/>
        <v>0.3611111111</v>
      </c>
      <c r="G1628" s="67">
        <f>IFERROR(VLOOKUP(B1628,DADOS!$A$2:$H$252,8,0),"")</f>
        <v>28</v>
      </c>
      <c r="H1628" s="22">
        <v>85.0</v>
      </c>
      <c r="I1628" s="23">
        <f>IFERROR(VLOOKUP(B1628,DADOS!$A$2:$H$252,4,0)*H1628,"")</f>
        <v>9.684356</v>
      </c>
      <c r="J1628" s="24">
        <v>6.0</v>
      </c>
      <c r="K1628" s="25">
        <f>IFERROR(VLOOKUP(B1628,DADOS!$A$2:$H$252,4,0)*J1628,"")</f>
        <v>0.6836016</v>
      </c>
      <c r="L1628" s="26">
        <f t="shared" si="23"/>
        <v>0</v>
      </c>
      <c r="M1628" s="27"/>
      <c r="N1628" s="30"/>
      <c r="O1628" s="28"/>
      <c r="P1628" s="28"/>
      <c r="Q1628" s="28"/>
      <c r="R1628" s="28"/>
      <c r="S1628" s="28"/>
    </row>
    <row r="1629">
      <c r="A1629" s="17">
        <v>45889.0</v>
      </c>
      <c r="B1629" s="18" t="s">
        <v>51</v>
      </c>
      <c r="C1629" s="18" t="s">
        <v>165</v>
      </c>
      <c r="D1629" s="19"/>
      <c r="E1629" s="19"/>
      <c r="F1629" s="20">
        <f t="shared" si="24"/>
        <v>0</v>
      </c>
      <c r="G1629" s="67">
        <f>IFERROR(VLOOKUP(B1629,DADOS!$A$2:$H$252,8,0),"")</f>
        <v>28</v>
      </c>
      <c r="H1629" s="22">
        <v>6.0</v>
      </c>
      <c r="I1629" s="23">
        <f>IFERROR(VLOOKUP(B1629,DADOS!$A$2:$H$252,4,0)*H1629,"")</f>
        <v>0.6836016</v>
      </c>
      <c r="J1629" s="36"/>
      <c r="K1629" s="25">
        <f>IFERROR(VLOOKUP(B1629,DADOS!$A$2:$H$252,4,0)*J1629,"")</f>
        <v>0</v>
      </c>
      <c r="L1629" s="26">
        <f t="shared" si="23"/>
        <v>0</v>
      </c>
      <c r="M1629" s="27"/>
      <c r="N1629" s="30"/>
      <c r="O1629" s="28"/>
      <c r="P1629" s="28"/>
      <c r="Q1629" s="28"/>
      <c r="R1629" s="28"/>
      <c r="S1629" s="28"/>
    </row>
    <row r="1630">
      <c r="A1630" s="17">
        <v>45889.0</v>
      </c>
      <c r="B1630" s="18" t="s">
        <v>72</v>
      </c>
      <c r="C1630" s="18" t="s">
        <v>165</v>
      </c>
      <c r="D1630" s="19"/>
      <c r="E1630" s="19"/>
      <c r="F1630" s="20">
        <f t="shared" si="24"/>
        <v>0</v>
      </c>
      <c r="G1630" s="67">
        <f>IFERROR(VLOOKUP(B1630,DADOS!$A$2:$H$252,8,0),"")</f>
        <v>43</v>
      </c>
      <c r="H1630" s="22">
        <v>343.0</v>
      </c>
      <c r="I1630" s="23">
        <f>IFERROR(VLOOKUP(B1630,DADOS!$A$2:$H$252,4,0)*H1630,"")</f>
        <v>5.87216</v>
      </c>
      <c r="J1630" s="24">
        <v>3.0</v>
      </c>
      <c r="K1630" s="25">
        <f>IFERROR(VLOOKUP(B1630,DADOS!$A$2:$H$252,4,0)*J1630,"")</f>
        <v>0.05136</v>
      </c>
      <c r="L1630" s="26">
        <f t="shared" si="23"/>
        <v>0</v>
      </c>
      <c r="M1630" s="27"/>
      <c r="N1630" s="30"/>
      <c r="O1630" s="28"/>
      <c r="P1630" s="28"/>
      <c r="Q1630" s="28"/>
      <c r="R1630" s="28"/>
      <c r="S1630" s="28"/>
    </row>
    <row r="1631">
      <c r="A1631" s="17">
        <v>45890.0</v>
      </c>
      <c r="B1631" s="18" t="s">
        <v>71</v>
      </c>
      <c r="C1631" s="18" t="s">
        <v>166</v>
      </c>
      <c r="D1631" s="19">
        <v>0.3229166666666667</v>
      </c>
      <c r="E1631" s="19">
        <v>0.4722222222222222</v>
      </c>
      <c r="F1631" s="20">
        <f t="shared" si="24"/>
        <v>0.1493055556</v>
      </c>
      <c r="G1631" s="67">
        <f>IFERROR(VLOOKUP(B1631,DADOS!$A$2:$H$252,8,0),"")</f>
        <v>7</v>
      </c>
      <c r="H1631" s="22">
        <v>30.0</v>
      </c>
      <c r="I1631" s="23">
        <f>IFERROR(VLOOKUP(B1631,DADOS!$A$2:$H$252,4,0)*H1631,"")</f>
        <v>42.072186</v>
      </c>
      <c r="J1631" s="36"/>
      <c r="K1631" s="25">
        <f>IFERROR(VLOOKUP(B1631,DADOS!$A$2:$H$252,4,0)*J1631,"")</f>
        <v>0</v>
      </c>
      <c r="L1631" s="26">
        <f t="shared" si="23"/>
        <v>0</v>
      </c>
      <c r="M1631" s="27"/>
      <c r="N1631" s="30"/>
      <c r="O1631" s="28"/>
      <c r="P1631" s="28"/>
      <c r="Q1631" s="28"/>
      <c r="R1631" s="28"/>
      <c r="S1631" s="28"/>
    </row>
    <row r="1632">
      <c r="A1632" s="17">
        <v>45890.0</v>
      </c>
      <c r="B1632" s="18" t="s">
        <v>178</v>
      </c>
      <c r="C1632" s="18" t="s">
        <v>19</v>
      </c>
      <c r="D1632" s="19"/>
      <c r="E1632" s="19"/>
      <c r="F1632" s="20">
        <f t="shared" si="24"/>
        <v>0</v>
      </c>
      <c r="G1632" s="67">
        <f>IFERROR(VLOOKUP(B1632,DADOS!$A$2:$H$252,8,0),"")</f>
        <v>35</v>
      </c>
      <c r="H1632" s="22">
        <v>30.0</v>
      </c>
      <c r="I1632" s="23">
        <f>IFERROR(VLOOKUP(B1632,DADOS!$A$2:$H$252,4,0)*H1632,"")</f>
        <v>6.3558</v>
      </c>
      <c r="J1632" s="36"/>
      <c r="K1632" s="25">
        <f>IFERROR(VLOOKUP(B1632,DADOS!$A$2:$H$252,4,0)*J1632,"")</f>
        <v>0</v>
      </c>
      <c r="L1632" s="26">
        <f t="shared" si="23"/>
        <v>0</v>
      </c>
      <c r="M1632" s="27"/>
      <c r="N1632" s="30"/>
      <c r="O1632" s="28"/>
      <c r="P1632" s="28"/>
      <c r="Q1632" s="28"/>
      <c r="R1632" s="28"/>
      <c r="S1632" s="28"/>
    </row>
    <row r="1633">
      <c r="A1633" s="17">
        <v>45890.0</v>
      </c>
      <c r="B1633" s="18" t="s">
        <v>185</v>
      </c>
      <c r="C1633" s="18" t="s">
        <v>19</v>
      </c>
      <c r="D1633" s="19"/>
      <c r="E1633" s="19"/>
      <c r="F1633" s="20">
        <f t="shared" si="24"/>
        <v>0</v>
      </c>
      <c r="G1633" s="67">
        <f>IFERROR(VLOOKUP(B1633,DADOS!$A$2:$H$252,8,0),"")</f>
        <v>35</v>
      </c>
      <c r="H1633" s="22">
        <v>60.0</v>
      </c>
      <c r="I1633" s="23">
        <f>IFERROR(VLOOKUP(B1633,DADOS!$A$2:$H$252,4,0)*H1633,"")</f>
        <v>12.7116</v>
      </c>
      <c r="J1633" s="36"/>
      <c r="K1633" s="25">
        <f>IFERROR(VLOOKUP(B1633,DADOS!$A$2:$H$252,4,0)*J1633,"")</f>
        <v>0</v>
      </c>
      <c r="L1633" s="26">
        <f t="shared" si="23"/>
        <v>0</v>
      </c>
      <c r="M1633" s="27"/>
      <c r="N1633" s="30"/>
      <c r="O1633" s="28"/>
      <c r="P1633" s="28"/>
      <c r="Q1633" s="28"/>
      <c r="R1633" s="28"/>
      <c r="S1633" s="28"/>
    </row>
    <row r="1634">
      <c r="A1634" s="17">
        <v>45890.0</v>
      </c>
      <c r="B1634" s="18" t="s">
        <v>37</v>
      </c>
      <c r="C1634" s="18" t="s">
        <v>165</v>
      </c>
      <c r="D1634" s="19"/>
      <c r="E1634" s="19"/>
      <c r="F1634" s="20">
        <f t="shared" si="24"/>
        <v>0</v>
      </c>
      <c r="G1634" s="67" t="str">
        <f>IFERROR(VLOOKUP(B1634,DADOS!$A$2:$H$252,8,0),"")</f>
        <v/>
      </c>
      <c r="H1634" s="22">
        <v>337.0</v>
      </c>
      <c r="I1634" s="23" t="str">
        <f>IFERROR(VLOOKUP(B1634,DADOS!$A$2:$H$252,4,0)*H1634,"")</f>
        <v/>
      </c>
      <c r="J1634" s="36"/>
      <c r="K1634" s="25" t="str">
        <f>IFERROR(VLOOKUP(B1634,DADOS!$A$2:$H$252,4,0)*J1634,"")</f>
        <v/>
      </c>
      <c r="L1634" s="26" t="str">
        <f t="shared" si="23"/>
        <v/>
      </c>
      <c r="M1634" s="27"/>
      <c r="N1634" s="30"/>
      <c r="O1634" s="28"/>
      <c r="P1634" s="28"/>
      <c r="Q1634" s="28"/>
      <c r="R1634" s="28"/>
      <c r="S1634" s="28"/>
    </row>
    <row r="1635">
      <c r="A1635" s="17">
        <v>45891.0</v>
      </c>
      <c r="B1635" s="18" t="s">
        <v>22</v>
      </c>
      <c r="C1635" s="18" t="s">
        <v>166</v>
      </c>
      <c r="D1635" s="19">
        <v>0.3194444444444444</v>
      </c>
      <c r="E1635" s="19">
        <v>0.4722222222222222</v>
      </c>
      <c r="F1635" s="20">
        <f t="shared" si="24"/>
        <v>0.1527777778</v>
      </c>
      <c r="G1635" s="67">
        <f>IFERROR(VLOOKUP(B1635,DADOS!$A$2:$H$252,8,0),"")</f>
        <v>15</v>
      </c>
      <c r="H1635" s="22">
        <v>50.0</v>
      </c>
      <c r="I1635" s="23">
        <f>IFERROR(VLOOKUP(B1635,DADOS!$A$2:$H$252,4,0)*H1635,"")</f>
        <v>30.61377</v>
      </c>
      <c r="J1635" s="36"/>
      <c r="K1635" s="25">
        <f>IFERROR(VLOOKUP(B1635,DADOS!$A$2:$H$252,4,0)*J1635,"")</f>
        <v>0</v>
      </c>
      <c r="L1635" s="26">
        <f t="shared" si="23"/>
        <v>0</v>
      </c>
      <c r="M1635" s="27"/>
      <c r="N1635" s="30"/>
      <c r="O1635" s="28"/>
      <c r="P1635" s="28"/>
      <c r="Q1635" s="28"/>
      <c r="R1635" s="28"/>
      <c r="S1635" s="28"/>
    </row>
    <row r="1636">
      <c r="A1636" s="17">
        <v>45891.0</v>
      </c>
      <c r="B1636" s="18" t="s">
        <v>37</v>
      </c>
      <c r="C1636" s="18" t="s">
        <v>165</v>
      </c>
      <c r="D1636" s="19">
        <v>0.3194444444444444</v>
      </c>
      <c r="E1636" s="19">
        <v>0.4305555555555556</v>
      </c>
      <c r="F1636" s="20">
        <f t="shared" si="24"/>
        <v>0.1111111111</v>
      </c>
      <c r="G1636" s="67" t="str">
        <f>IFERROR(VLOOKUP(B1636,DADOS!$A$2:$H$252,8,0),"")</f>
        <v/>
      </c>
      <c r="H1636" s="22">
        <v>149.0</v>
      </c>
      <c r="I1636" s="23" t="str">
        <f>IFERROR(VLOOKUP(B1636,DADOS!$A$2:$H$252,4,0)*H1636,"")</f>
        <v/>
      </c>
      <c r="J1636" s="24">
        <v>1.0</v>
      </c>
      <c r="K1636" s="25" t="str">
        <f>IFERROR(VLOOKUP(B1636,DADOS!$A$2:$H$252,4,0)*J1636,"")</f>
        <v/>
      </c>
      <c r="L1636" s="26" t="str">
        <f t="shared" si="23"/>
        <v/>
      </c>
      <c r="M1636" s="27"/>
      <c r="N1636" s="30"/>
      <c r="O1636" s="28"/>
      <c r="P1636" s="28"/>
      <c r="Q1636" s="28"/>
      <c r="R1636" s="28"/>
      <c r="S1636" s="28"/>
    </row>
    <row r="1637">
      <c r="A1637" s="17">
        <v>45891.0</v>
      </c>
      <c r="B1637" s="18" t="s">
        <v>77</v>
      </c>
      <c r="C1637" s="18" t="s">
        <v>165</v>
      </c>
      <c r="D1637" s="19">
        <v>0.4548611111111111</v>
      </c>
      <c r="E1637" s="19">
        <v>0.6319444444444444</v>
      </c>
      <c r="F1637" s="20">
        <f t="shared" si="24"/>
        <v>0.1770833333</v>
      </c>
      <c r="G1637" s="67">
        <f>IFERROR(VLOOKUP(B1637,DADOS!$A$2:$H$252,8,0),"")</f>
        <v>120</v>
      </c>
      <c r="H1637" s="22">
        <v>215.0</v>
      </c>
      <c r="I1637" s="23">
        <f>IFERROR(VLOOKUP(B1637,DADOS!$A$2:$H$252,4,0)*H1637,"")</f>
        <v>2.07045</v>
      </c>
      <c r="J1637" s="36"/>
      <c r="K1637" s="25">
        <f>IFERROR(VLOOKUP(B1637,DADOS!$A$2:$H$252,4,0)*J1637,"")</f>
        <v>0</v>
      </c>
      <c r="L1637" s="26">
        <f t="shared" si="23"/>
        <v>0</v>
      </c>
      <c r="M1637" s="27"/>
      <c r="N1637" s="30"/>
      <c r="O1637" s="28"/>
      <c r="P1637" s="28"/>
      <c r="Q1637" s="28"/>
      <c r="R1637" s="28"/>
      <c r="S1637" s="28"/>
    </row>
    <row r="1638">
      <c r="A1638" s="17">
        <v>45892.0</v>
      </c>
      <c r="B1638" s="18" t="s">
        <v>26</v>
      </c>
      <c r="C1638" s="18" t="s">
        <v>193</v>
      </c>
      <c r="D1638" s="19"/>
      <c r="E1638" s="19"/>
      <c r="F1638" s="20">
        <f t="shared" si="24"/>
        <v>0</v>
      </c>
      <c r="G1638" s="67">
        <f>IFERROR(VLOOKUP(B1638,DADOS!$A$2:$H$252,8,0),"")</f>
        <v>50</v>
      </c>
      <c r="H1638" s="22">
        <v>42.0</v>
      </c>
      <c r="I1638" s="23">
        <f>IFERROR(VLOOKUP(B1638,DADOS!$A$2:$H$252,4,0)*H1638,"")</f>
        <v>4.7852112</v>
      </c>
      <c r="J1638" s="36"/>
      <c r="K1638" s="25">
        <f>IFERROR(VLOOKUP(B1638,DADOS!$A$2:$H$252,4,0)*J1638,"")</f>
        <v>0</v>
      </c>
      <c r="L1638" s="26">
        <f t="shared" si="23"/>
        <v>0</v>
      </c>
      <c r="M1638" s="27"/>
      <c r="N1638" s="30"/>
      <c r="O1638" s="28"/>
      <c r="P1638" s="28"/>
      <c r="Q1638" s="28"/>
      <c r="R1638" s="28"/>
      <c r="S1638" s="28"/>
    </row>
    <row r="1639">
      <c r="A1639" s="17">
        <v>45892.0</v>
      </c>
      <c r="B1639" s="18" t="s">
        <v>71</v>
      </c>
      <c r="C1639" s="18" t="s">
        <v>193</v>
      </c>
      <c r="D1639" s="19"/>
      <c r="E1639" s="19"/>
      <c r="F1639" s="20">
        <f t="shared" si="24"/>
        <v>0</v>
      </c>
      <c r="G1639" s="67">
        <f>IFERROR(VLOOKUP(B1639,DADOS!$A$2:$H$252,8,0),"")</f>
        <v>7</v>
      </c>
      <c r="H1639" s="22">
        <v>29.0</v>
      </c>
      <c r="I1639" s="23">
        <f>IFERROR(VLOOKUP(B1639,DADOS!$A$2:$H$252,4,0)*H1639,"")</f>
        <v>40.6697798</v>
      </c>
      <c r="J1639" s="24">
        <v>1.0</v>
      </c>
      <c r="K1639" s="25">
        <f>IFERROR(VLOOKUP(B1639,DADOS!$A$2:$H$252,4,0)*J1639,"")</f>
        <v>1.4024062</v>
      </c>
      <c r="L1639" s="26">
        <f t="shared" si="23"/>
        <v>0</v>
      </c>
      <c r="M1639" s="27"/>
      <c r="N1639" s="30"/>
      <c r="O1639" s="28"/>
      <c r="P1639" s="28"/>
      <c r="Q1639" s="28"/>
      <c r="R1639" s="28"/>
      <c r="S1639" s="28"/>
    </row>
    <row r="1640">
      <c r="A1640" s="17">
        <v>45894.0</v>
      </c>
      <c r="B1640" s="18" t="s">
        <v>30</v>
      </c>
      <c r="C1640" s="18" t="s">
        <v>165</v>
      </c>
      <c r="D1640" s="29">
        <v>0.3229166666666667</v>
      </c>
      <c r="E1640" s="19">
        <v>0.6215277777777778</v>
      </c>
      <c r="F1640" s="20">
        <f t="shared" si="24"/>
        <v>0.2986111111</v>
      </c>
      <c r="G1640" s="67">
        <f>IFERROR(VLOOKUP(B1640,DADOS!$A$2:$H$252,8,0),"")</f>
        <v>14</v>
      </c>
      <c r="H1640" s="22">
        <v>60.0</v>
      </c>
      <c r="I1640" s="23">
        <f>IFERROR(VLOOKUP(B1640,DADOS!$A$2:$H$252,4,0)*H1640,"")</f>
        <v>12.7116</v>
      </c>
      <c r="J1640" s="36"/>
      <c r="K1640" s="25">
        <f>IFERROR(VLOOKUP(B1640,DADOS!$A$2:$H$252,4,0)*J1640,"")</f>
        <v>0</v>
      </c>
      <c r="L1640" s="26">
        <f t="shared" si="23"/>
        <v>0</v>
      </c>
      <c r="M1640" s="27"/>
      <c r="N1640" s="30"/>
      <c r="O1640" s="28"/>
      <c r="P1640" s="28"/>
      <c r="Q1640" s="28"/>
      <c r="R1640" s="28"/>
      <c r="S1640" s="28"/>
    </row>
    <row r="1641">
      <c r="A1641" s="17">
        <v>45894.0</v>
      </c>
      <c r="B1641" s="18" t="s">
        <v>59</v>
      </c>
      <c r="C1641" s="18" t="s">
        <v>165</v>
      </c>
      <c r="D1641" s="19">
        <v>0.6597222222222222</v>
      </c>
      <c r="E1641" s="19">
        <v>0.71875</v>
      </c>
      <c r="F1641" s="20">
        <f t="shared" si="24"/>
        <v>0.05902777778</v>
      </c>
      <c r="G1641" s="67">
        <f>IFERROR(VLOOKUP(B1641,DADOS!$A$2:$H$252,8,0),"")</f>
        <v>50</v>
      </c>
      <c r="H1641" s="22">
        <v>40.0</v>
      </c>
      <c r="I1641" s="23">
        <f>IFERROR(VLOOKUP(B1641,DADOS!$A$2:$H$252,4,0)*H1641,"")</f>
        <v>0.6848</v>
      </c>
      <c r="J1641" s="24">
        <v>1.0</v>
      </c>
      <c r="K1641" s="25">
        <f>IFERROR(VLOOKUP(B1641,DADOS!$A$2:$H$252,4,0)*J1641,"")</f>
        <v>0.01712</v>
      </c>
      <c r="L1641" s="26">
        <f t="shared" si="23"/>
        <v>0</v>
      </c>
      <c r="M1641" s="27"/>
      <c r="N1641" s="30"/>
      <c r="O1641" s="28"/>
      <c r="P1641" s="28"/>
      <c r="Q1641" s="28"/>
      <c r="R1641" s="28"/>
      <c r="S1641" s="28"/>
    </row>
    <row r="1642">
      <c r="A1642" s="17">
        <v>45895.0</v>
      </c>
      <c r="B1642" s="18" t="s">
        <v>32</v>
      </c>
      <c r="C1642" s="18" t="s">
        <v>166</v>
      </c>
      <c r="D1642" s="19"/>
      <c r="E1642" s="19"/>
      <c r="F1642" s="20">
        <f t="shared" si="24"/>
        <v>0</v>
      </c>
      <c r="G1642" s="67">
        <f>IFERROR(VLOOKUP(B1642,DADOS!$A$2:$H$252,8,0),"")</f>
        <v>10</v>
      </c>
      <c r="H1642" s="22">
        <v>40.0</v>
      </c>
      <c r="I1642" s="23">
        <f>IFERROR(VLOOKUP(B1642,DADOS!$A$2:$H$252,4,0)*H1642,"")</f>
        <v>24.491016</v>
      </c>
      <c r="J1642" s="36"/>
      <c r="K1642" s="25">
        <f>IFERROR(VLOOKUP(B1642,DADOS!$A$2:$H$252,4,0)*J1642,"")</f>
        <v>0</v>
      </c>
      <c r="L1642" s="26">
        <f t="shared" si="23"/>
        <v>0</v>
      </c>
      <c r="M1642" s="27"/>
      <c r="N1642" s="30"/>
      <c r="O1642" s="28"/>
      <c r="P1642" s="28"/>
      <c r="Q1642" s="28"/>
      <c r="R1642" s="28"/>
      <c r="S1642" s="28"/>
    </row>
    <row r="1643">
      <c r="A1643" s="17">
        <v>45895.0</v>
      </c>
      <c r="B1643" s="18" t="s">
        <v>59</v>
      </c>
      <c r="C1643" s="18" t="s">
        <v>165</v>
      </c>
      <c r="D1643" s="19">
        <v>0.3333333333333333</v>
      </c>
      <c r="E1643" s="19">
        <v>0.7118055555555556</v>
      </c>
      <c r="F1643" s="20">
        <f t="shared" si="24"/>
        <v>0.3784722222</v>
      </c>
      <c r="G1643" s="67">
        <f>IFERROR(VLOOKUP(B1643,DADOS!$A$2:$H$252,8,0),"")</f>
        <v>50</v>
      </c>
      <c r="H1643" s="22">
        <v>274.0</v>
      </c>
      <c r="I1643" s="23">
        <f>IFERROR(VLOOKUP(B1643,DADOS!$A$2:$H$252,4,0)*H1643,"")</f>
        <v>4.69088</v>
      </c>
      <c r="J1643" s="24">
        <v>2.0</v>
      </c>
      <c r="K1643" s="25">
        <f>IFERROR(VLOOKUP(B1643,DADOS!$A$2:$H$252,4,0)*J1643,"")</f>
        <v>0.03424</v>
      </c>
      <c r="L1643" s="26">
        <f t="shared" si="23"/>
        <v>0</v>
      </c>
      <c r="M1643" s="27"/>
      <c r="N1643" s="30"/>
      <c r="O1643" s="28"/>
      <c r="P1643" s="28"/>
      <c r="Q1643" s="28"/>
      <c r="R1643" s="28"/>
      <c r="S1643" s="28"/>
    </row>
    <row r="1644">
      <c r="A1644" s="17">
        <v>45896.0</v>
      </c>
      <c r="B1644" s="18" t="s">
        <v>59</v>
      </c>
      <c r="C1644" s="18" t="s">
        <v>165</v>
      </c>
      <c r="D1644" s="19">
        <v>0.3194444444444444</v>
      </c>
      <c r="E1644" s="19">
        <v>0.6493055555555556</v>
      </c>
      <c r="F1644" s="20">
        <f t="shared" si="24"/>
        <v>0.3298611111</v>
      </c>
      <c r="G1644" s="67">
        <f>IFERROR(VLOOKUP(B1644,DADOS!$A$2:$H$252,8,0),"")</f>
        <v>50</v>
      </c>
      <c r="H1644" s="22">
        <v>139.0</v>
      </c>
      <c r="I1644" s="23">
        <f>IFERROR(VLOOKUP(B1644,DADOS!$A$2:$H$252,4,0)*H1644,"")</f>
        <v>2.37968</v>
      </c>
      <c r="J1644" s="24">
        <v>8.0</v>
      </c>
      <c r="K1644" s="25">
        <f>IFERROR(VLOOKUP(B1644,DADOS!$A$2:$H$252,4,0)*J1644,"")</f>
        <v>0.13696</v>
      </c>
      <c r="L1644" s="26">
        <f t="shared" si="23"/>
        <v>0</v>
      </c>
      <c r="M1644" s="27"/>
      <c r="N1644" s="30"/>
      <c r="O1644" s="28"/>
      <c r="P1644" s="28"/>
      <c r="Q1644" s="28"/>
      <c r="R1644" s="28"/>
      <c r="S1644" s="28"/>
    </row>
    <row r="1645">
      <c r="A1645" s="17">
        <v>45896.0</v>
      </c>
      <c r="B1645" s="18" t="s">
        <v>27</v>
      </c>
      <c r="C1645" s="18" t="s">
        <v>165</v>
      </c>
      <c r="D1645" s="19">
        <v>0.6597222222222222</v>
      </c>
      <c r="E1645" s="19">
        <v>0.71875</v>
      </c>
      <c r="F1645" s="20">
        <f t="shared" si="24"/>
        <v>0.05902777778</v>
      </c>
      <c r="G1645" s="67">
        <f>IFERROR(VLOOKUP(B1645,DADOS!$A$2:$H$252,8,0),"")</f>
        <v>30</v>
      </c>
      <c r="H1645" s="22">
        <v>42.0</v>
      </c>
      <c r="I1645" s="23">
        <f>IFERROR(VLOOKUP(B1645,DADOS!$A$2:$H$252,4,0)*H1645,"")</f>
        <v>0.71904</v>
      </c>
      <c r="J1645" s="36"/>
      <c r="K1645" s="25">
        <f>IFERROR(VLOOKUP(B1645,DADOS!$A$2:$H$252,4,0)*J1645,"")</f>
        <v>0</v>
      </c>
      <c r="L1645" s="26">
        <f t="shared" si="23"/>
        <v>0</v>
      </c>
      <c r="M1645" s="27"/>
      <c r="N1645" s="30"/>
      <c r="O1645" s="28"/>
      <c r="P1645" s="28"/>
      <c r="Q1645" s="28"/>
      <c r="R1645" s="28"/>
      <c r="S1645" s="28"/>
    </row>
    <row r="1646">
      <c r="A1646" s="17">
        <v>45897.0</v>
      </c>
      <c r="B1646" s="18" t="s">
        <v>62</v>
      </c>
      <c r="C1646" s="18" t="s">
        <v>166</v>
      </c>
      <c r="D1646" s="19"/>
      <c r="E1646" s="19"/>
      <c r="F1646" s="20">
        <f t="shared" si="24"/>
        <v>0</v>
      </c>
      <c r="G1646" s="67">
        <f>IFERROR(VLOOKUP(B1646,DADOS!$A$2:$H$252,8,0),"")</f>
        <v>14</v>
      </c>
      <c r="H1646" s="22">
        <v>35.0</v>
      </c>
      <c r="I1646" s="23">
        <f>IFERROR(VLOOKUP(B1646,DADOS!$A$2:$H$252,4,0)*H1646,"")</f>
        <v>2.974279</v>
      </c>
      <c r="J1646" s="36"/>
      <c r="K1646" s="25">
        <f>IFERROR(VLOOKUP(B1646,DADOS!$A$2:$H$252,4,0)*J1646,"")</f>
        <v>0</v>
      </c>
      <c r="L1646" s="26">
        <f t="shared" si="23"/>
        <v>0</v>
      </c>
      <c r="M1646" s="27"/>
      <c r="N1646" s="30"/>
      <c r="O1646" s="28"/>
      <c r="P1646" s="28"/>
      <c r="Q1646" s="28"/>
      <c r="R1646" s="28"/>
      <c r="S1646" s="28"/>
    </row>
    <row r="1647">
      <c r="A1647" s="17">
        <v>45897.0</v>
      </c>
      <c r="B1647" s="18" t="s">
        <v>113</v>
      </c>
      <c r="C1647" s="18" t="s">
        <v>166</v>
      </c>
      <c r="D1647" s="19"/>
      <c r="E1647" s="19"/>
      <c r="F1647" s="20">
        <f t="shared" si="24"/>
        <v>0</v>
      </c>
      <c r="G1647" s="67">
        <f>IFERROR(VLOOKUP(B1647,DADOS!$A$2:$H$252,8,0),"")</f>
        <v>8</v>
      </c>
      <c r="H1647" s="22">
        <v>24.0</v>
      </c>
      <c r="I1647" s="23">
        <f>IFERROR(VLOOKUP(B1647,DADOS!$A$2:$H$252,4,0)*H1647,"")</f>
        <v>15.2765184</v>
      </c>
      <c r="J1647" s="36"/>
      <c r="K1647" s="25">
        <f>IFERROR(VLOOKUP(B1647,DADOS!$A$2:$H$252,4,0)*J1647,"")</f>
        <v>0</v>
      </c>
      <c r="L1647" s="26">
        <f t="shared" si="23"/>
        <v>0</v>
      </c>
      <c r="M1647" s="27"/>
      <c r="N1647" s="30"/>
      <c r="O1647" s="28"/>
      <c r="P1647" s="28"/>
      <c r="Q1647" s="28"/>
      <c r="R1647" s="28"/>
      <c r="S1647" s="28"/>
    </row>
    <row r="1648">
      <c r="A1648" s="17">
        <v>45897.0</v>
      </c>
      <c r="B1648" s="18" t="s">
        <v>27</v>
      </c>
      <c r="C1648" s="18" t="s">
        <v>165</v>
      </c>
      <c r="D1648" s="19"/>
      <c r="E1648" s="19"/>
      <c r="F1648" s="20">
        <f t="shared" si="24"/>
        <v>0</v>
      </c>
      <c r="G1648" s="67">
        <f>IFERROR(VLOOKUP(B1648,DADOS!$A$2:$H$252,8,0),"")</f>
        <v>30</v>
      </c>
      <c r="H1648" s="22">
        <v>190.0</v>
      </c>
      <c r="I1648" s="23">
        <f>IFERROR(VLOOKUP(B1648,DADOS!$A$2:$H$252,4,0)*H1648,"")</f>
        <v>3.2528</v>
      </c>
      <c r="J1648" s="24">
        <v>2.0</v>
      </c>
      <c r="K1648" s="25">
        <f>IFERROR(VLOOKUP(B1648,DADOS!$A$2:$H$252,4,0)*J1648,"")</f>
        <v>0.03424</v>
      </c>
      <c r="L1648" s="26">
        <f t="shared" si="23"/>
        <v>0</v>
      </c>
      <c r="M1648" s="27"/>
      <c r="N1648" s="30"/>
      <c r="O1648" s="28"/>
      <c r="P1648" s="28"/>
      <c r="Q1648" s="28"/>
      <c r="R1648" s="28"/>
      <c r="S1648" s="28"/>
    </row>
    <row r="1649">
      <c r="A1649" s="17">
        <v>45898.0</v>
      </c>
      <c r="B1649" s="18" t="s">
        <v>22</v>
      </c>
      <c r="C1649" s="18" t="s">
        <v>166</v>
      </c>
      <c r="D1649" s="19"/>
      <c r="E1649" s="19"/>
      <c r="F1649" s="20">
        <f t="shared" si="24"/>
        <v>0</v>
      </c>
      <c r="G1649" s="67">
        <f>IFERROR(VLOOKUP(B1649,DADOS!$A$2:$H$252,8,0),"")</f>
        <v>15</v>
      </c>
      <c r="H1649" s="22">
        <v>30.0</v>
      </c>
      <c r="I1649" s="23">
        <f>IFERROR(VLOOKUP(B1649,DADOS!$A$2:$H$252,4,0)*H1649,"")</f>
        <v>18.368262</v>
      </c>
      <c r="J1649" s="36"/>
      <c r="K1649" s="25">
        <f>IFERROR(VLOOKUP(B1649,DADOS!$A$2:$H$252,4,0)*J1649,"")</f>
        <v>0</v>
      </c>
      <c r="L1649" s="26">
        <f t="shared" si="23"/>
        <v>0</v>
      </c>
      <c r="M1649" s="27"/>
      <c r="N1649" s="30"/>
      <c r="O1649" s="28"/>
      <c r="P1649" s="28"/>
      <c r="Q1649" s="28"/>
      <c r="R1649" s="28"/>
      <c r="S1649" s="28"/>
    </row>
    <row r="1650">
      <c r="A1650" s="17">
        <v>45898.0</v>
      </c>
      <c r="B1650" s="18" t="s">
        <v>62</v>
      </c>
      <c r="C1650" s="18" t="s">
        <v>166</v>
      </c>
      <c r="D1650" s="19"/>
      <c r="E1650" s="19"/>
      <c r="F1650" s="20">
        <f t="shared" si="24"/>
        <v>0</v>
      </c>
      <c r="G1650" s="67">
        <f>IFERROR(VLOOKUP(B1650,DADOS!$A$2:$H$252,8,0),"")</f>
        <v>14</v>
      </c>
      <c r="H1650" s="22">
        <v>38.0</v>
      </c>
      <c r="I1650" s="23">
        <f>IFERROR(VLOOKUP(B1650,DADOS!$A$2:$H$252,4,0)*H1650,"")</f>
        <v>3.2292172</v>
      </c>
      <c r="J1650" s="36"/>
      <c r="K1650" s="25">
        <f>IFERROR(VLOOKUP(B1650,DADOS!$A$2:$H$252,4,0)*J1650,"")</f>
        <v>0</v>
      </c>
      <c r="L1650" s="26">
        <f t="shared" si="23"/>
        <v>0</v>
      </c>
      <c r="M1650" s="27"/>
      <c r="N1650" s="30"/>
      <c r="O1650" s="28"/>
      <c r="P1650" s="28"/>
      <c r="Q1650" s="28"/>
      <c r="R1650" s="28"/>
      <c r="S1650" s="28"/>
    </row>
    <row r="1651">
      <c r="A1651" s="17">
        <v>45898.0</v>
      </c>
      <c r="B1651" s="18" t="s">
        <v>27</v>
      </c>
      <c r="C1651" s="18" t="s">
        <v>165</v>
      </c>
      <c r="D1651" s="19"/>
      <c r="E1651" s="19"/>
      <c r="F1651" s="20">
        <f t="shared" si="24"/>
        <v>0</v>
      </c>
      <c r="G1651" s="67">
        <f>IFERROR(VLOOKUP(B1651,DADOS!$A$2:$H$252,8,0),"")</f>
        <v>30</v>
      </c>
      <c r="H1651" s="22">
        <v>54.0</v>
      </c>
      <c r="I1651" s="23">
        <f>IFERROR(VLOOKUP(B1651,DADOS!$A$2:$H$252,4,0)*H1651,"")</f>
        <v>0.92448</v>
      </c>
      <c r="J1651" s="24">
        <v>5.0</v>
      </c>
      <c r="K1651" s="25">
        <f>IFERROR(VLOOKUP(B1651,DADOS!$A$2:$H$252,4,0)*J1651,"")</f>
        <v>0.0856</v>
      </c>
      <c r="L1651" s="26">
        <f t="shared" si="23"/>
        <v>0</v>
      </c>
      <c r="M1651" s="27"/>
      <c r="N1651" s="30"/>
      <c r="O1651" s="28"/>
      <c r="P1651" s="28"/>
      <c r="Q1651" s="28"/>
      <c r="R1651" s="28"/>
      <c r="S1651" s="28"/>
    </row>
    <row r="1652">
      <c r="A1652" s="17">
        <v>45901.0</v>
      </c>
      <c r="B1652" s="18" t="s">
        <v>27</v>
      </c>
      <c r="C1652" s="18" t="s">
        <v>165</v>
      </c>
      <c r="D1652" s="19"/>
      <c r="E1652" s="19"/>
      <c r="F1652" s="20">
        <f t="shared" si="24"/>
        <v>0</v>
      </c>
      <c r="G1652" s="67">
        <f>IFERROR(VLOOKUP(B1652,DADOS!$A$2:$H$252,8,0),"")</f>
        <v>30</v>
      </c>
      <c r="H1652" s="22">
        <v>153.0</v>
      </c>
      <c r="I1652" s="23">
        <f>IFERROR(VLOOKUP(B1652,DADOS!$A$2:$H$252,4,0)*H1652,"")</f>
        <v>2.61936</v>
      </c>
      <c r="J1652" s="24">
        <v>1.0</v>
      </c>
      <c r="K1652" s="25">
        <f>IFERROR(VLOOKUP(B1652,DADOS!$A$2:$H$252,4,0)*J1652,"")</f>
        <v>0.01712</v>
      </c>
      <c r="L1652" s="26">
        <f t="shared" si="23"/>
        <v>0</v>
      </c>
      <c r="M1652" s="27"/>
      <c r="N1652" s="30"/>
      <c r="O1652" s="28"/>
      <c r="P1652" s="28"/>
      <c r="Q1652" s="28"/>
      <c r="R1652" s="28"/>
      <c r="S1652" s="28"/>
    </row>
    <row r="1653">
      <c r="A1653" s="17">
        <v>45901.0</v>
      </c>
      <c r="B1653" s="18" t="s">
        <v>27</v>
      </c>
      <c r="C1653" s="18" t="s">
        <v>165</v>
      </c>
      <c r="D1653" s="19"/>
      <c r="E1653" s="19"/>
      <c r="F1653" s="20">
        <f t="shared" si="24"/>
        <v>0</v>
      </c>
      <c r="G1653" s="67">
        <f>IFERROR(VLOOKUP(B1653,DADOS!$A$2:$H$252,8,0),"")</f>
        <v>30</v>
      </c>
      <c r="H1653" s="22">
        <v>120.0</v>
      </c>
      <c r="I1653" s="23">
        <f>IFERROR(VLOOKUP(B1653,DADOS!$A$2:$H$252,4,0)*H1653,"")</f>
        <v>2.0544</v>
      </c>
      <c r="J1653" s="24">
        <v>1.0</v>
      </c>
      <c r="K1653" s="25">
        <f>IFERROR(VLOOKUP(B1653,DADOS!$A$2:$H$252,4,0)*J1653,"")</f>
        <v>0.01712</v>
      </c>
      <c r="L1653" s="26">
        <f t="shared" si="23"/>
        <v>0</v>
      </c>
      <c r="M1653" s="27"/>
      <c r="N1653" s="30"/>
      <c r="O1653" s="28"/>
      <c r="P1653" s="28"/>
      <c r="Q1653" s="28"/>
      <c r="R1653" s="28"/>
      <c r="S1653" s="28"/>
    </row>
    <row r="1654">
      <c r="A1654" s="17">
        <v>45902.0</v>
      </c>
      <c r="B1654" s="18" t="s">
        <v>201</v>
      </c>
      <c r="C1654" s="18" t="s">
        <v>166</v>
      </c>
      <c r="D1654" s="19">
        <v>0.3333333333333333</v>
      </c>
      <c r="E1654" s="19">
        <v>0.4861111111111111</v>
      </c>
      <c r="F1654" s="20">
        <f t="shared" si="24"/>
        <v>0.1527777778</v>
      </c>
      <c r="G1654" s="67">
        <f>IFERROR(VLOOKUP(B1654,DADOS!$A$2:$H$252,8,0),"")</f>
        <v>12</v>
      </c>
      <c r="H1654" s="22">
        <v>29.0</v>
      </c>
      <c r="I1654" s="23">
        <f>IFERROR(VLOOKUP(B1654,DADOS!$A$2:$H$252,4,0)*H1654,"")</f>
        <v>18.4591264</v>
      </c>
      <c r="J1654" s="36"/>
      <c r="K1654" s="25">
        <f>IFERROR(VLOOKUP(B1654,DADOS!$A$2:$H$252,4,0)*J1654,"")</f>
        <v>0</v>
      </c>
      <c r="L1654" s="26">
        <f t="shared" si="23"/>
        <v>0</v>
      </c>
      <c r="M1654" s="27"/>
      <c r="N1654" s="30"/>
      <c r="O1654" s="28"/>
      <c r="P1654" s="28"/>
      <c r="Q1654" s="28"/>
      <c r="R1654" s="28"/>
      <c r="S1654" s="28"/>
    </row>
    <row r="1655">
      <c r="A1655" s="17">
        <v>45902.0</v>
      </c>
      <c r="B1655" s="18" t="s">
        <v>61</v>
      </c>
      <c r="C1655" s="18" t="s">
        <v>19</v>
      </c>
      <c r="D1655" s="19"/>
      <c r="E1655" s="19"/>
      <c r="F1655" s="20">
        <f t="shared" si="24"/>
        <v>0</v>
      </c>
      <c r="G1655" s="67">
        <f>IFERROR(VLOOKUP(B1655,DADOS!$A$2:$H$252,8,0),"")</f>
        <v>112</v>
      </c>
      <c r="H1655" s="22">
        <v>20.0</v>
      </c>
      <c r="I1655" s="23">
        <f>IFERROR(VLOOKUP(B1655,DADOS!$A$2:$H$252,4,0)*H1655,"")</f>
        <v>0.2996</v>
      </c>
      <c r="J1655" s="36"/>
      <c r="K1655" s="25">
        <f>IFERROR(VLOOKUP(B1655,DADOS!$A$2:$H$252,4,0)*J1655,"")</f>
        <v>0</v>
      </c>
      <c r="L1655" s="26">
        <f t="shared" si="23"/>
        <v>0</v>
      </c>
      <c r="M1655" s="27"/>
      <c r="N1655" s="30"/>
      <c r="O1655" s="28"/>
      <c r="P1655" s="28"/>
      <c r="Q1655" s="28"/>
      <c r="R1655" s="28"/>
      <c r="S1655" s="28"/>
    </row>
    <row r="1656">
      <c r="A1656" s="17">
        <v>45902.0</v>
      </c>
      <c r="B1656" s="18" t="s">
        <v>62</v>
      </c>
      <c r="C1656" s="18" t="s">
        <v>19</v>
      </c>
      <c r="D1656" s="19"/>
      <c r="E1656" s="19"/>
      <c r="F1656" s="20">
        <f t="shared" si="24"/>
        <v>0</v>
      </c>
      <c r="G1656" s="67">
        <f>IFERROR(VLOOKUP(B1656,DADOS!$A$2:$H$252,8,0),"")</f>
        <v>14</v>
      </c>
      <c r="H1656" s="22">
        <v>5.0</v>
      </c>
      <c r="I1656" s="23">
        <f>IFERROR(VLOOKUP(B1656,DADOS!$A$2:$H$252,4,0)*H1656,"")</f>
        <v>0.424897</v>
      </c>
      <c r="J1656" s="36"/>
      <c r="K1656" s="25">
        <f>IFERROR(VLOOKUP(B1656,DADOS!$A$2:$H$252,4,0)*J1656,"")</f>
        <v>0</v>
      </c>
      <c r="L1656" s="26">
        <f t="shared" si="23"/>
        <v>0</v>
      </c>
      <c r="M1656" s="27"/>
      <c r="N1656" s="30"/>
      <c r="O1656" s="28"/>
      <c r="P1656" s="28"/>
      <c r="Q1656" s="28"/>
      <c r="R1656" s="28"/>
      <c r="S1656" s="28"/>
    </row>
    <row r="1657">
      <c r="A1657" s="93">
        <v>45902.0</v>
      </c>
      <c r="B1657" s="94" t="s">
        <v>26</v>
      </c>
      <c r="C1657" s="94" t="s">
        <v>19</v>
      </c>
      <c r="D1657" s="42"/>
      <c r="E1657" s="42"/>
      <c r="F1657" s="20">
        <f t="shared" si="24"/>
        <v>0</v>
      </c>
      <c r="G1657" s="67">
        <f>IFERROR(VLOOKUP(B1657,DADOS!$A$2:$H$252,8,0),"")</f>
        <v>50</v>
      </c>
      <c r="H1657" s="95">
        <v>10.0</v>
      </c>
      <c r="I1657" s="23">
        <f>IFERROR(VLOOKUP(B1657,DADOS!$A$2:$H$252,4,0)*H1657,"")</f>
        <v>1.139336</v>
      </c>
      <c r="J1657" s="96"/>
      <c r="K1657" s="25">
        <f>IFERROR(VLOOKUP(B1657,DADOS!$A$2:$H$252,4,0)*J1657,"")</f>
        <v>0</v>
      </c>
      <c r="L1657" s="26">
        <f t="shared" si="23"/>
        <v>0</v>
      </c>
      <c r="M1657" s="97"/>
      <c r="N1657" s="98"/>
      <c r="O1657" s="28"/>
      <c r="P1657" s="28"/>
      <c r="Q1657" s="28"/>
      <c r="R1657" s="28"/>
      <c r="S1657" s="28"/>
    </row>
    <row r="1658">
      <c r="A1658" s="17">
        <v>45902.0</v>
      </c>
      <c r="B1658" s="18" t="s">
        <v>26</v>
      </c>
      <c r="C1658" s="18" t="s">
        <v>19</v>
      </c>
      <c r="D1658" s="19"/>
      <c r="E1658" s="19"/>
      <c r="F1658" s="20">
        <f t="shared" si="24"/>
        <v>0</v>
      </c>
      <c r="G1658" s="67">
        <f>IFERROR(VLOOKUP(B1658,DADOS!$A$2:$H$252,8,0),"")</f>
        <v>50</v>
      </c>
      <c r="H1658" s="22">
        <v>6.0</v>
      </c>
      <c r="I1658" s="23">
        <f>IFERROR(VLOOKUP(B1658,DADOS!$A$2:$H$252,4,0)*H1658,"")</f>
        <v>0.6836016</v>
      </c>
      <c r="J1658" s="36"/>
      <c r="K1658" s="25">
        <f>IFERROR(VLOOKUP(B1658,DADOS!$A$2:$H$252,4,0)*J1658,"")</f>
        <v>0</v>
      </c>
      <c r="L1658" s="26">
        <f t="shared" si="23"/>
        <v>0</v>
      </c>
      <c r="M1658" s="27"/>
      <c r="N1658" s="30"/>
      <c r="O1658" s="28"/>
      <c r="P1658" s="28"/>
      <c r="Q1658" s="28"/>
      <c r="R1658" s="28"/>
      <c r="S1658" s="28"/>
    </row>
    <row r="1659">
      <c r="A1659" s="17">
        <v>45902.0</v>
      </c>
      <c r="B1659" s="18" t="s">
        <v>61</v>
      </c>
      <c r="C1659" s="18" t="s">
        <v>65</v>
      </c>
      <c r="D1659" s="19"/>
      <c r="E1659" s="19"/>
      <c r="F1659" s="20">
        <f t="shared" si="24"/>
        <v>0</v>
      </c>
      <c r="G1659" s="67">
        <f>IFERROR(VLOOKUP(B1659,DADOS!$A$2:$H$252,8,0),"")</f>
        <v>112</v>
      </c>
      <c r="H1659" s="22">
        <v>59.0</v>
      </c>
      <c r="I1659" s="23">
        <f>IFERROR(VLOOKUP(B1659,DADOS!$A$2:$H$252,4,0)*H1659,"")</f>
        <v>0.88382</v>
      </c>
      <c r="J1659" s="36"/>
      <c r="K1659" s="25">
        <f>IFERROR(VLOOKUP(B1659,DADOS!$A$2:$H$252,4,0)*J1659,"")</f>
        <v>0</v>
      </c>
      <c r="L1659" s="26">
        <f t="shared" si="23"/>
        <v>0</v>
      </c>
      <c r="M1659" s="27"/>
      <c r="N1659" s="30"/>
      <c r="O1659" s="68"/>
      <c r="P1659" s="68"/>
      <c r="Q1659" s="68"/>
      <c r="R1659" s="68"/>
      <c r="S1659" s="68"/>
      <c r="T1659" s="69"/>
      <c r="U1659" s="69"/>
      <c r="V1659" s="69"/>
      <c r="W1659" s="69"/>
      <c r="X1659" s="69"/>
      <c r="Y1659" s="69"/>
      <c r="Z1659" s="69"/>
      <c r="AA1659" s="69"/>
      <c r="AB1659" s="69"/>
      <c r="AC1659" s="69"/>
      <c r="AD1659" s="69"/>
      <c r="AE1659" s="69"/>
      <c r="AF1659" s="69"/>
      <c r="AG1659" s="69"/>
      <c r="AH1659" s="69"/>
      <c r="AI1659" s="69"/>
      <c r="AJ1659" s="69"/>
    </row>
    <row r="1660">
      <c r="A1660" s="93">
        <v>45902.0</v>
      </c>
      <c r="B1660" s="94" t="s">
        <v>18</v>
      </c>
      <c r="C1660" s="94" t="s">
        <v>165</v>
      </c>
      <c r="D1660" s="42"/>
      <c r="E1660" s="42"/>
      <c r="F1660" s="20">
        <f t="shared" si="24"/>
        <v>0</v>
      </c>
      <c r="G1660" s="67">
        <f>IFERROR(VLOOKUP(B1660,DADOS!$A$2:$H$252,8,0),"")</f>
        <v>21</v>
      </c>
      <c r="H1660" s="95">
        <v>89.0</v>
      </c>
      <c r="I1660" s="23">
        <f>IFERROR(VLOOKUP(B1660,DADOS!$A$2:$H$252,4,0)*H1660,"")</f>
        <v>26.073974</v>
      </c>
      <c r="J1660" s="96"/>
      <c r="K1660" s="25">
        <f>IFERROR(VLOOKUP(B1660,DADOS!$A$2:$H$252,4,0)*J1660,"")</f>
        <v>0</v>
      </c>
      <c r="L1660" s="26">
        <f t="shared" si="23"/>
        <v>0</v>
      </c>
      <c r="M1660" s="97"/>
      <c r="N1660" s="98"/>
      <c r="O1660" s="68"/>
      <c r="P1660" s="68"/>
      <c r="Q1660" s="68"/>
      <c r="R1660" s="68"/>
      <c r="S1660" s="68"/>
      <c r="T1660" s="69"/>
      <c r="U1660" s="69"/>
      <c r="V1660" s="69"/>
      <c r="W1660" s="69"/>
      <c r="X1660" s="69"/>
      <c r="Y1660" s="69"/>
      <c r="Z1660" s="69"/>
      <c r="AA1660" s="69"/>
      <c r="AB1660" s="69"/>
      <c r="AC1660" s="69"/>
      <c r="AD1660" s="69"/>
      <c r="AE1660" s="69"/>
      <c r="AF1660" s="69"/>
      <c r="AG1660" s="69"/>
      <c r="AH1660" s="69"/>
      <c r="AI1660" s="69"/>
      <c r="AJ1660" s="69"/>
    </row>
    <row r="1661">
      <c r="A1661" s="70">
        <v>45902.0</v>
      </c>
      <c r="B1661" s="71" t="s">
        <v>105</v>
      </c>
      <c r="C1661" s="71" t="s">
        <v>80</v>
      </c>
      <c r="D1661" s="72"/>
      <c r="E1661" s="72"/>
      <c r="F1661" s="20">
        <f t="shared" si="24"/>
        <v>0</v>
      </c>
      <c r="G1661" s="67">
        <f>IFERROR(VLOOKUP(B1661,DADOS!$A$2:$H$252,8,0),"")</f>
        <v>18</v>
      </c>
      <c r="H1661" s="73"/>
      <c r="I1661" s="23">
        <f>IFERROR(VLOOKUP(B1661,DADOS!$A$2:$H$252,4,0)*H1661,"")</f>
        <v>0</v>
      </c>
      <c r="J1661" s="74">
        <v>2.0</v>
      </c>
      <c r="K1661" s="25">
        <f>IFERROR(VLOOKUP(B1661,DADOS!$A$2:$H$252,4,0)*J1661,"")</f>
        <v>0.1699588</v>
      </c>
      <c r="L1661" s="26">
        <f t="shared" si="23"/>
        <v>0</v>
      </c>
      <c r="M1661" s="75" t="s">
        <v>83</v>
      </c>
      <c r="N1661" s="75" t="s">
        <v>88</v>
      </c>
      <c r="O1661" s="68"/>
      <c r="P1661" s="68"/>
      <c r="Q1661" s="68"/>
      <c r="R1661" s="68"/>
      <c r="S1661" s="68"/>
      <c r="T1661" s="69"/>
      <c r="U1661" s="69"/>
      <c r="V1661" s="69"/>
      <c r="W1661" s="69"/>
      <c r="X1661" s="69"/>
      <c r="Y1661" s="69"/>
      <c r="Z1661" s="69"/>
      <c r="AA1661" s="69"/>
      <c r="AB1661" s="69"/>
      <c r="AC1661" s="69"/>
      <c r="AD1661" s="69"/>
      <c r="AE1661" s="69"/>
      <c r="AF1661" s="69"/>
      <c r="AG1661" s="69"/>
      <c r="AH1661" s="69"/>
      <c r="AI1661" s="69"/>
      <c r="AJ1661" s="69"/>
    </row>
    <row r="1662">
      <c r="A1662" s="70">
        <v>45902.0</v>
      </c>
      <c r="B1662" s="71" t="s">
        <v>18</v>
      </c>
      <c r="C1662" s="71" t="s">
        <v>80</v>
      </c>
      <c r="D1662" s="72"/>
      <c r="E1662" s="72"/>
      <c r="F1662" s="20">
        <f t="shared" si="24"/>
        <v>0</v>
      </c>
      <c r="G1662" s="67">
        <f>IFERROR(VLOOKUP(B1662,DADOS!$A$2:$H$252,8,0),"")</f>
        <v>21</v>
      </c>
      <c r="H1662" s="73"/>
      <c r="I1662" s="23">
        <f>IFERROR(VLOOKUP(B1662,DADOS!$A$2:$H$252,4,0)*H1662,"")</f>
        <v>0</v>
      </c>
      <c r="J1662" s="74">
        <v>2.0</v>
      </c>
      <c r="K1662" s="25">
        <f>IFERROR(VLOOKUP(B1662,DADOS!$A$2:$H$252,4,0)*J1662,"")</f>
        <v>0.585932</v>
      </c>
      <c r="L1662" s="26">
        <f t="shared" si="23"/>
        <v>0</v>
      </c>
      <c r="M1662" s="75" t="s">
        <v>83</v>
      </c>
      <c r="N1662" s="75" t="s">
        <v>88</v>
      </c>
      <c r="O1662" s="68"/>
      <c r="P1662" s="68"/>
      <c r="Q1662" s="68"/>
      <c r="R1662" s="68"/>
      <c r="S1662" s="68"/>
      <c r="T1662" s="69"/>
      <c r="U1662" s="69"/>
      <c r="V1662" s="69"/>
      <c r="W1662" s="69"/>
      <c r="X1662" s="69"/>
      <c r="Y1662" s="69"/>
      <c r="Z1662" s="69"/>
      <c r="AA1662" s="69"/>
      <c r="AB1662" s="69"/>
      <c r="AC1662" s="69"/>
      <c r="AD1662" s="69"/>
      <c r="AE1662" s="69"/>
      <c r="AF1662" s="69"/>
      <c r="AG1662" s="69"/>
      <c r="AH1662" s="69"/>
      <c r="AI1662" s="69"/>
      <c r="AJ1662" s="69"/>
    </row>
    <row r="1663">
      <c r="A1663" s="70">
        <v>45902.0</v>
      </c>
      <c r="B1663" s="71" t="s">
        <v>186</v>
      </c>
      <c r="C1663" s="71" t="s">
        <v>80</v>
      </c>
      <c r="D1663" s="72"/>
      <c r="E1663" s="72"/>
      <c r="F1663" s="20">
        <f t="shared" si="24"/>
        <v>0</v>
      </c>
      <c r="G1663" s="67">
        <f>IFERROR(VLOOKUP(B1663,DADOS!$A$2:$H$252,8,0),"")</f>
        <v>25</v>
      </c>
      <c r="H1663" s="73"/>
      <c r="I1663" s="23">
        <f>IFERROR(VLOOKUP(B1663,DADOS!$A$2:$H$252,4,0)*H1663,"")</f>
        <v>0</v>
      </c>
      <c r="J1663" s="74">
        <v>1.0</v>
      </c>
      <c r="K1663" s="25">
        <f>IFERROR(VLOOKUP(B1663,DADOS!$A$2:$H$252,4,0)*J1663,"")</f>
        <v>0.277344</v>
      </c>
      <c r="L1663" s="26">
        <f t="shared" si="23"/>
        <v>0</v>
      </c>
      <c r="M1663" s="75" t="s">
        <v>83</v>
      </c>
      <c r="N1663" s="75" t="s">
        <v>88</v>
      </c>
      <c r="O1663" s="68"/>
      <c r="P1663" s="68"/>
      <c r="Q1663" s="68"/>
      <c r="R1663" s="68"/>
      <c r="S1663" s="68"/>
      <c r="T1663" s="69"/>
      <c r="U1663" s="69"/>
      <c r="V1663" s="69"/>
      <c r="W1663" s="69"/>
      <c r="X1663" s="69"/>
      <c r="Y1663" s="69"/>
      <c r="Z1663" s="69"/>
      <c r="AA1663" s="69"/>
      <c r="AB1663" s="69"/>
      <c r="AC1663" s="69"/>
      <c r="AD1663" s="69"/>
      <c r="AE1663" s="69"/>
      <c r="AF1663" s="69"/>
      <c r="AG1663" s="69"/>
      <c r="AH1663" s="69"/>
      <c r="AI1663" s="69"/>
      <c r="AJ1663" s="69"/>
    </row>
    <row r="1664">
      <c r="A1664" s="70">
        <v>45902.0</v>
      </c>
      <c r="B1664" s="71" t="s">
        <v>51</v>
      </c>
      <c r="C1664" s="71" t="s">
        <v>80</v>
      </c>
      <c r="D1664" s="72"/>
      <c r="E1664" s="72"/>
      <c r="F1664" s="20">
        <f t="shared" si="24"/>
        <v>0</v>
      </c>
      <c r="G1664" s="67">
        <f>IFERROR(VLOOKUP(B1664,DADOS!$A$2:$H$252,8,0),"")</f>
        <v>28</v>
      </c>
      <c r="H1664" s="73"/>
      <c r="I1664" s="23">
        <f>IFERROR(VLOOKUP(B1664,DADOS!$A$2:$H$252,4,0)*H1664,"")</f>
        <v>0</v>
      </c>
      <c r="J1664" s="74">
        <v>1.0</v>
      </c>
      <c r="K1664" s="25">
        <f>IFERROR(VLOOKUP(B1664,DADOS!$A$2:$H$252,4,0)*J1664,"")</f>
        <v>0.1139336</v>
      </c>
      <c r="L1664" s="26">
        <f t="shared" si="23"/>
        <v>0</v>
      </c>
      <c r="M1664" s="75" t="s">
        <v>83</v>
      </c>
      <c r="N1664" s="75" t="s">
        <v>88</v>
      </c>
      <c r="O1664" s="68"/>
      <c r="P1664" s="68"/>
      <c r="Q1664" s="68"/>
      <c r="R1664" s="68"/>
      <c r="S1664" s="68"/>
      <c r="T1664" s="69"/>
      <c r="U1664" s="69"/>
      <c r="V1664" s="69"/>
      <c r="W1664" s="69"/>
      <c r="X1664" s="69"/>
      <c r="Y1664" s="69"/>
      <c r="Z1664" s="69"/>
      <c r="AA1664" s="69"/>
      <c r="AB1664" s="69"/>
      <c r="AC1664" s="69"/>
      <c r="AD1664" s="69"/>
      <c r="AE1664" s="69"/>
      <c r="AF1664" s="69"/>
      <c r="AG1664" s="69"/>
      <c r="AH1664" s="69"/>
      <c r="AI1664" s="69"/>
      <c r="AJ1664" s="69"/>
    </row>
    <row r="1665">
      <c r="A1665" s="70">
        <v>45902.0</v>
      </c>
      <c r="B1665" s="71" t="s">
        <v>96</v>
      </c>
      <c r="C1665" s="71" t="s">
        <v>80</v>
      </c>
      <c r="D1665" s="72"/>
      <c r="E1665" s="72"/>
      <c r="F1665" s="20">
        <f t="shared" si="24"/>
        <v>0</v>
      </c>
      <c r="G1665" s="67">
        <f>IFERROR(VLOOKUP(B1665,DADOS!$A$2:$H$252,8,0),"")</f>
        <v>27</v>
      </c>
      <c r="H1665" s="73"/>
      <c r="I1665" s="23">
        <f>IFERROR(VLOOKUP(B1665,DADOS!$A$2:$H$252,4,0)*H1665,"")</f>
        <v>0</v>
      </c>
      <c r="J1665" s="74">
        <v>2.0</v>
      </c>
      <c r="K1665" s="25">
        <f>IFERROR(VLOOKUP(B1665,DADOS!$A$2:$H$252,4,0)*J1665,"")</f>
        <v>0.18832</v>
      </c>
      <c r="L1665" s="26">
        <f t="shared" si="23"/>
        <v>0</v>
      </c>
      <c r="M1665" s="75" t="s">
        <v>83</v>
      </c>
      <c r="N1665" s="75" t="s">
        <v>88</v>
      </c>
      <c r="O1665" s="68"/>
      <c r="P1665" s="68"/>
      <c r="Q1665" s="68"/>
      <c r="R1665" s="68"/>
      <c r="S1665" s="68"/>
      <c r="T1665" s="69"/>
      <c r="U1665" s="69"/>
      <c r="V1665" s="69"/>
      <c r="W1665" s="69"/>
      <c r="X1665" s="69"/>
      <c r="Y1665" s="69"/>
      <c r="Z1665" s="69"/>
      <c r="AA1665" s="69"/>
      <c r="AB1665" s="69"/>
      <c r="AC1665" s="69"/>
      <c r="AD1665" s="69"/>
      <c r="AE1665" s="69"/>
      <c r="AF1665" s="69"/>
      <c r="AG1665" s="69"/>
      <c r="AH1665" s="69"/>
      <c r="AI1665" s="69"/>
      <c r="AJ1665" s="69"/>
    </row>
    <row r="1666">
      <c r="A1666" s="70">
        <v>45902.0</v>
      </c>
      <c r="B1666" s="71" t="s">
        <v>27</v>
      </c>
      <c r="C1666" s="71" t="s">
        <v>80</v>
      </c>
      <c r="D1666" s="72"/>
      <c r="E1666" s="72"/>
      <c r="F1666" s="20">
        <f t="shared" si="24"/>
        <v>0</v>
      </c>
      <c r="G1666" s="67">
        <f>IFERROR(VLOOKUP(B1666,DADOS!$A$2:$H$252,8,0),"")</f>
        <v>30</v>
      </c>
      <c r="H1666" s="73"/>
      <c r="I1666" s="23">
        <f>IFERROR(VLOOKUP(B1666,DADOS!$A$2:$H$252,4,0)*H1666,"")</f>
        <v>0</v>
      </c>
      <c r="J1666" s="74">
        <v>4.0</v>
      </c>
      <c r="K1666" s="25">
        <f>IFERROR(VLOOKUP(B1666,DADOS!$A$2:$H$252,4,0)*J1666,"")</f>
        <v>0.06848</v>
      </c>
      <c r="L1666" s="26">
        <f t="shared" si="23"/>
        <v>0</v>
      </c>
      <c r="M1666" s="75" t="s">
        <v>83</v>
      </c>
      <c r="N1666" s="75" t="s">
        <v>88</v>
      </c>
      <c r="O1666" s="68"/>
      <c r="P1666" s="68"/>
      <c r="Q1666" s="68"/>
      <c r="R1666" s="68"/>
      <c r="S1666" s="68"/>
      <c r="T1666" s="69"/>
      <c r="U1666" s="69"/>
      <c r="V1666" s="69"/>
      <c r="W1666" s="69"/>
      <c r="X1666" s="69"/>
      <c r="Y1666" s="69"/>
      <c r="Z1666" s="69"/>
      <c r="AA1666" s="69"/>
      <c r="AB1666" s="69"/>
      <c r="AC1666" s="69"/>
      <c r="AD1666" s="69"/>
      <c r="AE1666" s="69"/>
      <c r="AF1666" s="69"/>
      <c r="AG1666" s="69"/>
      <c r="AH1666" s="69"/>
      <c r="AI1666" s="69"/>
      <c r="AJ1666" s="69"/>
    </row>
    <row r="1667">
      <c r="A1667" s="70">
        <v>45902.0</v>
      </c>
      <c r="B1667" s="71" t="s">
        <v>16</v>
      </c>
      <c r="C1667" s="71" t="s">
        <v>80</v>
      </c>
      <c r="D1667" s="72"/>
      <c r="E1667" s="72"/>
      <c r="F1667" s="20">
        <f t="shared" si="24"/>
        <v>0</v>
      </c>
      <c r="G1667" s="67">
        <f>IFERROR(VLOOKUP(B1667,DADOS!$A$2:$H$252,8,0),"")</f>
        <v>150</v>
      </c>
      <c r="H1667" s="73"/>
      <c r="I1667" s="23">
        <f>IFERROR(VLOOKUP(B1667,DADOS!$A$2:$H$252,4,0)*H1667,"")</f>
        <v>0</v>
      </c>
      <c r="J1667" s="74">
        <v>1.0</v>
      </c>
      <c r="K1667" s="25">
        <f>IFERROR(VLOOKUP(B1667,DADOS!$A$2:$H$252,4,0)*J1667,"")</f>
        <v>0.0289328</v>
      </c>
      <c r="L1667" s="26">
        <f t="shared" si="23"/>
        <v>0</v>
      </c>
      <c r="M1667" s="75" t="s">
        <v>83</v>
      </c>
      <c r="N1667" s="75" t="s">
        <v>88</v>
      </c>
      <c r="O1667" s="68"/>
      <c r="P1667" s="68"/>
      <c r="Q1667" s="68"/>
      <c r="R1667" s="68"/>
      <c r="S1667" s="68"/>
      <c r="T1667" s="69"/>
      <c r="U1667" s="69"/>
      <c r="V1667" s="69"/>
      <c r="W1667" s="69"/>
      <c r="X1667" s="69"/>
      <c r="Y1667" s="69"/>
      <c r="Z1667" s="69"/>
      <c r="AA1667" s="69"/>
      <c r="AB1667" s="69"/>
      <c r="AC1667" s="69"/>
      <c r="AD1667" s="69"/>
      <c r="AE1667" s="69"/>
      <c r="AF1667" s="69"/>
      <c r="AG1667" s="69"/>
      <c r="AH1667" s="69"/>
      <c r="AI1667" s="69"/>
      <c r="AJ1667" s="69"/>
    </row>
    <row r="1668">
      <c r="A1668" s="70">
        <v>45902.0</v>
      </c>
      <c r="B1668" s="71" t="s">
        <v>191</v>
      </c>
      <c r="C1668" s="71" t="s">
        <v>80</v>
      </c>
      <c r="D1668" s="72"/>
      <c r="E1668" s="72"/>
      <c r="F1668" s="20">
        <f t="shared" si="24"/>
        <v>0</v>
      </c>
      <c r="G1668" s="67" t="str">
        <f>IFERROR(VLOOKUP(B1668,DADOS!$A$2:$H$252,8,0),"")</f>
        <v/>
      </c>
      <c r="H1668" s="73"/>
      <c r="I1668" s="23">
        <f>IFERROR(VLOOKUP(B1668,DADOS!$A$2:$H$252,4,0)*H1668,"")</f>
        <v>0</v>
      </c>
      <c r="J1668" s="74">
        <v>1.0</v>
      </c>
      <c r="K1668" s="25">
        <f>IFERROR(VLOOKUP(B1668,DADOS!$A$2:$H$252,4,0)*J1668,"")</f>
        <v>0</v>
      </c>
      <c r="L1668" s="26">
        <f t="shared" si="23"/>
        <v>0</v>
      </c>
      <c r="M1668" s="75" t="s">
        <v>83</v>
      </c>
      <c r="N1668" s="75" t="s">
        <v>88</v>
      </c>
      <c r="O1668" s="68"/>
      <c r="P1668" s="68"/>
      <c r="Q1668" s="68"/>
      <c r="R1668" s="68"/>
      <c r="S1668" s="68"/>
      <c r="T1668" s="69"/>
      <c r="U1668" s="69"/>
      <c r="V1668" s="69"/>
      <c r="W1668" s="69"/>
      <c r="X1668" s="69"/>
      <c r="Y1668" s="69"/>
      <c r="Z1668" s="69"/>
      <c r="AA1668" s="69"/>
      <c r="AB1668" s="69"/>
      <c r="AC1668" s="69"/>
      <c r="AD1668" s="69"/>
      <c r="AE1668" s="69"/>
      <c r="AF1668" s="69"/>
      <c r="AG1668" s="69"/>
      <c r="AH1668" s="69"/>
      <c r="AI1668" s="69"/>
      <c r="AJ1668" s="69"/>
    </row>
    <row r="1669">
      <c r="A1669" s="70">
        <v>45902.0</v>
      </c>
      <c r="B1669" s="71" t="s">
        <v>26</v>
      </c>
      <c r="C1669" s="71" t="s">
        <v>80</v>
      </c>
      <c r="D1669" s="72"/>
      <c r="E1669" s="72"/>
      <c r="F1669" s="20">
        <f t="shared" si="24"/>
        <v>0</v>
      </c>
      <c r="G1669" s="67">
        <f>IFERROR(VLOOKUP(B1669,DADOS!$A$2:$H$252,8,0),"")</f>
        <v>50</v>
      </c>
      <c r="H1669" s="73"/>
      <c r="I1669" s="23">
        <f>IFERROR(VLOOKUP(B1669,DADOS!$A$2:$H$252,4,0)*H1669,"")</f>
        <v>0</v>
      </c>
      <c r="J1669" s="74">
        <v>2.0</v>
      </c>
      <c r="K1669" s="25">
        <f>IFERROR(VLOOKUP(B1669,DADOS!$A$2:$H$252,4,0)*J1669,"")</f>
        <v>0.2278672</v>
      </c>
      <c r="L1669" s="26">
        <f t="shared" si="23"/>
        <v>0</v>
      </c>
      <c r="M1669" s="75" t="s">
        <v>189</v>
      </c>
      <c r="N1669" s="75" t="s">
        <v>173</v>
      </c>
      <c r="O1669" s="68"/>
      <c r="P1669" s="68"/>
      <c r="Q1669" s="68"/>
      <c r="R1669" s="68"/>
      <c r="S1669" s="68"/>
      <c r="T1669" s="69"/>
      <c r="U1669" s="69"/>
      <c r="V1669" s="69"/>
      <c r="W1669" s="69"/>
      <c r="X1669" s="69"/>
      <c r="Y1669" s="69"/>
      <c r="Z1669" s="69"/>
      <c r="AA1669" s="69"/>
      <c r="AB1669" s="69"/>
      <c r="AC1669" s="69"/>
      <c r="AD1669" s="69"/>
      <c r="AE1669" s="69"/>
      <c r="AF1669" s="69"/>
      <c r="AG1669" s="69"/>
      <c r="AH1669" s="69"/>
      <c r="AI1669" s="69"/>
      <c r="AJ1669" s="69"/>
    </row>
    <row r="1670">
      <c r="A1670" s="70">
        <v>45902.0</v>
      </c>
      <c r="B1670" s="71" t="s">
        <v>202</v>
      </c>
      <c r="C1670" s="71" t="s">
        <v>80</v>
      </c>
      <c r="D1670" s="72"/>
      <c r="E1670" s="72"/>
      <c r="F1670" s="20">
        <f t="shared" si="24"/>
        <v>0</v>
      </c>
      <c r="G1670" s="67" t="str">
        <f>IFERROR(VLOOKUP(B1670,DADOS!$A$2:$H$252,8,0),"")</f>
        <v/>
      </c>
      <c r="H1670" s="73"/>
      <c r="I1670" s="23">
        <f>IFERROR(VLOOKUP(B1670,DADOS!$A$2:$H$252,4,0)*H1670,"")</f>
        <v>0</v>
      </c>
      <c r="J1670" s="74">
        <v>2.0</v>
      </c>
      <c r="K1670" s="25">
        <f>IFERROR(VLOOKUP(B1670,DADOS!$A$2:$H$252,4,0)*J1670,"")</f>
        <v>0</v>
      </c>
      <c r="L1670" s="26">
        <f t="shared" si="23"/>
        <v>0</v>
      </c>
      <c r="M1670" s="75" t="s">
        <v>83</v>
      </c>
      <c r="N1670" s="75" t="s">
        <v>177</v>
      </c>
      <c r="O1670" s="68"/>
      <c r="P1670" s="68"/>
      <c r="Q1670" s="68"/>
      <c r="R1670" s="68"/>
      <c r="S1670" s="68"/>
      <c r="T1670" s="69"/>
      <c r="U1670" s="69"/>
      <c r="V1670" s="69"/>
      <c r="W1670" s="69"/>
      <c r="X1670" s="69"/>
      <c r="Y1670" s="69"/>
      <c r="Z1670" s="69"/>
      <c r="AA1670" s="69"/>
      <c r="AB1670" s="69"/>
      <c r="AC1670" s="69"/>
      <c r="AD1670" s="69"/>
      <c r="AE1670" s="69"/>
      <c r="AF1670" s="69"/>
      <c r="AG1670" s="69"/>
      <c r="AH1670" s="69"/>
      <c r="AI1670" s="69"/>
      <c r="AJ1670" s="69"/>
    </row>
    <row r="1671">
      <c r="A1671" s="70">
        <v>45902.0</v>
      </c>
      <c r="B1671" s="71" t="s">
        <v>142</v>
      </c>
      <c r="C1671" s="71" t="s">
        <v>80</v>
      </c>
      <c r="D1671" s="72"/>
      <c r="E1671" s="72"/>
      <c r="F1671" s="20">
        <f t="shared" si="24"/>
        <v>0</v>
      </c>
      <c r="G1671" s="67" t="str">
        <f>IFERROR(VLOOKUP(B1671,DADOS!$A$2:$H$252,8,0),"")</f>
        <v/>
      </c>
      <c r="H1671" s="73"/>
      <c r="I1671" s="23">
        <f>IFERROR(VLOOKUP(B1671,DADOS!$A$2:$H$252,4,0)*H1671,"")</f>
        <v>0</v>
      </c>
      <c r="J1671" s="74">
        <v>1.0</v>
      </c>
      <c r="K1671" s="25">
        <f>IFERROR(VLOOKUP(B1671,DADOS!$A$2:$H$252,4,0)*J1671,"")</f>
        <v>0</v>
      </c>
      <c r="L1671" s="26">
        <f t="shared" si="23"/>
        <v>0</v>
      </c>
      <c r="M1671" s="75" t="s">
        <v>83</v>
      </c>
      <c r="N1671" s="75" t="s">
        <v>177</v>
      </c>
      <c r="O1671" s="68"/>
      <c r="P1671" s="68"/>
      <c r="Q1671" s="68"/>
      <c r="R1671" s="68"/>
      <c r="S1671" s="68"/>
      <c r="T1671" s="69"/>
      <c r="U1671" s="69"/>
      <c r="V1671" s="69"/>
      <c r="W1671" s="69"/>
      <c r="X1671" s="69"/>
      <c r="Y1671" s="69"/>
      <c r="Z1671" s="69"/>
      <c r="AA1671" s="69"/>
      <c r="AB1671" s="69"/>
      <c r="AC1671" s="69"/>
      <c r="AD1671" s="69"/>
      <c r="AE1671" s="69"/>
      <c r="AF1671" s="69"/>
      <c r="AG1671" s="69"/>
      <c r="AH1671" s="69"/>
      <c r="AI1671" s="69"/>
      <c r="AJ1671" s="69"/>
    </row>
    <row r="1672">
      <c r="A1672" s="70">
        <v>45902.0</v>
      </c>
      <c r="B1672" s="71" t="s">
        <v>164</v>
      </c>
      <c r="C1672" s="71" t="s">
        <v>80</v>
      </c>
      <c r="D1672" s="72"/>
      <c r="E1672" s="72"/>
      <c r="F1672" s="20">
        <f t="shared" si="24"/>
        <v>0</v>
      </c>
      <c r="G1672" s="67" t="str">
        <f>IFERROR(VLOOKUP(B1672,DADOS!$A$2:$H$252,8,0),"")</f>
        <v/>
      </c>
      <c r="H1672" s="73"/>
      <c r="I1672" s="23">
        <f>IFERROR(VLOOKUP(B1672,DADOS!$A$2:$H$252,4,0)*H1672,"")</f>
        <v>0</v>
      </c>
      <c r="J1672" s="74">
        <v>3.0</v>
      </c>
      <c r="K1672" s="25">
        <f>IFERROR(VLOOKUP(B1672,DADOS!$A$2:$H$252,4,0)*J1672,"")</f>
        <v>0</v>
      </c>
      <c r="L1672" s="26">
        <f t="shared" si="23"/>
        <v>0</v>
      </c>
      <c r="M1672" s="75" t="s">
        <v>83</v>
      </c>
      <c r="N1672" s="75" t="s">
        <v>177</v>
      </c>
      <c r="O1672" s="68"/>
      <c r="P1672" s="68"/>
      <c r="Q1672" s="68"/>
      <c r="R1672" s="68"/>
      <c r="S1672" s="68"/>
      <c r="T1672" s="69"/>
      <c r="U1672" s="69"/>
      <c r="V1672" s="69"/>
      <c r="W1672" s="69"/>
      <c r="X1672" s="69"/>
      <c r="Y1672" s="69"/>
      <c r="Z1672" s="69"/>
      <c r="AA1672" s="69"/>
      <c r="AB1672" s="69"/>
      <c r="AC1672" s="69"/>
      <c r="AD1672" s="69"/>
      <c r="AE1672" s="69"/>
      <c r="AF1672" s="69"/>
      <c r="AG1672" s="69"/>
      <c r="AH1672" s="69"/>
      <c r="AI1672" s="69"/>
      <c r="AJ1672" s="69"/>
    </row>
    <row r="1673">
      <c r="A1673" s="70">
        <v>45902.0</v>
      </c>
      <c r="B1673" s="71" t="s">
        <v>191</v>
      </c>
      <c r="C1673" s="71" t="s">
        <v>80</v>
      </c>
      <c r="D1673" s="72"/>
      <c r="E1673" s="72"/>
      <c r="F1673" s="20">
        <f t="shared" si="24"/>
        <v>0</v>
      </c>
      <c r="G1673" s="67" t="str">
        <f>IFERROR(VLOOKUP(B1673,DADOS!$A$2:$H$252,8,0),"")</f>
        <v/>
      </c>
      <c r="H1673" s="73"/>
      <c r="I1673" s="23">
        <f>IFERROR(VLOOKUP(B1673,DADOS!$A$2:$H$252,4,0)*H1673,"")</f>
        <v>0</v>
      </c>
      <c r="J1673" s="74">
        <v>1.0</v>
      </c>
      <c r="K1673" s="25">
        <f>IFERROR(VLOOKUP(B1673,DADOS!$A$2:$H$252,4,0)*J1673,"")</f>
        <v>0</v>
      </c>
      <c r="L1673" s="26">
        <f t="shared" si="23"/>
        <v>0</v>
      </c>
      <c r="M1673" s="75" t="s">
        <v>83</v>
      </c>
      <c r="N1673" s="75" t="s">
        <v>177</v>
      </c>
      <c r="O1673" s="68"/>
      <c r="P1673" s="68"/>
      <c r="Q1673" s="68"/>
      <c r="R1673" s="68"/>
      <c r="S1673" s="68"/>
      <c r="T1673" s="69"/>
      <c r="U1673" s="69"/>
      <c r="V1673" s="69"/>
      <c r="W1673" s="69"/>
      <c r="X1673" s="69"/>
      <c r="Y1673" s="69"/>
      <c r="Z1673" s="69"/>
      <c r="AA1673" s="69"/>
      <c r="AB1673" s="69"/>
      <c r="AC1673" s="69"/>
      <c r="AD1673" s="69"/>
      <c r="AE1673" s="69"/>
      <c r="AF1673" s="69"/>
      <c r="AG1673" s="69"/>
      <c r="AH1673" s="69"/>
      <c r="AI1673" s="69"/>
      <c r="AJ1673" s="69"/>
    </row>
    <row r="1674">
      <c r="A1674" s="70">
        <v>45902.0</v>
      </c>
      <c r="B1674" s="71" t="s">
        <v>57</v>
      </c>
      <c r="C1674" s="71" t="s">
        <v>80</v>
      </c>
      <c r="D1674" s="72"/>
      <c r="E1674" s="72"/>
      <c r="F1674" s="20">
        <f t="shared" si="24"/>
        <v>0</v>
      </c>
      <c r="G1674" s="67">
        <f>IFERROR(VLOOKUP(B1674,DADOS!$A$2:$H$252,8,0),"")</f>
        <v>100</v>
      </c>
      <c r="H1674" s="73"/>
      <c r="I1674" s="23">
        <f>IFERROR(VLOOKUP(B1674,DADOS!$A$2:$H$252,4,0)*H1674,"")</f>
        <v>0</v>
      </c>
      <c r="J1674" s="74">
        <v>4.0</v>
      </c>
      <c r="K1674" s="25">
        <f>IFERROR(VLOOKUP(B1674,DADOS!$A$2:$H$252,4,0)*J1674,"")</f>
        <v>0.06848</v>
      </c>
      <c r="L1674" s="26">
        <f t="shared" si="23"/>
        <v>0</v>
      </c>
      <c r="M1674" s="75" t="s">
        <v>39</v>
      </c>
      <c r="N1674" s="75" t="s">
        <v>173</v>
      </c>
      <c r="O1674" s="68"/>
      <c r="P1674" s="68"/>
      <c r="Q1674" s="68"/>
      <c r="R1674" s="68"/>
      <c r="S1674" s="68"/>
      <c r="T1674" s="69"/>
      <c r="U1674" s="69"/>
      <c r="V1674" s="69"/>
      <c r="W1674" s="69"/>
      <c r="X1674" s="69"/>
      <c r="Y1674" s="69"/>
      <c r="Z1674" s="69"/>
      <c r="AA1674" s="69"/>
      <c r="AB1674" s="69"/>
      <c r="AC1674" s="69"/>
      <c r="AD1674" s="69"/>
      <c r="AE1674" s="69"/>
      <c r="AF1674" s="69"/>
      <c r="AG1674" s="69"/>
      <c r="AH1674" s="69"/>
      <c r="AI1674" s="69"/>
      <c r="AJ1674" s="69"/>
    </row>
    <row r="1675">
      <c r="A1675" s="70">
        <v>45902.0</v>
      </c>
      <c r="B1675" s="71" t="s">
        <v>184</v>
      </c>
      <c r="C1675" s="71" t="s">
        <v>80</v>
      </c>
      <c r="D1675" s="72"/>
      <c r="E1675" s="72"/>
      <c r="F1675" s="20">
        <f t="shared" si="24"/>
        <v>0</v>
      </c>
      <c r="G1675" s="67">
        <f>IFERROR(VLOOKUP(B1675,DADOS!$A$2:$H$252,8,0),"")</f>
        <v>40</v>
      </c>
      <c r="H1675" s="73"/>
      <c r="I1675" s="23">
        <f>IFERROR(VLOOKUP(B1675,DADOS!$A$2:$H$252,4,0)*H1675,"")</f>
        <v>0</v>
      </c>
      <c r="J1675" s="74">
        <v>1.0</v>
      </c>
      <c r="K1675" s="25">
        <f>IFERROR(VLOOKUP(B1675,DADOS!$A$2:$H$252,4,0)*J1675,"")</f>
        <v>0.1479168</v>
      </c>
      <c r="L1675" s="26">
        <f t="shared" si="23"/>
        <v>0</v>
      </c>
      <c r="M1675" s="75" t="s">
        <v>39</v>
      </c>
      <c r="N1675" s="75" t="s">
        <v>170</v>
      </c>
      <c r="O1675" s="68"/>
      <c r="P1675" s="68"/>
      <c r="Q1675" s="68"/>
      <c r="R1675" s="68"/>
      <c r="S1675" s="68"/>
      <c r="T1675" s="69"/>
      <c r="U1675" s="69"/>
      <c r="V1675" s="69"/>
      <c r="W1675" s="69"/>
      <c r="X1675" s="69"/>
      <c r="Y1675" s="69"/>
      <c r="Z1675" s="69"/>
      <c r="AA1675" s="69"/>
      <c r="AB1675" s="69"/>
      <c r="AC1675" s="69"/>
      <c r="AD1675" s="69"/>
      <c r="AE1675" s="69"/>
      <c r="AF1675" s="69"/>
      <c r="AG1675" s="69"/>
      <c r="AH1675" s="69"/>
      <c r="AI1675" s="69"/>
      <c r="AJ1675" s="69"/>
    </row>
    <row r="1676">
      <c r="A1676" s="70">
        <v>45902.0</v>
      </c>
      <c r="B1676" s="71" t="s">
        <v>122</v>
      </c>
      <c r="C1676" s="71" t="s">
        <v>80</v>
      </c>
      <c r="D1676" s="72"/>
      <c r="E1676" s="72"/>
      <c r="F1676" s="20">
        <f t="shared" si="24"/>
        <v>0</v>
      </c>
      <c r="G1676" s="67">
        <f>IFERROR(VLOOKUP(B1676,DADOS!$A$2:$H$252,8,0),"")</f>
        <v>17</v>
      </c>
      <c r="H1676" s="73"/>
      <c r="I1676" s="23">
        <f>IFERROR(VLOOKUP(B1676,DADOS!$A$2:$H$252,4,0)*H1676,"")</f>
        <v>0</v>
      </c>
      <c r="J1676" s="74">
        <v>2.0</v>
      </c>
      <c r="K1676" s="25">
        <f>IFERROR(VLOOKUP(B1676,DADOS!$A$2:$H$252,4,0)*J1676,"")</f>
        <v>0.3432132</v>
      </c>
      <c r="L1676" s="26">
        <f t="shared" si="23"/>
        <v>0</v>
      </c>
      <c r="M1676" s="75" t="s">
        <v>39</v>
      </c>
      <c r="N1676" s="75" t="s">
        <v>86</v>
      </c>
      <c r="O1676" s="68"/>
      <c r="P1676" s="68"/>
      <c r="Q1676" s="68"/>
      <c r="R1676" s="68"/>
      <c r="S1676" s="68"/>
      <c r="T1676" s="69"/>
      <c r="U1676" s="69"/>
      <c r="V1676" s="69"/>
      <c r="W1676" s="69"/>
      <c r="X1676" s="69"/>
      <c r="Y1676" s="69"/>
      <c r="Z1676" s="69"/>
      <c r="AA1676" s="69"/>
      <c r="AB1676" s="69"/>
      <c r="AC1676" s="69"/>
      <c r="AD1676" s="69"/>
      <c r="AE1676" s="69"/>
      <c r="AF1676" s="69"/>
      <c r="AG1676" s="69"/>
      <c r="AH1676" s="69"/>
      <c r="AI1676" s="69"/>
      <c r="AJ1676" s="69"/>
    </row>
    <row r="1677">
      <c r="A1677" s="70">
        <v>45902.0</v>
      </c>
      <c r="B1677" s="71" t="s">
        <v>114</v>
      </c>
      <c r="C1677" s="71" t="s">
        <v>80</v>
      </c>
      <c r="D1677" s="72"/>
      <c r="E1677" s="72"/>
      <c r="F1677" s="20">
        <f t="shared" si="24"/>
        <v>0</v>
      </c>
      <c r="G1677" s="67">
        <f>IFERROR(VLOOKUP(B1677,DADOS!$A$2:$H$252,8,0),"")</f>
        <v>17</v>
      </c>
      <c r="H1677" s="73"/>
      <c r="I1677" s="23">
        <f>IFERROR(VLOOKUP(B1677,DADOS!$A$2:$H$252,4,0)*H1677,"")</f>
        <v>0</v>
      </c>
      <c r="J1677" s="74">
        <v>3.0</v>
      </c>
      <c r="K1677" s="25">
        <f>IFERROR(VLOOKUP(B1677,DADOS!$A$2:$H$252,4,0)*J1677,"")</f>
        <v>1.8368262</v>
      </c>
      <c r="L1677" s="26">
        <f t="shared" si="23"/>
        <v>0</v>
      </c>
      <c r="M1677" s="75" t="s">
        <v>39</v>
      </c>
      <c r="N1677" s="75" t="s">
        <v>86</v>
      </c>
      <c r="O1677" s="68"/>
      <c r="P1677" s="68"/>
      <c r="Q1677" s="68"/>
      <c r="R1677" s="68"/>
      <c r="S1677" s="68"/>
      <c r="T1677" s="69"/>
      <c r="U1677" s="69"/>
      <c r="V1677" s="69"/>
      <c r="W1677" s="69"/>
      <c r="X1677" s="69"/>
      <c r="Y1677" s="69"/>
      <c r="Z1677" s="69"/>
      <c r="AA1677" s="69"/>
      <c r="AB1677" s="69"/>
      <c r="AC1677" s="69"/>
      <c r="AD1677" s="69"/>
      <c r="AE1677" s="69"/>
      <c r="AF1677" s="69"/>
      <c r="AG1677" s="69"/>
      <c r="AH1677" s="69"/>
      <c r="AI1677" s="69"/>
      <c r="AJ1677" s="69"/>
    </row>
    <row r="1678">
      <c r="A1678" s="70">
        <v>45902.0</v>
      </c>
      <c r="B1678" s="71" t="s">
        <v>186</v>
      </c>
      <c r="C1678" s="71" t="s">
        <v>80</v>
      </c>
      <c r="D1678" s="72"/>
      <c r="E1678" s="72"/>
      <c r="F1678" s="20">
        <f t="shared" si="24"/>
        <v>0</v>
      </c>
      <c r="G1678" s="67">
        <f>IFERROR(VLOOKUP(B1678,DADOS!$A$2:$H$252,8,0),"")</f>
        <v>25</v>
      </c>
      <c r="H1678" s="73"/>
      <c r="I1678" s="23">
        <f>IFERROR(VLOOKUP(B1678,DADOS!$A$2:$H$252,4,0)*H1678,"")</f>
        <v>0</v>
      </c>
      <c r="J1678" s="74">
        <v>2.0</v>
      </c>
      <c r="K1678" s="25">
        <f>IFERROR(VLOOKUP(B1678,DADOS!$A$2:$H$252,4,0)*J1678,"")</f>
        <v>0.554688</v>
      </c>
      <c r="L1678" s="26">
        <f t="shared" si="23"/>
        <v>0</v>
      </c>
      <c r="M1678" s="75" t="s">
        <v>39</v>
      </c>
      <c r="N1678" s="75" t="s">
        <v>89</v>
      </c>
      <c r="O1678" s="68"/>
      <c r="P1678" s="68"/>
      <c r="Q1678" s="68"/>
      <c r="R1678" s="68"/>
      <c r="S1678" s="68"/>
      <c r="T1678" s="69"/>
      <c r="U1678" s="69"/>
      <c r="V1678" s="69"/>
      <c r="W1678" s="69"/>
      <c r="X1678" s="69"/>
      <c r="Y1678" s="69"/>
      <c r="Z1678" s="69"/>
      <c r="AA1678" s="69"/>
      <c r="AB1678" s="69"/>
      <c r="AC1678" s="69"/>
      <c r="AD1678" s="69"/>
      <c r="AE1678" s="69"/>
      <c r="AF1678" s="69"/>
      <c r="AG1678" s="69"/>
      <c r="AH1678" s="69"/>
      <c r="AI1678" s="69"/>
      <c r="AJ1678" s="69"/>
    </row>
    <row r="1679">
      <c r="A1679" s="70">
        <v>45902.0</v>
      </c>
      <c r="B1679" s="71" t="s">
        <v>47</v>
      </c>
      <c r="C1679" s="71" t="s">
        <v>80</v>
      </c>
      <c r="D1679" s="72"/>
      <c r="E1679" s="72"/>
      <c r="F1679" s="20">
        <f t="shared" si="24"/>
        <v>0</v>
      </c>
      <c r="G1679" s="67">
        <f>IFERROR(VLOOKUP(B1679,DADOS!$A$2:$H$252,8,0),"")</f>
        <v>35</v>
      </c>
      <c r="H1679" s="73"/>
      <c r="I1679" s="23">
        <f>IFERROR(VLOOKUP(B1679,DADOS!$A$2:$H$252,4,0)*H1679,"")</f>
        <v>0</v>
      </c>
      <c r="J1679" s="74">
        <v>1.0</v>
      </c>
      <c r="K1679" s="25">
        <f>IFERROR(VLOOKUP(B1679,DADOS!$A$2:$H$252,4,0)*J1679,"")</f>
        <v>0.1139336</v>
      </c>
      <c r="L1679" s="26">
        <f t="shared" si="23"/>
        <v>0</v>
      </c>
      <c r="M1679" s="75" t="s">
        <v>39</v>
      </c>
      <c r="N1679" s="75" t="s">
        <v>89</v>
      </c>
      <c r="O1679" s="68"/>
      <c r="P1679" s="68"/>
      <c r="Q1679" s="68"/>
      <c r="R1679" s="68"/>
      <c r="S1679" s="68"/>
      <c r="T1679" s="69"/>
      <c r="U1679" s="69"/>
      <c r="V1679" s="69"/>
      <c r="W1679" s="69"/>
      <c r="X1679" s="69"/>
      <c r="Y1679" s="69"/>
      <c r="Z1679" s="69"/>
      <c r="AA1679" s="69"/>
      <c r="AB1679" s="69"/>
      <c r="AC1679" s="69"/>
      <c r="AD1679" s="69"/>
      <c r="AE1679" s="69"/>
      <c r="AF1679" s="69"/>
      <c r="AG1679" s="69"/>
      <c r="AH1679" s="69"/>
      <c r="AI1679" s="69"/>
      <c r="AJ1679" s="69"/>
    </row>
    <row r="1680">
      <c r="A1680" s="70">
        <v>45902.0</v>
      </c>
      <c r="B1680" s="71" t="s">
        <v>150</v>
      </c>
      <c r="C1680" s="71" t="s">
        <v>80</v>
      </c>
      <c r="D1680" s="72"/>
      <c r="E1680" s="72"/>
      <c r="F1680" s="20">
        <f t="shared" si="24"/>
        <v>0</v>
      </c>
      <c r="G1680" s="67">
        <f>IFERROR(VLOOKUP(B1680,DADOS!$A$2:$H$252,8,0),"")</f>
        <v>12</v>
      </c>
      <c r="H1680" s="73"/>
      <c r="I1680" s="23">
        <f>IFERROR(VLOOKUP(B1680,DADOS!$A$2:$H$252,4,0)*H1680,"")</f>
        <v>0</v>
      </c>
      <c r="J1680" s="74">
        <v>2.0</v>
      </c>
      <c r="K1680" s="25">
        <f>IFERROR(VLOOKUP(B1680,DADOS!$A$2:$H$252,4,0)*J1680,"")</f>
        <v>0.3432132</v>
      </c>
      <c r="L1680" s="26">
        <f t="shared" si="23"/>
        <v>0</v>
      </c>
      <c r="M1680" s="75" t="s">
        <v>110</v>
      </c>
      <c r="N1680" s="75" t="s">
        <v>111</v>
      </c>
      <c r="O1680" s="68"/>
      <c r="P1680" s="68"/>
      <c r="Q1680" s="68"/>
      <c r="R1680" s="68"/>
      <c r="S1680" s="68"/>
      <c r="T1680" s="69"/>
      <c r="U1680" s="69"/>
      <c r="V1680" s="69"/>
      <c r="W1680" s="69"/>
      <c r="X1680" s="69"/>
      <c r="Y1680" s="69"/>
      <c r="Z1680" s="69"/>
      <c r="AA1680" s="69"/>
      <c r="AB1680" s="69"/>
      <c r="AC1680" s="69"/>
      <c r="AD1680" s="69"/>
      <c r="AE1680" s="69"/>
      <c r="AF1680" s="69"/>
      <c r="AG1680" s="69"/>
      <c r="AH1680" s="69"/>
      <c r="AI1680" s="69"/>
      <c r="AJ1680" s="69"/>
    </row>
    <row r="1681">
      <c r="A1681" s="70">
        <v>45902.0</v>
      </c>
      <c r="B1681" s="71" t="s">
        <v>18</v>
      </c>
      <c r="C1681" s="71" t="s">
        <v>80</v>
      </c>
      <c r="D1681" s="72"/>
      <c r="E1681" s="72"/>
      <c r="F1681" s="20">
        <f t="shared" si="24"/>
        <v>0</v>
      </c>
      <c r="G1681" s="67">
        <f>IFERROR(VLOOKUP(B1681,DADOS!$A$2:$H$252,8,0),"")</f>
        <v>21</v>
      </c>
      <c r="H1681" s="73"/>
      <c r="I1681" s="23">
        <f>IFERROR(VLOOKUP(B1681,DADOS!$A$2:$H$252,4,0)*H1681,"")</f>
        <v>0</v>
      </c>
      <c r="J1681" s="74">
        <v>1.0</v>
      </c>
      <c r="K1681" s="25">
        <f>IFERROR(VLOOKUP(B1681,DADOS!$A$2:$H$252,4,0)*J1681,"")</f>
        <v>0.292966</v>
      </c>
      <c r="L1681" s="26">
        <f t="shared" si="23"/>
        <v>0</v>
      </c>
      <c r="M1681" s="75" t="s">
        <v>39</v>
      </c>
      <c r="N1681" s="75" t="s">
        <v>120</v>
      </c>
      <c r="O1681" s="68"/>
      <c r="P1681" s="68"/>
      <c r="Q1681" s="68"/>
      <c r="R1681" s="68"/>
      <c r="S1681" s="68"/>
      <c r="T1681" s="69"/>
      <c r="U1681" s="69"/>
      <c r="V1681" s="69"/>
      <c r="W1681" s="69"/>
      <c r="X1681" s="69"/>
      <c r="Y1681" s="69"/>
      <c r="Z1681" s="69"/>
      <c r="AA1681" s="69"/>
      <c r="AB1681" s="69"/>
      <c r="AC1681" s="69"/>
      <c r="AD1681" s="69"/>
      <c r="AE1681" s="69"/>
      <c r="AF1681" s="69"/>
      <c r="AG1681" s="69"/>
      <c r="AH1681" s="69"/>
      <c r="AI1681" s="69"/>
      <c r="AJ1681" s="69"/>
    </row>
    <row r="1682">
      <c r="A1682" s="70">
        <v>45902.0</v>
      </c>
      <c r="B1682" s="71" t="s">
        <v>26</v>
      </c>
      <c r="C1682" s="71" t="s">
        <v>80</v>
      </c>
      <c r="D1682" s="72"/>
      <c r="E1682" s="72"/>
      <c r="F1682" s="20">
        <f t="shared" si="24"/>
        <v>0</v>
      </c>
      <c r="G1682" s="67">
        <f>IFERROR(VLOOKUP(B1682,DADOS!$A$2:$H$252,8,0),"")</f>
        <v>50</v>
      </c>
      <c r="H1682" s="73"/>
      <c r="I1682" s="23">
        <f>IFERROR(VLOOKUP(B1682,DADOS!$A$2:$H$252,4,0)*H1682,"")</f>
        <v>0</v>
      </c>
      <c r="J1682" s="74">
        <v>2.0</v>
      </c>
      <c r="K1682" s="25">
        <f>IFERROR(VLOOKUP(B1682,DADOS!$A$2:$H$252,4,0)*J1682,"")</f>
        <v>0.2278672</v>
      </c>
      <c r="L1682" s="26">
        <f t="shared" si="23"/>
        <v>0</v>
      </c>
      <c r="M1682" s="75" t="s">
        <v>39</v>
      </c>
      <c r="N1682" s="75" t="s">
        <v>120</v>
      </c>
      <c r="O1682" s="40"/>
      <c r="P1682" s="40"/>
      <c r="Q1682" s="40"/>
      <c r="R1682" s="40"/>
      <c r="S1682" s="40"/>
      <c r="T1682" s="41"/>
      <c r="U1682" s="41"/>
      <c r="V1682" s="41"/>
      <c r="W1682" s="41"/>
      <c r="X1682" s="41"/>
      <c r="Y1682" s="41"/>
      <c r="Z1682" s="41"/>
      <c r="AA1682" s="41"/>
      <c r="AB1682" s="41"/>
      <c r="AC1682" s="41"/>
      <c r="AD1682" s="41"/>
      <c r="AE1682" s="41"/>
      <c r="AF1682" s="41"/>
      <c r="AG1682" s="41"/>
      <c r="AH1682" s="41"/>
      <c r="AI1682" s="41"/>
      <c r="AJ1682" s="41"/>
    </row>
    <row r="1683">
      <c r="A1683" s="70">
        <v>45902.0</v>
      </c>
      <c r="B1683" s="71" t="s">
        <v>122</v>
      </c>
      <c r="C1683" s="71" t="s">
        <v>80</v>
      </c>
      <c r="D1683" s="72"/>
      <c r="E1683" s="72"/>
      <c r="F1683" s="20">
        <f t="shared" si="24"/>
        <v>0</v>
      </c>
      <c r="G1683" s="67">
        <f>IFERROR(VLOOKUP(B1683,DADOS!$A$2:$H$252,8,0),"")</f>
        <v>17</v>
      </c>
      <c r="H1683" s="73"/>
      <c r="I1683" s="23">
        <f>IFERROR(VLOOKUP(B1683,DADOS!$A$2:$H$252,4,0)*H1683,"")</f>
        <v>0</v>
      </c>
      <c r="J1683" s="74">
        <v>1.0</v>
      </c>
      <c r="K1683" s="25">
        <f>IFERROR(VLOOKUP(B1683,DADOS!$A$2:$H$252,4,0)*J1683,"")</f>
        <v>0.1716066</v>
      </c>
      <c r="L1683" s="26">
        <f t="shared" si="23"/>
        <v>0</v>
      </c>
      <c r="M1683" s="75" t="s">
        <v>39</v>
      </c>
      <c r="N1683" s="75" t="s">
        <v>120</v>
      </c>
      <c r="O1683" s="40"/>
      <c r="P1683" s="40"/>
      <c r="Q1683" s="40"/>
      <c r="R1683" s="40"/>
      <c r="S1683" s="40"/>
      <c r="T1683" s="41"/>
      <c r="U1683" s="41"/>
      <c r="V1683" s="41"/>
      <c r="W1683" s="41"/>
      <c r="X1683" s="41"/>
      <c r="Y1683" s="41"/>
      <c r="Z1683" s="41"/>
      <c r="AA1683" s="41"/>
      <c r="AB1683" s="41"/>
      <c r="AC1683" s="41"/>
      <c r="AD1683" s="41"/>
      <c r="AE1683" s="41"/>
      <c r="AF1683" s="41"/>
      <c r="AG1683" s="41"/>
      <c r="AH1683" s="41"/>
      <c r="AI1683" s="41"/>
      <c r="AJ1683" s="41"/>
    </row>
    <row r="1684">
      <c r="A1684" s="17">
        <v>45903.0</v>
      </c>
      <c r="B1684" s="18" t="s">
        <v>62</v>
      </c>
      <c r="C1684" s="18" t="s">
        <v>166</v>
      </c>
      <c r="D1684" s="19">
        <v>0.3263888888888889</v>
      </c>
      <c r="E1684" s="19">
        <v>0.4861111111111111</v>
      </c>
      <c r="F1684" s="20">
        <f t="shared" si="24"/>
        <v>0.1597222222</v>
      </c>
      <c r="G1684" s="67">
        <f>IFERROR(VLOOKUP(B1684,DADOS!$A$2:$H$252,8,0),"")</f>
        <v>14</v>
      </c>
      <c r="H1684" s="22">
        <v>100.0</v>
      </c>
      <c r="I1684" s="23">
        <f>IFERROR(VLOOKUP(B1684,DADOS!$A$2:$H$252,4,0)*H1684,"")</f>
        <v>8.49794</v>
      </c>
      <c r="J1684" s="36"/>
      <c r="K1684" s="25">
        <f>IFERROR(VLOOKUP(B1684,DADOS!$A$2:$H$252,4,0)*J1684,"")</f>
        <v>0</v>
      </c>
      <c r="L1684" s="26">
        <f t="shared" si="23"/>
        <v>0</v>
      </c>
      <c r="M1684" s="27"/>
      <c r="N1684" s="30"/>
      <c r="O1684" s="28"/>
      <c r="P1684" s="28"/>
      <c r="Q1684" s="28"/>
      <c r="R1684" s="28"/>
      <c r="S1684" s="28"/>
    </row>
    <row r="1685">
      <c r="A1685" s="17">
        <v>45903.0</v>
      </c>
      <c r="B1685" s="18" t="s">
        <v>26</v>
      </c>
      <c r="C1685" s="18" t="s">
        <v>165</v>
      </c>
      <c r="D1685" s="19">
        <v>0.3159722222222222</v>
      </c>
      <c r="E1685" s="19">
        <v>0.7118055555555556</v>
      </c>
      <c r="F1685" s="20">
        <f t="shared" si="24"/>
        <v>0.3958333333</v>
      </c>
      <c r="G1685" s="67">
        <f>IFERROR(VLOOKUP(B1685,DADOS!$A$2:$H$252,8,0),"")</f>
        <v>50</v>
      </c>
      <c r="H1685" s="22">
        <v>145.0</v>
      </c>
      <c r="I1685" s="23">
        <f>IFERROR(VLOOKUP(B1685,DADOS!$A$2:$H$252,4,0)*H1685,"")</f>
        <v>16.520372</v>
      </c>
      <c r="J1685" s="36"/>
      <c r="K1685" s="25">
        <f>IFERROR(VLOOKUP(B1685,DADOS!$A$2:$H$252,4,0)*J1685,"")</f>
        <v>0</v>
      </c>
      <c r="L1685" s="26">
        <f t="shared" si="23"/>
        <v>0</v>
      </c>
      <c r="M1685" s="27"/>
      <c r="N1685" s="30"/>
      <c r="O1685" s="28"/>
      <c r="P1685" s="28"/>
      <c r="Q1685" s="28"/>
      <c r="R1685" s="28"/>
      <c r="S1685" s="28"/>
    </row>
    <row r="1686">
      <c r="A1686" s="17">
        <v>45904.0</v>
      </c>
      <c r="B1686" s="18" t="s">
        <v>134</v>
      </c>
      <c r="C1686" s="18" t="s">
        <v>166</v>
      </c>
      <c r="D1686" s="19">
        <v>0.3333333333333333</v>
      </c>
      <c r="E1686" s="19">
        <v>0.5</v>
      </c>
      <c r="F1686" s="20">
        <f t="shared" si="24"/>
        <v>0.1666666667</v>
      </c>
      <c r="G1686" s="67">
        <f>IFERROR(VLOOKUP(B1686,DADOS!$A$2:$H$252,8,0),"")</f>
        <v>17</v>
      </c>
      <c r="H1686" s="22">
        <v>35.0</v>
      </c>
      <c r="I1686" s="23">
        <f>IFERROR(VLOOKUP(B1686,DADOS!$A$2:$H$252,4,0)*H1686,"")</f>
        <v>2.70389</v>
      </c>
      <c r="J1686" s="24">
        <v>2.0</v>
      </c>
      <c r="K1686" s="25">
        <f>IFERROR(VLOOKUP(B1686,DADOS!$A$2:$H$252,4,0)*J1686,"")</f>
        <v>0.154508</v>
      </c>
      <c r="L1686" s="26">
        <f t="shared" si="23"/>
        <v>0</v>
      </c>
      <c r="M1686" s="27"/>
      <c r="N1686" s="30"/>
      <c r="O1686" s="28"/>
      <c r="P1686" s="28"/>
      <c r="Q1686" s="28"/>
      <c r="R1686" s="28"/>
      <c r="S1686" s="28"/>
    </row>
    <row r="1687">
      <c r="A1687" s="17">
        <v>45904.0</v>
      </c>
      <c r="B1687" s="18" t="s">
        <v>26</v>
      </c>
      <c r="C1687" s="18" t="s">
        <v>19</v>
      </c>
      <c r="D1687" s="19"/>
      <c r="E1687" s="19"/>
      <c r="F1687" s="20">
        <f t="shared" si="24"/>
        <v>0</v>
      </c>
      <c r="G1687" s="67">
        <f>IFERROR(VLOOKUP(B1687,DADOS!$A$2:$H$252,8,0),"")</f>
        <v>50</v>
      </c>
      <c r="H1687" s="22">
        <v>10.0</v>
      </c>
      <c r="I1687" s="23">
        <f>IFERROR(VLOOKUP(B1687,DADOS!$A$2:$H$252,4,0)*H1687,"")</f>
        <v>1.139336</v>
      </c>
      <c r="J1687" s="36"/>
      <c r="K1687" s="25">
        <f>IFERROR(VLOOKUP(B1687,DADOS!$A$2:$H$252,4,0)*J1687,"")</f>
        <v>0</v>
      </c>
      <c r="L1687" s="26">
        <f t="shared" si="23"/>
        <v>0</v>
      </c>
      <c r="M1687" s="27"/>
      <c r="N1687" s="30"/>
      <c r="O1687" s="28"/>
      <c r="P1687" s="28"/>
      <c r="Q1687" s="28"/>
      <c r="R1687" s="28"/>
      <c r="S1687" s="28"/>
    </row>
    <row r="1688">
      <c r="A1688" s="17">
        <v>45904.0</v>
      </c>
      <c r="B1688" s="18" t="s">
        <v>61</v>
      </c>
      <c r="C1688" s="18" t="s">
        <v>65</v>
      </c>
      <c r="D1688" s="19"/>
      <c r="E1688" s="19"/>
      <c r="F1688" s="20">
        <f t="shared" si="24"/>
        <v>0</v>
      </c>
      <c r="G1688" s="67">
        <f>IFERROR(VLOOKUP(B1688,DADOS!$A$2:$H$252,8,0),"")</f>
        <v>112</v>
      </c>
      <c r="H1688" s="22">
        <v>168.0</v>
      </c>
      <c r="I1688" s="23">
        <f>IFERROR(VLOOKUP(B1688,DADOS!$A$2:$H$252,4,0)*H1688,"")</f>
        <v>2.51664</v>
      </c>
      <c r="J1688" s="36"/>
      <c r="K1688" s="25">
        <f>IFERROR(VLOOKUP(B1688,DADOS!$A$2:$H$252,4,0)*J1688,"")</f>
        <v>0</v>
      </c>
      <c r="L1688" s="26">
        <f t="shared" si="23"/>
        <v>0</v>
      </c>
      <c r="M1688" s="27"/>
      <c r="N1688" s="30"/>
      <c r="O1688" s="28"/>
      <c r="P1688" s="28"/>
      <c r="Q1688" s="28"/>
      <c r="R1688" s="28"/>
      <c r="S1688" s="28"/>
    </row>
    <row r="1689">
      <c r="A1689" s="17">
        <v>45904.0</v>
      </c>
      <c r="B1689" s="18" t="s">
        <v>75</v>
      </c>
      <c r="C1689" s="18" t="s">
        <v>165</v>
      </c>
      <c r="D1689" s="19">
        <v>0.3402777777777778</v>
      </c>
      <c r="E1689" s="19">
        <v>0.6333333333333333</v>
      </c>
      <c r="F1689" s="20">
        <f t="shared" si="24"/>
        <v>0.2930555556</v>
      </c>
      <c r="G1689" s="67">
        <f>IFERROR(VLOOKUP(B1689,DADOS!$A$2:$H$252,8,0),"")</f>
        <v>23</v>
      </c>
      <c r="H1689" s="22">
        <v>93.0</v>
      </c>
      <c r="I1689" s="23">
        <f>IFERROR(VLOOKUP(B1689,DADOS!$A$2:$H$252,4,0)*H1689,"")</f>
        <v>10.5958248</v>
      </c>
      <c r="J1689" s="24">
        <v>8.0</v>
      </c>
      <c r="K1689" s="25">
        <f>IFERROR(VLOOKUP(B1689,DADOS!$A$2:$H$252,4,0)*J1689,"")</f>
        <v>0.9114688</v>
      </c>
      <c r="L1689" s="26">
        <f t="shared" si="23"/>
        <v>0</v>
      </c>
      <c r="M1689" s="27"/>
      <c r="N1689" s="30"/>
      <c r="O1689" s="28"/>
      <c r="P1689" s="28"/>
      <c r="Q1689" s="28"/>
      <c r="R1689" s="28"/>
      <c r="S1689" s="28"/>
    </row>
    <row r="1690">
      <c r="A1690" s="17">
        <v>45904.0</v>
      </c>
      <c r="B1690" s="18" t="s">
        <v>24</v>
      </c>
      <c r="C1690" s="18" t="s">
        <v>165</v>
      </c>
      <c r="D1690" s="19">
        <v>0.6875</v>
      </c>
      <c r="E1690" s="19">
        <v>0.71875</v>
      </c>
      <c r="F1690" s="20">
        <f t="shared" si="24"/>
        <v>0.03125</v>
      </c>
      <c r="G1690" s="67">
        <f>IFERROR(VLOOKUP(B1690,DADOS!$A$2:$H$252,8,0),"")</f>
        <v>37</v>
      </c>
      <c r="H1690" s="22">
        <v>8.0</v>
      </c>
      <c r="I1690" s="23">
        <f>IFERROR(VLOOKUP(B1690,DADOS!$A$2:$H$252,4,0)*H1690,"")</f>
        <v>0.9114688</v>
      </c>
      <c r="J1690" s="24">
        <v>1.0</v>
      </c>
      <c r="K1690" s="25">
        <f>IFERROR(VLOOKUP(B1690,DADOS!$A$2:$H$252,4,0)*J1690,"")</f>
        <v>0.1139336</v>
      </c>
      <c r="L1690" s="26">
        <f t="shared" si="23"/>
        <v>0</v>
      </c>
      <c r="M1690" s="27"/>
      <c r="N1690" s="30"/>
      <c r="O1690" s="28"/>
      <c r="P1690" s="28"/>
      <c r="Q1690" s="28"/>
      <c r="R1690" s="28"/>
      <c r="S1690" s="28"/>
    </row>
    <row r="1691">
      <c r="A1691" s="17">
        <v>45905.0</v>
      </c>
      <c r="B1691" s="18" t="s">
        <v>190</v>
      </c>
      <c r="C1691" s="18" t="s">
        <v>166</v>
      </c>
      <c r="D1691" s="19"/>
      <c r="E1691" s="19"/>
      <c r="F1691" s="20">
        <f t="shared" si="24"/>
        <v>0</v>
      </c>
      <c r="G1691" s="67">
        <f>IFERROR(VLOOKUP(B1691,DADOS!$A$2:$H$252,8,0),"")</f>
        <v>12</v>
      </c>
      <c r="H1691" s="22">
        <v>60.0</v>
      </c>
      <c r="I1691" s="23">
        <f>IFERROR(VLOOKUP(B1691,DADOS!$A$2:$H$252,4,0)*H1691,"")</f>
        <v>23.74116</v>
      </c>
      <c r="J1691" s="36"/>
      <c r="K1691" s="25">
        <f>IFERROR(VLOOKUP(B1691,DADOS!$A$2:$H$252,4,0)*J1691,"")</f>
        <v>0</v>
      </c>
      <c r="L1691" s="26">
        <f t="shared" si="23"/>
        <v>0</v>
      </c>
      <c r="M1691" s="27"/>
      <c r="N1691" s="30"/>
      <c r="O1691" s="28"/>
      <c r="P1691" s="28"/>
      <c r="Q1691" s="28"/>
      <c r="R1691" s="28"/>
      <c r="S1691" s="28"/>
    </row>
    <row r="1692">
      <c r="A1692" s="17">
        <v>45905.0</v>
      </c>
      <c r="B1692" s="18" t="s">
        <v>79</v>
      </c>
      <c r="C1692" s="18" t="s">
        <v>65</v>
      </c>
      <c r="D1692" s="19"/>
      <c r="E1692" s="19"/>
      <c r="F1692" s="20">
        <f t="shared" si="24"/>
        <v>0</v>
      </c>
      <c r="G1692" s="67">
        <f>IFERROR(VLOOKUP(B1692,DADOS!$A$2:$H$252,8,0),"")</f>
        <v>87</v>
      </c>
      <c r="H1692" s="22">
        <v>47.0</v>
      </c>
      <c r="I1692" s="23">
        <f>IFERROR(VLOOKUP(B1692,DADOS!$A$2:$H$252,4,0)*H1692,"")</f>
        <v>0.80464</v>
      </c>
      <c r="J1692" s="24">
        <v>8.0</v>
      </c>
      <c r="K1692" s="25">
        <f>IFERROR(VLOOKUP(B1692,DADOS!$A$2:$H$252,4,0)*J1692,"")</f>
        <v>0.13696</v>
      </c>
      <c r="L1692" s="26">
        <f t="shared" si="23"/>
        <v>0</v>
      </c>
      <c r="M1692" s="27"/>
      <c r="N1692" s="30"/>
      <c r="O1692" s="28"/>
      <c r="P1692" s="28"/>
      <c r="Q1692" s="28"/>
      <c r="R1692" s="28"/>
      <c r="S1692" s="28"/>
    </row>
    <row r="1693">
      <c r="A1693" s="17">
        <v>45905.0</v>
      </c>
      <c r="B1693" s="18" t="s">
        <v>24</v>
      </c>
      <c r="C1693" s="18" t="s">
        <v>165</v>
      </c>
      <c r="D1693" s="19"/>
      <c r="E1693" s="19"/>
      <c r="F1693" s="20">
        <f t="shared" si="24"/>
        <v>0</v>
      </c>
      <c r="G1693" s="67">
        <f>IFERROR(VLOOKUP(B1693,DADOS!$A$2:$H$252,8,0),"")</f>
        <v>37</v>
      </c>
      <c r="H1693" s="22">
        <v>39.0</v>
      </c>
      <c r="I1693" s="23">
        <f>IFERROR(VLOOKUP(B1693,DADOS!$A$2:$H$252,4,0)*H1693,"")</f>
        <v>4.4434104</v>
      </c>
      <c r="J1693" s="24">
        <v>4.0</v>
      </c>
      <c r="K1693" s="25">
        <f>IFERROR(VLOOKUP(B1693,DADOS!$A$2:$H$252,4,0)*J1693,"")</f>
        <v>0.4557344</v>
      </c>
      <c r="L1693" s="26">
        <f t="shared" si="23"/>
        <v>0</v>
      </c>
      <c r="M1693" s="27"/>
      <c r="N1693" s="30"/>
      <c r="O1693" s="28"/>
      <c r="P1693" s="28"/>
      <c r="Q1693" s="28"/>
      <c r="R1693" s="28"/>
      <c r="S1693" s="28"/>
    </row>
    <row r="1694">
      <c r="A1694" s="17">
        <v>45908.0</v>
      </c>
      <c r="B1694" s="18" t="s">
        <v>22</v>
      </c>
      <c r="C1694" s="18" t="s">
        <v>166</v>
      </c>
      <c r="D1694" s="19">
        <v>0.3333333333333333</v>
      </c>
      <c r="E1694" s="19">
        <v>0.4722222222222222</v>
      </c>
      <c r="F1694" s="20">
        <f t="shared" si="24"/>
        <v>0.1388888889</v>
      </c>
      <c r="G1694" s="67">
        <f>IFERROR(VLOOKUP(B1694,DADOS!$A$2:$H$252,8,0),"")</f>
        <v>15</v>
      </c>
      <c r="H1694" s="22">
        <v>50.0</v>
      </c>
      <c r="I1694" s="23">
        <f>IFERROR(VLOOKUP(B1694,DADOS!$A$2:$H$252,4,0)*H1694,"")</f>
        <v>30.61377</v>
      </c>
      <c r="J1694" s="36"/>
      <c r="K1694" s="25">
        <f>IFERROR(VLOOKUP(B1694,DADOS!$A$2:$H$252,4,0)*J1694,"")</f>
        <v>0</v>
      </c>
      <c r="L1694" s="26">
        <f t="shared" si="23"/>
        <v>0</v>
      </c>
      <c r="M1694" s="27"/>
      <c r="N1694" s="30"/>
      <c r="O1694" s="28"/>
      <c r="P1694" s="28"/>
      <c r="Q1694" s="28"/>
      <c r="R1694" s="28"/>
      <c r="S1694" s="28"/>
    </row>
    <row r="1695">
      <c r="A1695" s="17">
        <v>45908.0</v>
      </c>
      <c r="B1695" s="18" t="s">
        <v>99</v>
      </c>
      <c r="C1695" s="18" t="s">
        <v>19</v>
      </c>
      <c r="D1695" s="19"/>
      <c r="E1695" s="19"/>
      <c r="F1695" s="20">
        <f t="shared" si="24"/>
        <v>0</v>
      </c>
      <c r="G1695" s="67">
        <f>IFERROR(VLOOKUP(B1695,DADOS!$A$2:$H$252,8,0),"")</f>
        <v>26</v>
      </c>
      <c r="H1695" s="22">
        <v>50.0</v>
      </c>
      <c r="I1695" s="23">
        <f>IFERROR(VLOOKUP(B1695,DADOS!$A$2:$H$252,4,0)*H1695,"")</f>
        <v>4.708</v>
      </c>
      <c r="J1695" s="36"/>
      <c r="K1695" s="25">
        <f>IFERROR(VLOOKUP(B1695,DADOS!$A$2:$H$252,4,0)*J1695,"")</f>
        <v>0</v>
      </c>
      <c r="L1695" s="26">
        <f t="shared" si="23"/>
        <v>0</v>
      </c>
      <c r="M1695" s="27"/>
      <c r="N1695" s="30"/>
      <c r="O1695" s="28"/>
      <c r="P1695" s="28"/>
      <c r="Q1695" s="28"/>
      <c r="R1695" s="28"/>
      <c r="S1695" s="28"/>
    </row>
    <row r="1696">
      <c r="A1696" s="17">
        <v>45908.0</v>
      </c>
      <c r="B1696" s="18" t="s">
        <v>79</v>
      </c>
      <c r="C1696" s="18" t="s">
        <v>65</v>
      </c>
      <c r="D1696" s="19"/>
      <c r="E1696" s="19"/>
      <c r="F1696" s="20">
        <f t="shared" si="24"/>
        <v>0</v>
      </c>
      <c r="G1696" s="67">
        <f>IFERROR(VLOOKUP(B1696,DADOS!$A$2:$H$252,8,0),"")</f>
        <v>87</v>
      </c>
      <c r="H1696" s="22">
        <v>44.0</v>
      </c>
      <c r="I1696" s="23">
        <f>IFERROR(VLOOKUP(B1696,DADOS!$A$2:$H$252,4,0)*H1696,"")</f>
        <v>0.75328</v>
      </c>
      <c r="J1696" s="24">
        <v>4.0</v>
      </c>
      <c r="K1696" s="25">
        <f>IFERROR(VLOOKUP(B1696,DADOS!$A$2:$H$252,4,0)*J1696,"")</f>
        <v>0.06848</v>
      </c>
      <c r="L1696" s="26">
        <f t="shared" si="23"/>
        <v>0</v>
      </c>
      <c r="M1696" s="27"/>
      <c r="N1696" s="30"/>
      <c r="O1696" s="28"/>
      <c r="P1696" s="28"/>
      <c r="Q1696" s="28"/>
      <c r="R1696" s="28"/>
      <c r="S1696" s="28"/>
    </row>
    <row r="1697">
      <c r="A1697" s="17">
        <v>45908.0</v>
      </c>
      <c r="B1697" s="18" t="s">
        <v>71</v>
      </c>
      <c r="C1697" s="18" t="s">
        <v>193</v>
      </c>
      <c r="D1697" s="19"/>
      <c r="E1697" s="19"/>
      <c r="F1697" s="20">
        <f t="shared" si="24"/>
        <v>0</v>
      </c>
      <c r="G1697" s="67">
        <f>IFERROR(VLOOKUP(B1697,DADOS!$A$2:$H$252,8,0),"")</f>
        <v>7</v>
      </c>
      <c r="H1697" s="22">
        <v>30.0</v>
      </c>
      <c r="I1697" s="23">
        <f>IFERROR(VLOOKUP(B1697,DADOS!$A$2:$H$252,4,0)*H1697,"")</f>
        <v>42.072186</v>
      </c>
      <c r="J1697" s="36"/>
      <c r="K1697" s="25">
        <f>IFERROR(VLOOKUP(B1697,DADOS!$A$2:$H$252,4,0)*J1697,"")</f>
        <v>0</v>
      </c>
      <c r="L1697" s="26">
        <f t="shared" si="23"/>
        <v>0</v>
      </c>
      <c r="M1697" s="27"/>
      <c r="N1697" s="30"/>
      <c r="O1697" s="28"/>
      <c r="P1697" s="28"/>
      <c r="Q1697" s="28"/>
      <c r="R1697" s="28"/>
      <c r="S1697" s="28"/>
    </row>
    <row r="1698">
      <c r="A1698" s="17">
        <v>45908.0</v>
      </c>
      <c r="B1698" s="18" t="s">
        <v>26</v>
      </c>
      <c r="C1698" s="18" t="s">
        <v>193</v>
      </c>
      <c r="D1698" s="19"/>
      <c r="E1698" s="19"/>
      <c r="F1698" s="20">
        <f t="shared" si="24"/>
        <v>0</v>
      </c>
      <c r="G1698" s="67">
        <f>IFERROR(VLOOKUP(B1698,DADOS!$A$2:$H$252,8,0),"")</f>
        <v>50</v>
      </c>
      <c r="H1698" s="22">
        <v>101.0</v>
      </c>
      <c r="I1698" s="23">
        <f>IFERROR(VLOOKUP(B1698,DADOS!$A$2:$H$252,4,0)*H1698,"")</f>
        <v>11.5072936</v>
      </c>
      <c r="J1698" s="36"/>
      <c r="K1698" s="25">
        <f>IFERROR(VLOOKUP(B1698,DADOS!$A$2:$H$252,4,0)*J1698,"")</f>
        <v>0</v>
      </c>
      <c r="L1698" s="26">
        <f t="shared" si="23"/>
        <v>0</v>
      </c>
      <c r="M1698" s="27"/>
      <c r="N1698" s="30"/>
      <c r="O1698" s="28"/>
      <c r="P1698" s="28"/>
      <c r="Q1698" s="28"/>
      <c r="R1698" s="28"/>
      <c r="S1698" s="28"/>
    </row>
    <row r="1699">
      <c r="A1699" s="17">
        <v>45909.0</v>
      </c>
      <c r="B1699" s="18" t="s">
        <v>22</v>
      </c>
      <c r="C1699" s="18" t="s">
        <v>166</v>
      </c>
      <c r="D1699" s="19"/>
      <c r="E1699" s="19"/>
      <c r="F1699" s="20">
        <f t="shared" si="24"/>
        <v>0</v>
      </c>
      <c r="G1699" s="67">
        <f>IFERROR(VLOOKUP(B1699,DADOS!$A$2:$H$252,8,0),"")</f>
        <v>15</v>
      </c>
      <c r="H1699" s="22">
        <v>30.0</v>
      </c>
      <c r="I1699" s="23">
        <f>IFERROR(VLOOKUP(B1699,DADOS!$A$2:$H$252,4,0)*H1699,"")</f>
        <v>18.368262</v>
      </c>
      <c r="J1699" s="36"/>
      <c r="K1699" s="25">
        <f>IFERROR(VLOOKUP(B1699,DADOS!$A$2:$H$252,4,0)*J1699,"")</f>
        <v>0</v>
      </c>
      <c r="L1699" s="26">
        <f t="shared" si="23"/>
        <v>0</v>
      </c>
      <c r="M1699" s="27"/>
      <c r="N1699" s="30"/>
      <c r="O1699" s="28"/>
      <c r="P1699" s="28"/>
      <c r="Q1699" s="28"/>
      <c r="R1699" s="28"/>
      <c r="S1699" s="28"/>
    </row>
    <row r="1700">
      <c r="A1700" s="17">
        <v>45909.0</v>
      </c>
      <c r="B1700" s="18" t="s">
        <v>32</v>
      </c>
      <c r="C1700" s="18" t="s">
        <v>166</v>
      </c>
      <c r="D1700" s="19"/>
      <c r="E1700" s="19"/>
      <c r="F1700" s="20">
        <f t="shared" si="24"/>
        <v>0</v>
      </c>
      <c r="G1700" s="67">
        <f>IFERROR(VLOOKUP(B1700,DADOS!$A$2:$H$252,8,0),"")</f>
        <v>10</v>
      </c>
      <c r="H1700" s="22">
        <v>20.0</v>
      </c>
      <c r="I1700" s="23">
        <f>IFERROR(VLOOKUP(B1700,DADOS!$A$2:$H$252,4,0)*H1700,"")</f>
        <v>12.245508</v>
      </c>
      <c r="J1700" s="36"/>
      <c r="K1700" s="25">
        <f>IFERROR(VLOOKUP(B1700,DADOS!$A$2:$H$252,4,0)*J1700,"")</f>
        <v>0</v>
      </c>
      <c r="L1700" s="26">
        <f t="shared" si="23"/>
        <v>0</v>
      </c>
      <c r="M1700" s="27"/>
      <c r="N1700" s="30"/>
      <c r="O1700" s="28"/>
      <c r="P1700" s="28"/>
      <c r="Q1700" s="28"/>
      <c r="R1700" s="28"/>
      <c r="S1700" s="28"/>
    </row>
    <row r="1701">
      <c r="A1701" s="17">
        <v>45909.0</v>
      </c>
      <c r="B1701" s="18" t="s">
        <v>16</v>
      </c>
      <c r="C1701" s="18" t="s">
        <v>65</v>
      </c>
      <c r="D1701" s="19"/>
      <c r="E1701" s="19">
        <v>0.4097222222222222</v>
      </c>
      <c r="F1701" s="20">
        <f t="shared" si="24"/>
        <v>0.4097222222</v>
      </c>
      <c r="G1701" s="67">
        <f>IFERROR(VLOOKUP(B1701,DADOS!$A$2:$H$252,8,0),"")</f>
        <v>150</v>
      </c>
      <c r="H1701" s="22">
        <v>483.0</v>
      </c>
      <c r="I1701" s="23">
        <f>IFERROR(VLOOKUP(B1701,DADOS!$A$2:$H$252,4,0)*H1701,"")</f>
        <v>13.9745424</v>
      </c>
      <c r="J1701" s="36"/>
      <c r="K1701" s="25">
        <f>IFERROR(VLOOKUP(B1701,DADOS!$A$2:$H$252,4,0)*J1701,"")</f>
        <v>0</v>
      </c>
      <c r="L1701" s="26">
        <f t="shared" si="23"/>
        <v>0</v>
      </c>
      <c r="M1701" s="27"/>
      <c r="N1701" s="30"/>
      <c r="O1701" s="28"/>
      <c r="P1701" s="28"/>
      <c r="Q1701" s="28"/>
      <c r="R1701" s="28"/>
      <c r="S1701" s="28"/>
    </row>
    <row r="1702">
      <c r="A1702" s="17">
        <v>45910.0</v>
      </c>
      <c r="B1702" s="18" t="s">
        <v>48</v>
      </c>
      <c r="C1702" s="18" t="s">
        <v>166</v>
      </c>
      <c r="D1702" s="19">
        <v>0.3541666666666667</v>
      </c>
      <c r="E1702" s="19">
        <v>0.5</v>
      </c>
      <c r="F1702" s="20">
        <f t="shared" si="24"/>
        <v>0.1458333333</v>
      </c>
      <c r="G1702" s="67">
        <f>IFERROR(VLOOKUP(B1702,DADOS!$A$2:$H$252,8,0),"")</f>
        <v>6</v>
      </c>
      <c r="H1702" s="22">
        <v>18.0</v>
      </c>
      <c r="I1702" s="23">
        <f>IFERROR(VLOOKUP(B1702,DADOS!$A$2:$H$252,4,0)*H1702,"")</f>
        <v>2.0508048</v>
      </c>
      <c r="J1702" s="24">
        <v>2.0</v>
      </c>
      <c r="K1702" s="25">
        <f>IFERROR(VLOOKUP(B1702,DADOS!$A$2:$H$252,4,0)*J1702,"")</f>
        <v>0.2278672</v>
      </c>
      <c r="L1702" s="26">
        <f t="shared" si="23"/>
        <v>0</v>
      </c>
      <c r="M1702" s="27"/>
      <c r="N1702" s="30"/>
      <c r="O1702" s="28"/>
      <c r="P1702" s="28"/>
      <c r="Q1702" s="28"/>
      <c r="R1702" s="28"/>
      <c r="S1702" s="28"/>
    </row>
    <row r="1703">
      <c r="A1703" s="17">
        <v>45910.0</v>
      </c>
      <c r="B1703" s="18" t="s">
        <v>47</v>
      </c>
      <c r="C1703" s="18" t="s">
        <v>19</v>
      </c>
      <c r="D1703" s="19"/>
      <c r="E1703" s="19"/>
      <c r="F1703" s="20">
        <f t="shared" si="24"/>
        <v>0</v>
      </c>
      <c r="G1703" s="67">
        <f>IFERROR(VLOOKUP(B1703,DADOS!$A$2:$H$252,8,0),"")</f>
        <v>35</v>
      </c>
      <c r="H1703" s="22">
        <v>59.0</v>
      </c>
      <c r="I1703" s="23">
        <f>IFERROR(VLOOKUP(B1703,DADOS!$A$2:$H$252,4,0)*H1703,"")</f>
        <v>6.7220824</v>
      </c>
      <c r="J1703" s="24">
        <v>3.0</v>
      </c>
      <c r="K1703" s="25">
        <f>IFERROR(VLOOKUP(B1703,DADOS!$A$2:$H$252,4,0)*J1703,"")</f>
        <v>0.3418008</v>
      </c>
      <c r="L1703" s="26">
        <f t="shared" si="23"/>
        <v>0</v>
      </c>
      <c r="M1703" s="27"/>
      <c r="N1703" s="30"/>
      <c r="O1703" s="28"/>
      <c r="P1703" s="28"/>
      <c r="Q1703" s="28"/>
      <c r="R1703" s="28"/>
      <c r="S1703" s="28"/>
    </row>
    <row r="1704">
      <c r="A1704" s="17">
        <v>45910.0</v>
      </c>
      <c r="B1704" s="18" t="s">
        <v>96</v>
      </c>
      <c r="C1704" s="18" t="s">
        <v>19</v>
      </c>
      <c r="D1704" s="19"/>
      <c r="E1704" s="19"/>
      <c r="F1704" s="20">
        <f t="shared" si="24"/>
        <v>0</v>
      </c>
      <c r="G1704" s="67">
        <f>IFERROR(VLOOKUP(B1704,DADOS!$A$2:$H$252,8,0),"")</f>
        <v>27</v>
      </c>
      <c r="H1704" s="22">
        <v>173.0</v>
      </c>
      <c r="I1704" s="23">
        <f>IFERROR(VLOOKUP(B1704,DADOS!$A$2:$H$252,4,0)*H1704,"")</f>
        <v>16.28968</v>
      </c>
      <c r="J1704" s="24">
        <v>9.0</v>
      </c>
      <c r="K1704" s="25">
        <f>IFERROR(VLOOKUP(B1704,DADOS!$A$2:$H$252,4,0)*J1704,"")</f>
        <v>0.84744</v>
      </c>
      <c r="L1704" s="26">
        <f t="shared" si="23"/>
        <v>0</v>
      </c>
      <c r="M1704" s="27"/>
      <c r="N1704" s="30"/>
      <c r="O1704" s="28"/>
      <c r="P1704" s="28"/>
      <c r="Q1704" s="28"/>
      <c r="R1704" s="28"/>
      <c r="S1704" s="28"/>
    </row>
    <row r="1705">
      <c r="A1705" s="17">
        <v>45910.0</v>
      </c>
      <c r="B1705" s="18" t="s">
        <v>16</v>
      </c>
      <c r="C1705" s="18" t="s">
        <v>65</v>
      </c>
      <c r="D1705" s="19"/>
      <c r="E1705" s="19"/>
      <c r="F1705" s="20">
        <f t="shared" si="24"/>
        <v>0</v>
      </c>
      <c r="G1705" s="67">
        <f>IFERROR(VLOOKUP(B1705,DADOS!$A$2:$H$252,8,0),"")</f>
        <v>150</v>
      </c>
      <c r="H1705" s="22">
        <v>783.0</v>
      </c>
      <c r="I1705" s="23">
        <f>IFERROR(VLOOKUP(B1705,DADOS!$A$2:$H$252,4,0)*H1705,"")</f>
        <v>22.6543824</v>
      </c>
      <c r="J1705" s="24">
        <v>9.0</v>
      </c>
      <c r="K1705" s="25">
        <f>IFERROR(VLOOKUP(B1705,DADOS!$A$2:$H$252,4,0)*J1705,"")</f>
        <v>0.2603952</v>
      </c>
      <c r="L1705" s="26">
        <f t="shared" si="23"/>
        <v>0</v>
      </c>
      <c r="M1705" s="27"/>
      <c r="N1705" s="30"/>
      <c r="O1705" s="28"/>
      <c r="P1705" s="28"/>
      <c r="Q1705" s="28"/>
      <c r="R1705" s="28"/>
      <c r="S1705" s="28"/>
    </row>
    <row r="1706">
      <c r="A1706" s="17">
        <v>45911.0</v>
      </c>
      <c r="B1706" s="18" t="s">
        <v>48</v>
      </c>
      <c r="C1706" s="18" t="s">
        <v>166</v>
      </c>
      <c r="D1706" s="19">
        <v>0.3333333333333333</v>
      </c>
      <c r="E1706" s="29">
        <v>0.5</v>
      </c>
      <c r="F1706" s="20">
        <f t="shared" si="24"/>
        <v>0.1666666667</v>
      </c>
      <c r="G1706" s="67">
        <f>IFERROR(VLOOKUP(B1706,DADOS!$A$2:$H$252,8,0),"")</f>
        <v>6</v>
      </c>
      <c r="H1706" s="22">
        <v>23.0</v>
      </c>
      <c r="I1706" s="23">
        <f>IFERROR(VLOOKUP(B1706,DADOS!$A$2:$H$252,4,0)*H1706,"")</f>
        <v>2.6204728</v>
      </c>
      <c r="J1706" s="24">
        <v>1.0</v>
      </c>
      <c r="K1706" s="25">
        <f>IFERROR(VLOOKUP(B1706,DADOS!$A$2:$H$252,4,0)*J1706,"")</f>
        <v>0.1139336</v>
      </c>
      <c r="L1706" s="26">
        <f t="shared" si="23"/>
        <v>0</v>
      </c>
      <c r="M1706" s="27"/>
      <c r="N1706" s="30"/>
      <c r="O1706" s="28"/>
      <c r="P1706" s="28"/>
      <c r="Q1706" s="28"/>
      <c r="R1706" s="28"/>
      <c r="S1706" s="28"/>
    </row>
    <row r="1707">
      <c r="A1707" s="17">
        <v>45911.0</v>
      </c>
      <c r="B1707" s="18" t="s">
        <v>56</v>
      </c>
      <c r="C1707" s="18" t="s">
        <v>65</v>
      </c>
      <c r="D1707" s="19">
        <v>0.3402777777777778</v>
      </c>
      <c r="E1707" s="19"/>
      <c r="F1707" s="20">
        <f t="shared" si="24"/>
        <v>-0.3402777778</v>
      </c>
      <c r="G1707" s="67">
        <f>IFERROR(VLOOKUP(B1707,DADOS!$A$2:$H$252,8,0),"")</f>
        <v>162</v>
      </c>
      <c r="H1707" s="22">
        <v>278.0</v>
      </c>
      <c r="I1707" s="23">
        <f>IFERROR(VLOOKUP(B1707,DADOS!$A$2:$H$252,4,0)*H1707,"")</f>
        <v>2.67714</v>
      </c>
      <c r="J1707" s="36"/>
      <c r="K1707" s="25">
        <f>IFERROR(VLOOKUP(B1707,DADOS!$A$2:$H$252,4,0)*J1707,"")</f>
        <v>0</v>
      </c>
      <c r="L1707" s="26">
        <f t="shared" si="23"/>
        <v>0</v>
      </c>
      <c r="M1707" s="27"/>
      <c r="N1707" s="30"/>
      <c r="O1707" s="28"/>
      <c r="P1707" s="28"/>
      <c r="Q1707" s="28"/>
      <c r="R1707" s="28"/>
      <c r="S1707" s="28"/>
    </row>
    <row r="1708">
      <c r="A1708" s="17">
        <v>45911.0</v>
      </c>
      <c r="B1708" s="18" t="s">
        <v>16</v>
      </c>
      <c r="C1708" s="18" t="s">
        <v>65</v>
      </c>
      <c r="D1708" s="19"/>
      <c r="E1708" s="19">
        <v>0.7152777777777778</v>
      </c>
      <c r="F1708" s="20">
        <f t="shared" si="24"/>
        <v>0.7152777778</v>
      </c>
      <c r="G1708" s="67">
        <f>IFERROR(VLOOKUP(B1708,DADOS!$A$2:$H$252,8,0),"")</f>
        <v>150</v>
      </c>
      <c r="H1708" s="22">
        <v>315.0</v>
      </c>
      <c r="I1708" s="23">
        <f>IFERROR(VLOOKUP(B1708,DADOS!$A$2:$H$252,4,0)*H1708,"")</f>
        <v>9.113832</v>
      </c>
      <c r="J1708" s="36"/>
      <c r="K1708" s="25">
        <f>IFERROR(VLOOKUP(B1708,DADOS!$A$2:$H$252,4,0)*J1708,"")</f>
        <v>0</v>
      </c>
      <c r="L1708" s="26">
        <f t="shared" si="23"/>
        <v>0</v>
      </c>
      <c r="M1708" s="27"/>
      <c r="N1708" s="30"/>
      <c r="O1708" s="28"/>
      <c r="P1708" s="28"/>
      <c r="Q1708" s="28"/>
      <c r="R1708" s="28"/>
      <c r="S1708" s="28"/>
    </row>
    <row r="1709">
      <c r="A1709" s="17">
        <v>45911.0</v>
      </c>
      <c r="B1709" s="18" t="s">
        <v>24</v>
      </c>
      <c r="C1709" s="18" t="s">
        <v>165</v>
      </c>
      <c r="D1709" s="19">
        <v>0.34375</v>
      </c>
      <c r="E1709" s="19">
        <v>0.6597222222222222</v>
      </c>
      <c r="F1709" s="20">
        <f t="shared" si="24"/>
        <v>0.3159722222</v>
      </c>
      <c r="G1709" s="67">
        <f>IFERROR(VLOOKUP(B1709,DADOS!$A$2:$H$252,8,0),"")</f>
        <v>37</v>
      </c>
      <c r="H1709" s="22">
        <v>54.0</v>
      </c>
      <c r="I1709" s="23">
        <f>IFERROR(VLOOKUP(B1709,DADOS!$A$2:$H$252,4,0)*H1709,"")</f>
        <v>6.1524144</v>
      </c>
      <c r="J1709" s="24">
        <v>5.0</v>
      </c>
      <c r="K1709" s="25">
        <f>IFERROR(VLOOKUP(B1709,DADOS!$A$2:$H$252,4,0)*J1709,"")</f>
        <v>0.569668</v>
      </c>
      <c r="L1709" s="26">
        <f t="shared" si="23"/>
        <v>0</v>
      </c>
      <c r="M1709" s="27"/>
      <c r="N1709" s="30"/>
      <c r="O1709" s="28"/>
      <c r="P1709" s="28"/>
      <c r="Q1709" s="28"/>
      <c r="R1709" s="28"/>
      <c r="S1709" s="28"/>
    </row>
    <row r="1710">
      <c r="A1710" s="17">
        <v>45911.0</v>
      </c>
      <c r="B1710" s="18" t="s">
        <v>35</v>
      </c>
      <c r="C1710" s="18" t="s">
        <v>165</v>
      </c>
      <c r="D1710" s="19"/>
      <c r="E1710" s="19"/>
      <c r="F1710" s="20">
        <f t="shared" si="24"/>
        <v>0</v>
      </c>
      <c r="G1710" s="67">
        <f>IFERROR(VLOOKUP(B1710,DADOS!$A$2:$H$252,8,0),"")</f>
        <v>30</v>
      </c>
      <c r="H1710" s="22">
        <v>16.0</v>
      </c>
      <c r="I1710" s="23">
        <f>IFERROR(VLOOKUP(B1710,DADOS!$A$2:$H$252,4,0)*H1710,"")</f>
        <v>2.7457056</v>
      </c>
      <c r="J1710" s="24">
        <v>3.0</v>
      </c>
      <c r="K1710" s="25">
        <f>IFERROR(VLOOKUP(B1710,DADOS!$A$2:$H$252,4,0)*J1710,"")</f>
        <v>0.5148198</v>
      </c>
      <c r="L1710" s="26">
        <f t="shared" si="23"/>
        <v>0</v>
      </c>
      <c r="M1710" s="27"/>
      <c r="N1710" s="30"/>
      <c r="O1710" s="28"/>
      <c r="P1710" s="28"/>
      <c r="Q1710" s="28"/>
      <c r="R1710" s="28"/>
      <c r="S1710" s="28"/>
    </row>
    <row r="1711">
      <c r="A1711" s="17">
        <v>45911.0</v>
      </c>
      <c r="B1711" s="18" t="s">
        <v>21</v>
      </c>
      <c r="C1711" s="18" t="s">
        <v>165</v>
      </c>
      <c r="D1711" s="19"/>
      <c r="E1711" s="19"/>
      <c r="F1711" s="20">
        <f t="shared" si="24"/>
        <v>0</v>
      </c>
      <c r="G1711" s="67">
        <f>IFERROR(VLOOKUP(B1711,DADOS!$A$2:$H$252,8,0),"")</f>
        <v>33</v>
      </c>
      <c r="H1711" s="22">
        <v>14.0</v>
      </c>
      <c r="I1711" s="23">
        <f>IFERROR(VLOOKUP(B1711,DADOS!$A$2:$H$252,4,0)*H1711,"")</f>
        <v>1.5950704</v>
      </c>
      <c r="J1711" s="36"/>
      <c r="K1711" s="25">
        <f>IFERROR(VLOOKUP(B1711,DADOS!$A$2:$H$252,4,0)*J1711,"")</f>
        <v>0</v>
      </c>
      <c r="L1711" s="26">
        <f t="shared" si="23"/>
        <v>0</v>
      </c>
      <c r="M1711" s="27"/>
      <c r="N1711" s="30"/>
      <c r="O1711" s="28"/>
      <c r="P1711" s="28"/>
      <c r="Q1711" s="28"/>
      <c r="R1711" s="28"/>
      <c r="S1711" s="28"/>
    </row>
    <row r="1712">
      <c r="A1712" s="17">
        <v>45912.0</v>
      </c>
      <c r="B1712" s="18" t="s">
        <v>48</v>
      </c>
      <c r="C1712" s="18" t="s">
        <v>166</v>
      </c>
      <c r="D1712" s="19">
        <v>0.3333333333333333</v>
      </c>
      <c r="E1712" s="19">
        <v>0.4722222222222222</v>
      </c>
      <c r="F1712" s="20">
        <f t="shared" si="24"/>
        <v>0.1388888889</v>
      </c>
      <c r="G1712" s="67">
        <f>IFERROR(VLOOKUP(B1712,DADOS!$A$2:$H$252,8,0),"")</f>
        <v>6</v>
      </c>
      <c r="H1712" s="22">
        <v>20.0</v>
      </c>
      <c r="I1712" s="23">
        <f>IFERROR(VLOOKUP(B1712,DADOS!$A$2:$H$252,4,0)*H1712,"")</f>
        <v>2.278672</v>
      </c>
      <c r="J1712" s="24">
        <v>1.0</v>
      </c>
      <c r="K1712" s="25">
        <f>IFERROR(VLOOKUP(B1712,DADOS!$A$2:$H$252,4,0)*J1712,"")</f>
        <v>0.1139336</v>
      </c>
      <c r="L1712" s="26">
        <f t="shared" si="23"/>
        <v>0</v>
      </c>
      <c r="M1712" s="27"/>
      <c r="N1712" s="30"/>
      <c r="O1712" s="28"/>
      <c r="P1712" s="28"/>
      <c r="Q1712" s="28"/>
      <c r="R1712" s="28"/>
      <c r="S1712" s="28"/>
    </row>
    <row r="1713">
      <c r="A1713" s="17">
        <v>45912.0</v>
      </c>
      <c r="B1713" s="18" t="s">
        <v>56</v>
      </c>
      <c r="C1713" s="18" t="s">
        <v>65</v>
      </c>
      <c r="D1713" s="19"/>
      <c r="E1713" s="19"/>
      <c r="F1713" s="20">
        <f t="shared" si="24"/>
        <v>0</v>
      </c>
      <c r="G1713" s="67">
        <f>IFERROR(VLOOKUP(B1713,DADOS!$A$2:$H$252,8,0),"")</f>
        <v>162</v>
      </c>
      <c r="H1713" s="22">
        <v>225.0</v>
      </c>
      <c r="I1713" s="23">
        <f>IFERROR(VLOOKUP(B1713,DADOS!$A$2:$H$252,4,0)*H1713,"")</f>
        <v>2.16675</v>
      </c>
      <c r="J1713" s="24">
        <v>1.0</v>
      </c>
      <c r="K1713" s="25">
        <f>IFERROR(VLOOKUP(B1713,DADOS!$A$2:$H$252,4,0)*J1713,"")</f>
        <v>0.00963</v>
      </c>
      <c r="L1713" s="26">
        <f t="shared" si="23"/>
        <v>0</v>
      </c>
      <c r="M1713" s="27"/>
      <c r="N1713" s="30"/>
      <c r="O1713" s="28"/>
      <c r="P1713" s="28"/>
      <c r="Q1713" s="28"/>
      <c r="R1713" s="28"/>
      <c r="S1713" s="28"/>
    </row>
    <row r="1714">
      <c r="A1714" s="17">
        <v>45912.0</v>
      </c>
      <c r="B1714" s="18" t="s">
        <v>21</v>
      </c>
      <c r="C1714" s="18" t="s">
        <v>165</v>
      </c>
      <c r="D1714" s="19"/>
      <c r="E1714" s="19"/>
      <c r="F1714" s="20">
        <f t="shared" si="24"/>
        <v>0</v>
      </c>
      <c r="G1714" s="67">
        <f>IFERROR(VLOOKUP(B1714,DADOS!$A$2:$H$252,8,0),"")</f>
        <v>33</v>
      </c>
      <c r="H1714" s="22">
        <v>39.0</v>
      </c>
      <c r="I1714" s="23">
        <f>IFERROR(VLOOKUP(B1714,DADOS!$A$2:$H$252,4,0)*H1714,"")</f>
        <v>4.4434104</v>
      </c>
      <c r="J1714" s="36"/>
      <c r="K1714" s="25">
        <f>IFERROR(VLOOKUP(B1714,DADOS!$A$2:$H$252,4,0)*J1714,"")</f>
        <v>0</v>
      </c>
      <c r="L1714" s="26">
        <f t="shared" si="23"/>
        <v>0</v>
      </c>
      <c r="M1714" s="27"/>
      <c r="N1714" s="30"/>
      <c r="O1714" s="28"/>
      <c r="P1714" s="28"/>
      <c r="Q1714" s="28"/>
      <c r="R1714" s="28"/>
      <c r="S1714" s="28"/>
    </row>
    <row r="1715">
      <c r="A1715" s="17">
        <v>45912.0</v>
      </c>
      <c r="B1715" s="18" t="s">
        <v>35</v>
      </c>
      <c r="C1715" s="18" t="s">
        <v>165</v>
      </c>
      <c r="D1715" s="19"/>
      <c r="E1715" s="19"/>
      <c r="F1715" s="20">
        <f t="shared" si="24"/>
        <v>0</v>
      </c>
      <c r="G1715" s="67">
        <f>IFERROR(VLOOKUP(B1715,DADOS!$A$2:$H$252,8,0),"")</f>
        <v>30</v>
      </c>
      <c r="H1715" s="22">
        <v>32.0</v>
      </c>
      <c r="I1715" s="23">
        <f>IFERROR(VLOOKUP(B1715,DADOS!$A$2:$H$252,4,0)*H1715,"")</f>
        <v>5.4914112</v>
      </c>
      <c r="J1715" s="24">
        <v>3.0</v>
      </c>
      <c r="K1715" s="25">
        <f>IFERROR(VLOOKUP(B1715,DADOS!$A$2:$H$252,4,0)*J1715,"")</f>
        <v>0.5148198</v>
      </c>
      <c r="L1715" s="26">
        <f t="shared" si="23"/>
        <v>0</v>
      </c>
      <c r="M1715" s="27"/>
      <c r="N1715" s="30"/>
      <c r="O1715" s="28"/>
      <c r="P1715" s="28"/>
      <c r="Q1715" s="28"/>
      <c r="R1715" s="28"/>
      <c r="S1715" s="28"/>
    </row>
    <row r="1716">
      <c r="A1716" s="17">
        <v>45913.0</v>
      </c>
      <c r="B1716" s="18" t="s">
        <v>71</v>
      </c>
      <c r="C1716" s="18" t="s">
        <v>193</v>
      </c>
      <c r="D1716" s="19"/>
      <c r="E1716" s="19"/>
      <c r="F1716" s="20">
        <f t="shared" si="24"/>
        <v>0</v>
      </c>
      <c r="G1716" s="67">
        <f>IFERROR(VLOOKUP(B1716,DADOS!$A$2:$H$252,8,0),"")</f>
        <v>7</v>
      </c>
      <c r="H1716" s="22">
        <v>38.0</v>
      </c>
      <c r="I1716" s="23">
        <f>IFERROR(VLOOKUP(B1716,DADOS!$A$2:$H$252,4,0)*H1716,"")</f>
        <v>53.2914356</v>
      </c>
      <c r="J1716" s="24">
        <v>2.0</v>
      </c>
      <c r="K1716" s="25">
        <f>IFERROR(VLOOKUP(B1716,DADOS!$A$2:$H$252,4,0)*J1716,"")</f>
        <v>2.8048124</v>
      </c>
      <c r="L1716" s="26">
        <f t="shared" si="23"/>
        <v>0</v>
      </c>
      <c r="M1716" s="27"/>
      <c r="N1716" s="30"/>
      <c r="O1716" s="28"/>
      <c r="P1716" s="28"/>
      <c r="Q1716" s="28"/>
      <c r="R1716" s="28"/>
      <c r="S1716" s="28"/>
    </row>
    <row r="1717">
      <c r="A1717" s="17">
        <v>45915.0</v>
      </c>
      <c r="B1717" s="18" t="s">
        <v>155</v>
      </c>
      <c r="C1717" s="18" t="s">
        <v>166</v>
      </c>
      <c r="D1717" s="19">
        <v>0.3333333333333333</v>
      </c>
      <c r="E1717" s="19"/>
      <c r="F1717" s="20">
        <f t="shared" si="24"/>
        <v>-0.3333333333</v>
      </c>
      <c r="G1717" s="67">
        <f>IFERROR(VLOOKUP(B1717,DADOS!$A$2:$H$252,8,0),"")</f>
        <v>18</v>
      </c>
      <c r="H1717" s="22">
        <v>50.0</v>
      </c>
      <c r="I1717" s="23">
        <f>IFERROR(VLOOKUP(B1717,DADOS!$A$2:$H$252,4,0)*H1717,"")</f>
        <v>19.7843</v>
      </c>
      <c r="J1717" s="36"/>
      <c r="K1717" s="25">
        <f>IFERROR(VLOOKUP(B1717,DADOS!$A$2:$H$252,4,0)*J1717,"")</f>
        <v>0</v>
      </c>
      <c r="L1717" s="26">
        <f t="shared" si="23"/>
        <v>0</v>
      </c>
      <c r="M1717" s="27"/>
      <c r="N1717" s="30"/>
      <c r="O1717" s="28"/>
      <c r="P1717" s="28"/>
      <c r="Q1717" s="28"/>
      <c r="R1717" s="28"/>
      <c r="S1717" s="28"/>
    </row>
    <row r="1718">
      <c r="A1718" s="17">
        <v>45915.0</v>
      </c>
      <c r="B1718" s="18" t="s">
        <v>187</v>
      </c>
      <c r="C1718" s="18" t="s">
        <v>166</v>
      </c>
      <c r="D1718" s="19"/>
      <c r="E1718" s="19">
        <v>0.4930555555555556</v>
      </c>
      <c r="F1718" s="20">
        <f t="shared" si="24"/>
        <v>0.4930555556</v>
      </c>
      <c r="G1718" s="67">
        <f>IFERROR(VLOOKUP(B1718,DADOS!$A$2:$H$252,8,0),"")</f>
        <v>40</v>
      </c>
      <c r="H1718" s="22">
        <v>43.0</v>
      </c>
      <c r="I1718" s="23">
        <f>IFERROR(VLOOKUP(B1718,DADOS!$A$2:$H$252,4,0)*H1718,"")</f>
        <v>11.925792</v>
      </c>
      <c r="J1718" s="36"/>
      <c r="K1718" s="25">
        <f>IFERROR(VLOOKUP(B1718,DADOS!$A$2:$H$252,4,0)*J1718,"")</f>
        <v>0</v>
      </c>
      <c r="L1718" s="26">
        <f t="shared" si="23"/>
        <v>0</v>
      </c>
      <c r="M1718" s="27"/>
      <c r="N1718" s="30"/>
      <c r="O1718" s="28"/>
      <c r="P1718" s="28"/>
      <c r="Q1718" s="28"/>
      <c r="R1718" s="28"/>
      <c r="S1718" s="28"/>
    </row>
    <row r="1719">
      <c r="A1719" s="17">
        <v>45915.0</v>
      </c>
      <c r="B1719" s="18" t="s">
        <v>57</v>
      </c>
      <c r="C1719" s="18" t="s">
        <v>65</v>
      </c>
      <c r="D1719" s="19"/>
      <c r="E1719" s="19"/>
      <c r="F1719" s="20">
        <f t="shared" si="24"/>
        <v>0</v>
      </c>
      <c r="G1719" s="67">
        <f>IFERROR(VLOOKUP(B1719,DADOS!$A$2:$H$252,8,0),"")</f>
        <v>100</v>
      </c>
      <c r="H1719" s="22">
        <v>112.0</v>
      </c>
      <c r="I1719" s="23">
        <f>IFERROR(VLOOKUP(B1719,DADOS!$A$2:$H$252,4,0)*H1719,"")</f>
        <v>1.91744</v>
      </c>
      <c r="J1719" s="36"/>
      <c r="K1719" s="25">
        <f>IFERROR(VLOOKUP(B1719,DADOS!$A$2:$H$252,4,0)*J1719,"")</f>
        <v>0</v>
      </c>
      <c r="L1719" s="26">
        <f t="shared" si="23"/>
        <v>0</v>
      </c>
      <c r="M1719" s="27"/>
      <c r="N1719" s="30"/>
      <c r="O1719" s="28"/>
      <c r="P1719" s="28"/>
      <c r="Q1719" s="28"/>
      <c r="R1719" s="28"/>
      <c r="S1719" s="28"/>
    </row>
    <row r="1720">
      <c r="A1720" s="17">
        <v>45915.0</v>
      </c>
      <c r="B1720" s="18" t="s">
        <v>56</v>
      </c>
      <c r="C1720" s="18" t="s">
        <v>65</v>
      </c>
      <c r="D1720" s="19"/>
      <c r="E1720" s="19"/>
      <c r="F1720" s="20">
        <f t="shared" si="24"/>
        <v>0</v>
      </c>
      <c r="G1720" s="67">
        <f>IFERROR(VLOOKUP(B1720,DADOS!$A$2:$H$252,8,0),"")</f>
        <v>162</v>
      </c>
      <c r="H1720" s="22">
        <v>143.0</v>
      </c>
      <c r="I1720" s="23">
        <f>IFERROR(VLOOKUP(B1720,DADOS!$A$2:$H$252,4,0)*H1720,"")</f>
        <v>1.37709</v>
      </c>
      <c r="J1720" s="36"/>
      <c r="K1720" s="25">
        <f>IFERROR(VLOOKUP(B1720,DADOS!$A$2:$H$252,4,0)*J1720,"")</f>
        <v>0</v>
      </c>
      <c r="L1720" s="26">
        <f t="shared" si="23"/>
        <v>0</v>
      </c>
      <c r="M1720" s="27"/>
      <c r="N1720" s="30"/>
      <c r="O1720" s="28"/>
      <c r="P1720" s="28"/>
      <c r="Q1720" s="28"/>
      <c r="R1720" s="28"/>
      <c r="S1720" s="28"/>
    </row>
    <row r="1721">
      <c r="A1721" s="17">
        <v>45915.0</v>
      </c>
      <c r="B1721" s="18" t="s">
        <v>35</v>
      </c>
      <c r="C1721" s="18" t="s">
        <v>165</v>
      </c>
      <c r="D1721" s="19"/>
      <c r="E1721" s="19"/>
      <c r="F1721" s="20">
        <f t="shared" si="24"/>
        <v>0</v>
      </c>
      <c r="G1721" s="67">
        <f>IFERROR(VLOOKUP(B1721,DADOS!$A$2:$H$252,8,0),"")</f>
        <v>30</v>
      </c>
      <c r="H1721" s="22">
        <v>43.0</v>
      </c>
      <c r="I1721" s="23">
        <f>IFERROR(VLOOKUP(B1721,DADOS!$A$2:$H$252,4,0)*H1721,"")</f>
        <v>7.3790838</v>
      </c>
      <c r="J1721" s="24">
        <v>1.0</v>
      </c>
      <c r="K1721" s="25">
        <f>IFERROR(VLOOKUP(B1721,DADOS!$A$2:$H$252,4,0)*J1721,"")</f>
        <v>0.1716066</v>
      </c>
      <c r="L1721" s="26">
        <f t="shared" si="23"/>
        <v>0</v>
      </c>
      <c r="M1721" s="27"/>
      <c r="N1721" s="30"/>
      <c r="O1721" s="28"/>
      <c r="P1721" s="28"/>
      <c r="Q1721" s="28"/>
      <c r="R1721" s="28"/>
      <c r="S1721" s="28"/>
    </row>
    <row r="1722">
      <c r="A1722" s="17">
        <v>45915.0</v>
      </c>
      <c r="B1722" s="18" t="s">
        <v>25</v>
      </c>
      <c r="C1722" s="18" t="s">
        <v>165</v>
      </c>
      <c r="D1722" s="19"/>
      <c r="E1722" s="19"/>
      <c r="F1722" s="20">
        <f t="shared" si="24"/>
        <v>0</v>
      </c>
      <c r="G1722" s="67">
        <f>IFERROR(VLOOKUP(B1722,DADOS!$A$2:$H$252,8,0),"")</f>
        <v>40</v>
      </c>
      <c r="H1722" s="22">
        <v>110.0</v>
      </c>
      <c r="I1722" s="23">
        <f>IFERROR(VLOOKUP(B1722,DADOS!$A$2:$H$252,4,0)*H1722,"")</f>
        <v>11.39336</v>
      </c>
      <c r="J1722" s="24">
        <v>2.0</v>
      </c>
      <c r="K1722" s="25">
        <f>IFERROR(VLOOKUP(B1722,DADOS!$A$2:$H$252,4,0)*J1722,"")</f>
        <v>0.207152</v>
      </c>
      <c r="L1722" s="26">
        <f t="shared" si="23"/>
        <v>0</v>
      </c>
      <c r="M1722" s="27"/>
      <c r="N1722" s="30"/>
      <c r="O1722" s="28"/>
      <c r="P1722" s="28"/>
      <c r="Q1722" s="28"/>
      <c r="R1722" s="28"/>
      <c r="S1722" s="28"/>
    </row>
    <row r="1723">
      <c r="A1723" s="17">
        <v>45916.0</v>
      </c>
      <c r="B1723" s="18" t="s">
        <v>58</v>
      </c>
      <c r="C1723" s="18" t="s">
        <v>166</v>
      </c>
      <c r="D1723" s="19"/>
      <c r="E1723" s="19"/>
      <c r="F1723" s="20">
        <f t="shared" si="24"/>
        <v>0</v>
      </c>
      <c r="G1723" s="67">
        <f>IFERROR(VLOOKUP(B1723,DADOS!$A$2:$H$252,8,0),"")</f>
        <v>31</v>
      </c>
      <c r="H1723" s="22">
        <v>69.0</v>
      </c>
      <c r="I1723" s="23">
        <f>IFERROR(VLOOKUP(B1723,DADOS!$A$2:$H$252,4,0)*H1723,"")</f>
        <v>7.8614184</v>
      </c>
      <c r="J1723" s="36"/>
      <c r="K1723" s="25">
        <f>IFERROR(VLOOKUP(B1723,DADOS!$A$2:$H$252,4,0)*J1723,"")</f>
        <v>0</v>
      </c>
      <c r="L1723" s="26">
        <f t="shared" si="23"/>
        <v>0</v>
      </c>
      <c r="M1723" s="27"/>
      <c r="N1723" s="30"/>
      <c r="O1723" s="28"/>
      <c r="P1723" s="28"/>
      <c r="Q1723" s="28"/>
      <c r="R1723" s="28"/>
      <c r="S1723" s="28"/>
    </row>
    <row r="1724">
      <c r="A1724" s="17">
        <v>45916.0</v>
      </c>
      <c r="B1724" s="18" t="s">
        <v>58</v>
      </c>
      <c r="C1724" s="18" t="s">
        <v>19</v>
      </c>
      <c r="D1724" s="19"/>
      <c r="E1724" s="19"/>
      <c r="F1724" s="20">
        <f t="shared" si="24"/>
        <v>0</v>
      </c>
      <c r="G1724" s="67">
        <f>IFERROR(VLOOKUP(B1724,DADOS!$A$2:$H$252,8,0),"")</f>
        <v>31</v>
      </c>
      <c r="H1724" s="22">
        <v>4.0</v>
      </c>
      <c r="I1724" s="23">
        <f>IFERROR(VLOOKUP(B1724,DADOS!$A$2:$H$252,4,0)*H1724,"")</f>
        <v>0.4557344</v>
      </c>
      <c r="J1724" s="36"/>
      <c r="K1724" s="25">
        <f>IFERROR(VLOOKUP(B1724,DADOS!$A$2:$H$252,4,0)*J1724,"")</f>
        <v>0</v>
      </c>
      <c r="L1724" s="26">
        <f t="shared" si="23"/>
        <v>0</v>
      </c>
      <c r="M1724" s="27"/>
      <c r="N1724" s="30"/>
      <c r="O1724" s="28"/>
      <c r="P1724" s="28"/>
      <c r="Q1724" s="28"/>
      <c r="R1724" s="28"/>
      <c r="S1724" s="28"/>
    </row>
    <row r="1725">
      <c r="A1725" s="17">
        <v>45916.0</v>
      </c>
      <c r="B1725" s="18" t="s">
        <v>122</v>
      </c>
      <c r="C1725" s="18" t="s">
        <v>19</v>
      </c>
      <c r="D1725" s="19"/>
      <c r="E1725" s="19"/>
      <c r="F1725" s="20">
        <f t="shared" si="24"/>
        <v>0</v>
      </c>
      <c r="G1725" s="67">
        <f>IFERROR(VLOOKUP(B1725,DADOS!$A$2:$H$252,8,0),"")</f>
        <v>17</v>
      </c>
      <c r="H1725" s="22">
        <v>20.0</v>
      </c>
      <c r="I1725" s="23">
        <f>IFERROR(VLOOKUP(B1725,DADOS!$A$2:$H$252,4,0)*H1725,"")</f>
        <v>3.432132</v>
      </c>
      <c r="J1725" s="24">
        <v>4.0</v>
      </c>
      <c r="K1725" s="25">
        <f>IFERROR(VLOOKUP(B1725,DADOS!$A$2:$H$252,4,0)*J1725,"")</f>
        <v>0.6864264</v>
      </c>
      <c r="L1725" s="26">
        <f t="shared" si="23"/>
        <v>0</v>
      </c>
      <c r="M1725" s="27"/>
      <c r="N1725" s="30"/>
      <c r="O1725" s="28"/>
      <c r="P1725" s="28"/>
      <c r="Q1725" s="28"/>
      <c r="R1725" s="28"/>
      <c r="S1725" s="28"/>
    </row>
    <row r="1726">
      <c r="A1726" s="17">
        <v>45916.0</v>
      </c>
      <c r="B1726" s="18" t="s">
        <v>94</v>
      </c>
      <c r="C1726" s="18" t="s">
        <v>65</v>
      </c>
      <c r="D1726" s="19"/>
      <c r="E1726" s="19"/>
      <c r="F1726" s="20">
        <f t="shared" si="24"/>
        <v>0</v>
      </c>
      <c r="G1726" s="67">
        <f>IFERROR(VLOOKUP(B1726,DADOS!$A$2:$H$252,8,0),"")</f>
        <v>100</v>
      </c>
      <c r="H1726" s="22">
        <v>13.0</v>
      </c>
      <c r="I1726" s="23">
        <f>IFERROR(VLOOKUP(B1726,DADOS!$A$2:$H$252,4,0)*H1726,"")</f>
        <v>0.4907448</v>
      </c>
      <c r="J1726" s="36"/>
      <c r="K1726" s="25">
        <f>IFERROR(VLOOKUP(B1726,DADOS!$A$2:$H$252,4,0)*J1726,"")</f>
        <v>0</v>
      </c>
      <c r="L1726" s="26">
        <f t="shared" si="23"/>
        <v>0</v>
      </c>
      <c r="M1726" s="27"/>
      <c r="N1726" s="30"/>
      <c r="O1726" s="28"/>
      <c r="P1726" s="28"/>
      <c r="Q1726" s="28"/>
      <c r="R1726" s="28"/>
      <c r="S1726" s="28"/>
    </row>
    <row r="1727">
      <c r="A1727" s="17">
        <v>45916.0</v>
      </c>
      <c r="B1727" s="18" t="s">
        <v>98</v>
      </c>
      <c r="C1727" s="18" t="s">
        <v>65</v>
      </c>
      <c r="D1727" s="19"/>
      <c r="E1727" s="19"/>
      <c r="F1727" s="20">
        <f t="shared" si="24"/>
        <v>0</v>
      </c>
      <c r="G1727" s="67">
        <f>IFERROR(VLOOKUP(B1727,DADOS!$A$2:$H$252,8,0),"")</f>
        <v>100</v>
      </c>
      <c r="H1727" s="22">
        <v>192.0</v>
      </c>
      <c r="I1727" s="23">
        <f>IFERROR(VLOOKUP(B1727,DADOS!$A$2:$H$252,4,0)*H1727,"")</f>
        <v>51.77088</v>
      </c>
      <c r="J1727" s="24">
        <v>2.0</v>
      </c>
      <c r="K1727" s="25">
        <f>IFERROR(VLOOKUP(B1727,DADOS!$A$2:$H$252,4,0)*J1727,"")</f>
        <v>0.53928</v>
      </c>
      <c r="L1727" s="26">
        <f t="shared" si="23"/>
        <v>0</v>
      </c>
      <c r="M1727" s="27"/>
      <c r="N1727" s="30"/>
      <c r="O1727" s="28"/>
      <c r="P1727" s="28"/>
      <c r="Q1727" s="28"/>
      <c r="R1727" s="28"/>
      <c r="S1727" s="28"/>
    </row>
    <row r="1728">
      <c r="A1728" s="17">
        <v>45916.0</v>
      </c>
      <c r="B1728" s="18" t="s">
        <v>25</v>
      </c>
      <c r="C1728" s="18" t="s">
        <v>165</v>
      </c>
      <c r="D1728" s="19">
        <v>0.3333333333333333</v>
      </c>
      <c r="E1728" s="19">
        <v>0.4097222222222222</v>
      </c>
      <c r="F1728" s="20">
        <f t="shared" si="24"/>
        <v>0.07638888889</v>
      </c>
      <c r="G1728" s="67">
        <f>IFERROR(VLOOKUP(B1728,DADOS!$A$2:$H$252,8,0),"")</f>
        <v>40</v>
      </c>
      <c r="H1728" s="22">
        <v>32.0</v>
      </c>
      <c r="I1728" s="23">
        <f>IFERROR(VLOOKUP(B1728,DADOS!$A$2:$H$252,4,0)*H1728,"")</f>
        <v>3.314432</v>
      </c>
      <c r="J1728" s="36"/>
      <c r="K1728" s="25">
        <f>IFERROR(VLOOKUP(B1728,DADOS!$A$2:$H$252,4,0)*J1728,"")</f>
        <v>0</v>
      </c>
      <c r="L1728" s="26">
        <f t="shared" si="23"/>
        <v>0</v>
      </c>
      <c r="M1728" s="27"/>
      <c r="N1728" s="30"/>
      <c r="O1728" s="28"/>
      <c r="P1728" s="28"/>
      <c r="Q1728" s="28"/>
      <c r="R1728" s="28"/>
      <c r="S1728" s="28"/>
    </row>
    <row r="1729">
      <c r="A1729" s="17">
        <v>45916.0</v>
      </c>
      <c r="B1729" s="18" t="s">
        <v>18</v>
      </c>
      <c r="C1729" s="18" t="s">
        <v>165</v>
      </c>
      <c r="D1729" s="19">
        <v>0.4236111111111111</v>
      </c>
      <c r="E1729" s="19">
        <v>0.7152777777777778</v>
      </c>
      <c r="F1729" s="20">
        <f t="shared" si="24"/>
        <v>0.2916666667</v>
      </c>
      <c r="G1729" s="67">
        <f>IFERROR(VLOOKUP(B1729,DADOS!$A$2:$H$252,8,0),"")</f>
        <v>21</v>
      </c>
      <c r="H1729" s="22">
        <v>85.0</v>
      </c>
      <c r="I1729" s="23">
        <f>IFERROR(VLOOKUP(B1729,DADOS!$A$2:$H$252,4,0)*H1729,"")</f>
        <v>24.90211</v>
      </c>
      <c r="J1729" s="36"/>
      <c r="K1729" s="25">
        <f>IFERROR(VLOOKUP(B1729,DADOS!$A$2:$H$252,4,0)*J1729,"")</f>
        <v>0</v>
      </c>
      <c r="L1729" s="26">
        <f t="shared" si="23"/>
        <v>0</v>
      </c>
      <c r="M1729" s="27"/>
      <c r="N1729" s="30"/>
      <c r="O1729" s="28"/>
      <c r="P1729" s="28"/>
      <c r="Q1729" s="28"/>
      <c r="R1729" s="28"/>
      <c r="S1729" s="28"/>
    </row>
    <row r="1730">
      <c r="A1730" s="17">
        <v>45917.0</v>
      </c>
      <c r="B1730" s="18" t="s">
        <v>101</v>
      </c>
      <c r="C1730" s="18" t="s">
        <v>166</v>
      </c>
      <c r="D1730" s="19">
        <v>0.3402777777777778</v>
      </c>
      <c r="E1730" s="19">
        <v>0.4930555555555556</v>
      </c>
      <c r="F1730" s="20">
        <f t="shared" si="24"/>
        <v>0.1527777778</v>
      </c>
      <c r="G1730" s="67" t="str">
        <f>IFERROR(VLOOKUP(B1730,DADOS!$A$2:$H$252,8,0),"")</f>
        <v/>
      </c>
      <c r="H1730" s="22">
        <v>34.0</v>
      </c>
      <c r="I1730" s="23">
        <f>IFERROR(VLOOKUP(B1730,DADOS!$A$2:$H$252,4,0)*H1730,"")</f>
        <v>5.4104336</v>
      </c>
      <c r="J1730" s="36"/>
      <c r="K1730" s="25">
        <f>IFERROR(VLOOKUP(B1730,DADOS!$A$2:$H$252,4,0)*J1730,"")</f>
        <v>0</v>
      </c>
      <c r="L1730" s="26">
        <f t="shared" si="23"/>
        <v>0</v>
      </c>
      <c r="M1730" s="27"/>
      <c r="N1730" s="30"/>
      <c r="O1730" s="28"/>
      <c r="P1730" s="28"/>
      <c r="Q1730" s="28"/>
      <c r="R1730" s="28"/>
      <c r="S1730" s="28"/>
    </row>
    <row r="1731">
      <c r="A1731" s="17">
        <v>45917.0</v>
      </c>
      <c r="B1731" s="18" t="s">
        <v>203</v>
      </c>
      <c r="C1731" s="18" t="s">
        <v>19</v>
      </c>
      <c r="D1731" s="19"/>
      <c r="E1731" s="19"/>
      <c r="F1731" s="20">
        <f t="shared" si="24"/>
        <v>0</v>
      </c>
      <c r="G1731" s="67" t="str">
        <f>IFERROR(VLOOKUP(B1731,DADOS!$A$2:$H$252,8,0),"")</f>
        <v/>
      </c>
      <c r="H1731" s="22">
        <v>24.0</v>
      </c>
      <c r="I1731" s="23" t="str">
        <f>IFERROR(VLOOKUP(B1731,DADOS!$A$2:$H$252,4,0)*H1731,"")</f>
        <v/>
      </c>
      <c r="J1731" s="24">
        <v>4.0</v>
      </c>
      <c r="K1731" s="25" t="str">
        <f>IFERROR(VLOOKUP(B1731,DADOS!$A$2:$H$252,4,0)*J1731,"")</f>
        <v/>
      </c>
      <c r="L1731" s="26" t="str">
        <f t="shared" si="23"/>
        <v/>
      </c>
      <c r="M1731" s="27"/>
      <c r="N1731" s="30"/>
      <c r="O1731" s="28"/>
      <c r="P1731" s="28"/>
      <c r="Q1731" s="28"/>
      <c r="R1731" s="28"/>
      <c r="S1731" s="28"/>
    </row>
    <row r="1732">
      <c r="A1732" s="17">
        <v>45917.0</v>
      </c>
      <c r="B1732" s="18" t="s">
        <v>94</v>
      </c>
      <c r="C1732" s="18" t="s">
        <v>65</v>
      </c>
      <c r="D1732" s="19"/>
      <c r="E1732" s="19"/>
      <c r="F1732" s="20">
        <f t="shared" si="24"/>
        <v>0</v>
      </c>
      <c r="G1732" s="67">
        <f>IFERROR(VLOOKUP(B1732,DADOS!$A$2:$H$252,8,0),"")</f>
        <v>100</v>
      </c>
      <c r="H1732" s="22">
        <v>88.0</v>
      </c>
      <c r="I1732" s="23">
        <f>IFERROR(VLOOKUP(B1732,DADOS!$A$2:$H$252,4,0)*H1732,"")</f>
        <v>3.3219648</v>
      </c>
      <c r="J1732" s="24">
        <v>2.0</v>
      </c>
      <c r="K1732" s="25">
        <f>IFERROR(VLOOKUP(B1732,DADOS!$A$2:$H$252,4,0)*J1732,"")</f>
        <v>0.0754992</v>
      </c>
      <c r="L1732" s="26">
        <f t="shared" si="23"/>
        <v>0</v>
      </c>
      <c r="M1732" s="27"/>
      <c r="N1732" s="30"/>
      <c r="O1732" s="28"/>
      <c r="P1732" s="28"/>
      <c r="Q1732" s="28"/>
      <c r="R1732" s="28"/>
      <c r="S1732" s="28"/>
    </row>
    <row r="1733">
      <c r="A1733" s="17">
        <v>45917.0</v>
      </c>
      <c r="B1733" s="18" t="s">
        <v>18</v>
      </c>
      <c r="C1733" s="18" t="s">
        <v>165</v>
      </c>
      <c r="D1733" s="19">
        <v>0.3194444444444444</v>
      </c>
      <c r="E1733" s="19">
        <v>0.3368055555555556</v>
      </c>
      <c r="F1733" s="20">
        <f t="shared" si="24"/>
        <v>0.01736111111</v>
      </c>
      <c r="G1733" s="67">
        <f>IFERROR(VLOOKUP(B1733,DADOS!$A$2:$H$252,8,0),"")</f>
        <v>21</v>
      </c>
      <c r="H1733" s="22">
        <v>5.0</v>
      </c>
      <c r="I1733" s="23">
        <f>IFERROR(VLOOKUP(B1733,DADOS!$A$2:$H$252,4,0)*H1733,"")</f>
        <v>1.46483</v>
      </c>
      <c r="J1733" s="36"/>
      <c r="K1733" s="25">
        <f>IFERROR(VLOOKUP(B1733,DADOS!$A$2:$H$252,4,0)*J1733,"")</f>
        <v>0</v>
      </c>
      <c r="L1733" s="26">
        <f t="shared" si="23"/>
        <v>0</v>
      </c>
      <c r="M1733" s="27"/>
      <c r="N1733" s="30"/>
      <c r="O1733" s="28"/>
      <c r="P1733" s="28"/>
      <c r="Q1733" s="28"/>
      <c r="R1733" s="28"/>
      <c r="S1733" s="28"/>
    </row>
    <row r="1734">
      <c r="A1734" s="17">
        <v>45917.0</v>
      </c>
      <c r="B1734" s="18" t="s">
        <v>122</v>
      </c>
      <c r="C1734" s="18" t="s">
        <v>165</v>
      </c>
      <c r="D1734" s="19">
        <v>0.3402777777777778</v>
      </c>
      <c r="E1734" s="19">
        <v>0.4618055555555556</v>
      </c>
      <c r="F1734" s="20">
        <f t="shared" si="24"/>
        <v>0.1215277778</v>
      </c>
      <c r="G1734" s="67">
        <f>IFERROR(VLOOKUP(B1734,DADOS!$A$2:$H$252,8,0),"")</f>
        <v>17</v>
      </c>
      <c r="H1734" s="22">
        <v>34.0</v>
      </c>
      <c r="I1734" s="23">
        <f>IFERROR(VLOOKUP(B1734,DADOS!$A$2:$H$252,4,0)*H1734,"")</f>
        <v>5.8346244</v>
      </c>
      <c r="J1734" s="24">
        <v>2.0</v>
      </c>
      <c r="K1734" s="25">
        <f>IFERROR(VLOOKUP(B1734,DADOS!$A$2:$H$252,4,0)*J1734,"")</f>
        <v>0.3432132</v>
      </c>
      <c r="L1734" s="26">
        <f t="shared" si="23"/>
        <v>0</v>
      </c>
      <c r="M1734" s="27"/>
      <c r="N1734" s="30"/>
      <c r="O1734" s="28"/>
      <c r="P1734" s="28"/>
      <c r="Q1734" s="28"/>
      <c r="R1734" s="28"/>
      <c r="S1734" s="28"/>
    </row>
    <row r="1735">
      <c r="A1735" s="17">
        <v>45917.0</v>
      </c>
      <c r="B1735" s="18" t="s">
        <v>182</v>
      </c>
      <c r="C1735" s="18" t="s">
        <v>165</v>
      </c>
      <c r="D1735" s="19">
        <v>0.5520833333333334</v>
      </c>
      <c r="E1735" s="19">
        <v>0.6041666666666666</v>
      </c>
      <c r="F1735" s="20">
        <f t="shared" si="24"/>
        <v>0.05208333333</v>
      </c>
      <c r="G1735" s="67">
        <f>IFERROR(VLOOKUP(B1735,DADOS!$A$2:$H$252,8,0),"")</f>
        <v>120</v>
      </c>
      <c r="H1735" s="22">
        <v>17.0</v>
      </c>
      <c r="I1735" s="23">
        <f>IFERROR(VLOOKUP(B1735,DADOS!$A$2:$H$252,4,0)*H1735,"")</f>
        <v>5.533398</v>
      </c>
      <c r="J1735" s="24"/>
      <c r="K1735" s="25">
        <f>IFERROR(VLOOKUP(B1735,DADOS!$A$2:$H$252,4,0)*J1735,"")</f>
        <v>0</v>
      </c>
      <c r="L1735" s="26">
        <f t="shared" si="23"/>
        <v>0</v>
      </c>
      <c r="M1735" s="27"/>
      <c r="N1735" s="30"/>
      <c r="O1735" s="28"/>
      <c r="P1735" s="28"/>
      <c r="Q1735" s="28"/>
      <c r="R1735" s="28"/>
      <c r="S1735" s="28"/>
    </row>
    <row r="1736">
      <c r="A1736" s="17">
        <v>45917.0</v>
      </c>
      <c r="B1736" s="18" t="s">
        <v>156</v>
      </c>
      <c r="C1736" s="18" t="s">
        <v>165</v>
      </c>
      <c r="D1736" s="19">
        <v>0.6069444444444444</v>
      </c>
      <c r="E1736" s="19">
        <v>0.71875</v>
      </c>
      <c r="F1736" s="20">
        <f t="shared" si="24"/>
        <v>0.1118055556</v>
      </c>
      <c r="G1736" s="67">
        <f>IFERROR(VLOOKUP(B1736,DADOS!$A$2:$H$252,8,0),"")</f>
        <v>25</v>
      </c>
      <c r="H1736" s="22">
        <v>29.0</v>
      </c>
      <c r="I1736" s="23">
        <f>IFERROR(VLOOKUP(B1736,DADOS!$A$2:$H$252,4,0)*H1736,"")</f>
        <v>1.98592</v>
      </c>
      <c r="J1736" s="36"/>
      <c r="K1736" s="25">
        <f>IFERROR(VLOOKUP(B1736,DADOS!$A$2:$H$252,4,0)*J1736,"")</f>
        <v>0</v>
      </c>
      <c r="L1736" s="26">
        <f t="shared" si="23"/>
        <v>0</v>
      </c>
      <c r="M1736" s="27"/>
      <c r="N1736" s="30"/>
      <c r="O1736" s="28"/>
      <c r="P1736" s="28"/>
      <c r="Q1736" s="28"/>
      <c r="R1736" s="28"/>
      <c r="S1736" s="28"/>
    </row>
    <row r="1737">
      <c r="A1737" s="17">
        <v>45918.0</v>
      </c>
      <c r="B1737" s="18" t="s">
        <v>26</v>
      </c>
      <c r="C1737" s="18" t="s">
        <v>19</v>
      </c>
      <c r="D1737" s="19"/>
      <c r="E1737" s="19"/>
      <c r="F1737" s="20">
        <f t="shared" si="24"/>
        <v>0</v>
      </c>
      <c r="G1737" s="67">
        <f>IFERROR(VLOOKUP(B1737,DADOS!$A$2:$H$252,8,0),"")</f>
        <v>50</v>
      </c>
      <c r="H1737" s="22">
        <v>10.0</v>
      </c>
      <c r="I1737" s="23">
        <f>IFERROR(VLOOKUP(B1737,DADOS!$A$2:$H$252,4,0)*H1737,"")</f>
        <v>1.139336</v>
      </c>
      <c r="J1737" s="24">
        <v>1.0</v>
      </c>
      <c r="K1737" s="25">
        <f>IFERROR(VLOOKUP(B1737,DADOS!$A$2:$H$252,4,0)*J1737,"")</f>
        <v>0.1139336</v>
      </c>
      <c r="L1737" s="26">
        <f t="shared" si="23"/>
        <v>0</v>
      </c>
      <c r="M1737" s="27"/>
      <c r="N1737" s="30"/>
      <c r="O1737" s="28"/>
      <c r="P1737" s="28"/>
      <c r="Q1737" s="28"/>
      <c r="R1737" s="28"/>
      <c r="S1737" s="28"/>
    </row>
    <row r="1738">
      <c r="A1738" s="17">
        <v>45918.0</v>
      </c>
      <c r="B1738" s="18" t="s">
        <v>53</v>
      </c>
      <c r="C1738" s="18" t="s">
        <v>65</v>
      </c>
      <c r="D1738" s="19"/>
      <c r="E1738" s="19"/>
      <c r="F1738" s="20">
        <f t="shared" si="24"/>
        <v>0</v>
      </c>
      <c r="G1738" s="67">
        <f>IFERROR(VLOOKUP(B1738,DADOS!$A$2:$H$252,8,0),"")</f>
        <v>120</v>
      </c>
      <c r="H1738" s="22">
        <v>72.0</v>
      </c>
      <c r="I1738" s="23">
        <f>IFERROR(VLOOKUP(B1738,DADOS!$A$2:$H$252,4,0)*H1738,"")</f>
        <v>0.69336</v>
      </c>
      <c r="J1738" s="36"/>
      <c r="K1738" s="25">
        <f>IFERROR(VLOOKUP(B1738,DADOS!$A$2:$H$252,4,0)*J1738,"")</f>
        <v>0</v>
      </c>
      <c r="L1738" s="26">
        <f t="shared" si="23"/>
        <v>0</v>
      </c>
      <c r="M1738" s="27"/>
      <c r="N1738" s="30"/>
      <c r="O1738" s="28"/>
      <c r="P1738" s="28"/>
      <c r="Q1738" s="28"/>
      <c r="R1738" s="28"/>
      <c r="S1738" s="28"/>
    </row>
    <row r="1739">
      <c r="A1739" s="17">
        <v>45918.0</v>
      </c>
      <c r="B1739" s="18" t="s">
        <v>203</v>
      </c>
      <c r="C1739" s="18" t="s">
        <v>65</v>
      </c>
      <c r="D1739" s="19"/>
      <c r="E1739" s="19"/>
      <c r="F1739" s="20">
        <f t="shared" si="24"/>
        <v>0</v>
      </c>
      <c r="G1739" s="67" t="str">
        <f>IFERROR(VLOOKUP(B1739,DADOS!$A$2:$H$252,8,0),"")</f>
        <v/>
      </c>
      <c r="H1739" s="22">
        <v>73.0</v>
      </c>
      <c r="I1739" s="23" t="str">
        <f>IFERROR(VLOOKUP(B1739,DADOS!$A$2:$H$252,4,0)*H1739,"")</f>
        <v/>
      </c>
      <c r="J1739" s="36"/>
      <c r="K1739" s="25" t="str">
        <f>IFERROR(VLOOKUP(B1739,DADOS!$A$2:$H$252,4,0)*J1739,"")</f>
        <v/>
      </c>
      <c r="L1739" s="26" t="str">
        <f t="shared" si="23"/>
        <v/>
      </c>
      <c r="M1739" s="27"/>
      <c r="N1739" s="30"/>
      <c r="O1739" s="28"/>
      <c r="P1739" s="28"/>
      <c r="Q1739" s="28"/>
      <c r="R1739" s="28"/>
      <c r="S1739" s="28"/>
    </row>
    <row r="1740">
      <c r="A1740" s="17">
        <v>45918.0</v>
      </c>
      <c r="B1740" s="18" t="s">
        <v>156</v>
      </c>
      <c r="C1740" s="18" t="s">
        <v>165</v>
      </c>
      <c r="D1740" s="19"/>
      <c r="E1740" s="19"/>
      <c r="F1740" s="20">
        <f t="shared" si="24"/>
        <v>0</v>
      </c>
      <c r="G1740" s="67">
        <f>IFERROR(VLOOKUP(B1740,DADOS!$A$2:$H$252,8,0),"")</f>
        <v>25</v>
      </c>
      <c r="H1740" s="22">
        <v>18.0</v>
      </c>
      <c r="I1740" s="23">
        <f>IFERROR(VLOOKUP(B1740,DADOS!$A$2:$H$252,4,0)*H1740,"")</f>
        <v>1.23264</v>
      </c>
      <c r="J1740" s="24">
        <v>1.0</v>
      </c>
      <c r="K1740" s="25">
        <f>IFERROR(VLOOKUP(B1740,DADOS!$A$2:$H$252,4,0)*J1740,"")</f>
        <v>0.06848</v>
      </c>
      <c r="L1740" s="26">
        <f t="shared" si="23"/>
        <v>0</v>
      </c>
      <c r="M1740" s="27"/>
      <c r="N1740" s="30"/>
      <c r="O1740" s="28"/>
      <c r="P1740" s="28"/>
      <c r="Q1740" s="28"/>
      <c r="R1740" s="28"/>
      <c r="S1740" s="28"/>
    </row>
    <row r="1741">
      <c r="A1741" s="17">
        <v>45918.0</v>
      </c>
      <c r="B1741" s="18" t="s">
        <v>156</v>
      </c>
      <c r="C1741" s="18" t="s">
        <v>165</v>
      </c>
      <c r="D1741" s="19"/>
      <c r="E1741" s="19"/>
      <c r="F1741" s="20">
        <f t="shared" si="24"/>
        <v>0</v>
      </c>
      <c r="G1741" s="67">
        <f>IFERROR(VLOOKUP(B1741,DADOS!$A$2:$H$252,8,0),"")</f>
        <v>25</v>
      </c>
      <c r="H1741" s="22">
        <v>54.0</v>
      </c>
      <c r="I1741" s="23">
        <f>IFERROR(VLOOKUP(B1741,DADOS!$A$2:$H$252,4,0)*H1741,"")</f>
        <v>3.69792</v>
      </c>
      <c r="J1741" s="24">
        <v>1.0</v>
      </c>
      <c r="K1741" s="25">
        <f>IFERROR(VLOOKUP(B1741,DADOS!$A$2:$H$252,4,0)*J1741,"")</f>
        <v>0.06848</v>
      </c>
      <c r="L1741" s="26">
        <f t="shared" si="23"/>
        <v>0</v>
      </c>
      <c r="M1741" s="27"/>
      <c r="N1741" s="30"/>
      <c r="O1741" s="28"/>
      <c r="P1741" s="28"/>
      <c r="Q1741" s="28"/>
      <c r="R1741" s="28"/>
      <c r="S1741" s="28"/>
    </row>
    <row r="1742">
      <c r="A1742" s="17">
        <v>45919.0</v>
      </c>
      <c r="B1742" s="18" t="s">
        <v>22</v>
      </c>
      <c r="C1742" s="18" t="s">
        <v>166</v>
      </c>
      <c r="D1742" s="19">
        <v>0.3194444444444444</v>
      </c>
      <c r="E1742" s="19">
        <v>0.4791666666666667</v>
      </c>
      <c r="F1742" s="20">
        <f t="shared" si="24"/>
        <v>0.1597222222</v>
      </c>
      <c r="G1742" s="67">
        <f>IFERROR(VLOOKUP(B1742,DADOS!$A$2:$H$252,8,0),"")</f>
        <v>15</v>
      </c>
      <c r="H1742" s="22">
        <v>50.0</v>
      </c>
      <c r="I1742" s="23">
        <f>IFERROR(VLOOKUP(B1742,DADOS!$A$2:$H$252,4,0)*H1742,"")</f>
        <v>30.61377</v>
      </c>
      <c r="J1742" s="36"/>
      <c r="K1742" s="25">
        <f>IFERROR(VLOOKUP(B1742,DADOS!$A$2:$H$252,4,0)*J1742,"")</f>
        <v>0</v>
      </c>
      <c r="L1742" s="26">
        <f t="shared" si="23"/>
        <v>0</v>
      </c>
      <c r="M1742" s="27"/>
      <c r="N1742" s="30"/>
      <c r="O1742" s="28"/>
      <c r="P1742" s="28"/>
      <c r="Q1742" s="28"/>
      <c r="R1742" s="28"/>
      <c r="S1742" s="28"/>
    </row>
    <row r="1743">
      <c r="A1743" s="17">
        <v>45919.0</v>
      </c>
      <c r="B1743" s="18" t="s">
        <v>53</v>
      </c>
      <c r="C1743" s="18" t="s">
        <v>65</v>
      </c>
      <c r="D1743" s="19"/>
      <c r="E1743" s="19"/>
      <c r="F1743" s="20">
        <f t="shared" si="24"/>
        <v>0</v>
      </c>
      <c r="G1743" s="67">
        <f>IFERROR(VLOOKUP(B1743,DADOS!$A$2:$H$252,8,0),"")</f>
        <v>120</v>
      </c>
      <c r="H1743" s="22">
        <v>224.0</v>
      </c>
      <c r="I1743" s="23">
        <f>IFERROR(VLOOKUP(B1743,DADOS!$A$2:$H$252,4,0)*H1743,"")</f>
        <v>2.15712</v>
      </c>
      <c r="J1743" s="36"/>
      <c r="K1743" s="25">
        <f>IFERROR(VLOOKUP(B1743,DADOS!$A$2:$H$252,4,0)*J1743,"")</f>
        <v>0</v>
      </c>
      <c r="L1743" s="26">
        <f t="shared" si="23"/>
        <v>0</v>
      </c>
      <c r="M1743" s="27"/>
      <c r="N1743" s="30"/>
      <c r="O1743" s="28"/>
      <c r="P1743" s="28"/>
      <c r="Q1743" s="28"/>
      <c r="R1743" s="28"/>
      <c r="S1743" s="28"/>
    </row>
    <row r="1744">
      <c r="A1744" s="17">
        <v>45919.0</v>
      </c>
      <c r="B1744" s="18" t="s">
        <v>156</v>
      </c>
      <c r="C1744" s="18" t="s">
        <v>165</v>
      </c>
      <c r="D1744" s="19"/>
      <c r="E1744" s="19"/>
      <c r="F1744" s="20">
        <f t="shared" si="24"/>
        <v>0</v>
      </c>
      <c r="G1744" s="67">
        <f>IFERROR(VLOOKUP(B1744,DADOS!$A$2:$H$252,8,0),"")</f>
        <v>25</v>
      </c>
      <c r="H1744" s="22">
        <v>41.0</v>
      </c>
      <c r="I1744" s="23">
        <f>IFERROR(VLOOKUP(B1744,DADOS!$A$2:$H$252,4,0)*H1744,"")</f>
        <v>2.80768</v>
      </c>
      <c r="J1744" s="36"/>
      <c r="K1744" s="25">
        <f>IFERROR(VLOOKUP(B1744,DADOS!$A$2:$H$252,4,0)*J1744,"")</f>
        <v>0</v>
      </c>
      <c r="L1744" s="26">
        <f t="shared" si="23"/>
        <v>0</v>
      </c>
      <c r="M1744" s="27"/>
      <c r="N1744" s="30"/>
      <c r="O1744" s="28"/>
      <c r="P1744" s="28"/>
      <c r="Q1744" s="28"/>
      <c r="R1744" s="28"/>
      <c r="S1744" s="28"/>
    </row>
    <row r="1745">
      <c r="A1745" s="17">
        <v>45919.0</v>
      </c>
      <c r="B1745" s="18" t="s">
        <v>167</v>
      </c>
      <c r="C1745" s="18" t="s">
        <v>165</v>
      </c>
      <c r="D1745" s="19"/>
      <c r="E1745" s="19"/>
      <c r="F1745" s="20">
        <f t="shared" si="24"/>
        <v>0</v>
      </c>
      <c r="G1745" s="67">
        <f>IFERROR(VLOOKUP(B1745,DADOS!$A$2:$H$252,8,0),"")</f>
        <v>25</v>
      </c>
      <c r="H1745" s="22">
        <v>49.0</v>
      </c>
      <c r="I1745" s="23">
        <f>IFERROR(VLOOKUP(B1745,DADOS!$A$2:$H$252,4,0)*H1745,"")</f>
        <v>3.0283568</v>
      </c>
      <c r="J1745" s="24">
        <v>1.0</v>
      </c>
      <c r="K1745" s="25">
        <f>IFERROR(VLOOKUP(B1745,DADOS!$A$2:$H$252,4,0)*J1745,"")</f>
        <v>0.0618032</v>
      </c>
      <c r="L1745" s="26">
        <f t="shared" si="23"/>
        <v>0</v>
      </c>
      <c r="M1745" s="27"/>
      <c r="N1745" s="30"/>
      <c r="O1745" s="28"/>
      <c r="P1745" s="28"/>
      <c r="Q1745" s="28"/>
      <c r="R1745" s="28"/>
      <c r="S1745" s="28"/>
    </row>
    <row r="1746">
      <c r="A1746" s="17">
        <v>45919.0</v>
      </c>
      <c r="B1746" s="18" t="s">
        <v>182</v>
      </c>
      <c r="C1746" s="18" t="s">
        <v>165</v>
      </c>
      <c r="D1746" s="19"/>
      <c r="E1746" s="19"/>
      <c r="F1746" s="20">
        <f t="shared" si="24"/>
        <v>0</v>
      </c>
      <c r="G1746" s="67">
        <f>IFERROR(VLOOKUP(B1746,DADOS!$A$2:$H$252,8,0),"")</f>
        <v>120</v>
      </c>
      <c r="H1746" s="22">
        <v>12.0</v>
      </c>
      <c r="I1746" s="23">
        <f>IFERROR(VLOOKUP(B1746,DADOS!$A$2:$H$252,4,0)*H1746,"")</f>
        <v>3.905928</v>
      </c>
      <c r="J1746" s="24">
        <v>3.0</v>
      </c>
      <c r="K1746" s="25">
        <f>IFERROR(VLOOKUP(B1746,DADOS!$A$2:$H$252,4,0)*J1746,"")</f>
        <v>0.976482</v>
      </c>
      <c r="L1746" s="26">
        <f t="shared" si="23"/>
        <v>0</v>
      </c>
      <c r="M1746" s="27"/>
      <c r="N1746" s="30"/>
      <c r="O1746" s="28"/>
      <c r="P1746" s="28"/>
      <c r="Q1746" s="28"/>
      <c r="R1746" s="28"/>
      <c r="S1746" s="28"/>
    </row>
    <row r="1747">
      <c r="A1747" s="17">
        <v>45920.0</v>
      </c>
      <c r="B1747" s="18" t="s">
        <v>26</v>
      </c>
      <c r="C1747" s="18" t="s">
        <v>193</v>
      </c>
      <c r="D1747" s="19"/>
      <c r="E1747" s="19"/>
      <c r="F1747" s="20">
        <f t="shared" si="24"/>
        <v>0</v>
      </c>
      <c r="G1747" s="67">
        <f>IFERROR(VLOOKUP(B1747,DADOS!$A$2:$H$252,8,0),"")</f>
        <v>50</v>
      </c>
      <c r="H1747" s="22">
        <v>94.0</v>
      </c>
      <c r="I1747" s="23">
        <f>IFERROR(VLOOKUP(B1747,DADOS!$A$2:$H$252,4,0)*H1747,"")</f>
        <v>10.7097584</v>
      </c>
      <c r="J1747" s="36"/>
      <c r="K1747" s="25">
        <f>IFERROR(VLOOKUP(B1747,DADOS!$A$2:$H$252,4,0)*J1747,"")</f>
        <v>0</v>
      </c>
      <c r="L1747" s="26">
        <f t="shared" si="23"/>
        <v>0</v>
      </c>
      <c r="M1747" s="27"/>
      <c r="N1747" s="30"/>
      <c r="O1747" s="28"/>
      <c r="P1747" s="28"/>
      <c r="Q1747" s="28"/>
      <c r="R1747" s="28"/>
      <c r="S1747" s="28"/>
    </row>
    <row r="1748">
      <c r="A1748" s="17">
        <v>45920.0</v>
      </c>
      <c r="B1748" s="18" t="s">
        <v>71</v>
      </c>
      <c r="C1748" s="18" t="s">
        <v>193</v>
      </c>
      <c r="D1748" s="19"/>
      <c r="E1748" s="19"/>
      <c r="F1748" s="20">
        <f t="shared" si="24"/>
        <v>0</v>
      </c>
      <c r="G1748" s="67">
        <f>IFERROR(VLOOKUP(B1748,DADOS!$A$2:$H$252,8,0),"")</f>
        <v>7</v>
      </c>
      <c r="H1748" s="22">
        <v>45.0</v>
      </c>
      <c r="I1748" s="23">
        <f>IFERROR(VLOOKUP(B1748,DADOS!$A$2:$H$252,4,0)*H1748,"")</f>
        <v>63.108279</v>
      </c>
      <c r="J1748" s="36"/>
      <c r="K1748" s="25">
        <f>IFERROR(VLOOKUP(B1748,DADOS!$A$2:$H$252,4,0)*J1748,"")</f>
        <v>0</v>
      </c>
      <c r="L1748" s="26">
        <f t="shared" si="23"/>
        <v>0</v>
      </c>
      <c r="M1748" s="27"/>
      <c r="N1748" s="30"/>
      <c r="O1748" s="28"/>
      <c r="P1748" s="28"/>
      <c r="Q1748" s="28"/>
      <c r="R1748" s="28"/>
      <c r="S1748" s="28"/>
    </row>
    <row r="1749">
      <c r="A1749" s="17">
        <v>45922.0</v>
      </c>
      <c r="B1749" s="18" t="s">
        <v>22</v>
      </c>
      <c r="C1749" s="18" t="s">
        <v>166</v>
      </c>
      <c r="D1749" s="19">
        <v>0.3541666666666667</v>
      </c>
      <c r="E1749" s="19">
        <v>0.4791666666666667</v>
      </c>
      <c r="F1749" s="20">
        <f t="shared" si="24"/>
        <v>0.125</v>
      </c>
      <c r="G1749" s="67">
        <f>IFERROR(VLOOKUP(B1749,DADOS!$A$2:$H$252,8,0),"")</f>
        <v>15</v>
      </c>
      <c r="H1749" s="22">
        <v>50.0</v>
      </c>
      <c r="I1749" s="23">
        <f>IFERROR(VLOOKUP(B1749,DADOS!$A$2:$H$252,4,0)*H1749,"")</f>
        <v>30.61377</v>
      </c>
      <c r="J1749" s="36"/>
      <c r="K1749" s="25">
        <f>IFERROR(VLOOKUP(B1749,DADOS!$A$2:$H$252,4,0)*J1749,"")</f>
        <v>0</v>
      </c>
      <c r="L1749" s="26">
        <f t="shared" si="23"/>
        <v>0</v>
      </c>
      <c r="M1749" s="27"/>
      <c r="N1749" s="30"/>
      <c r="O1749" s="28"/>
      <c r="P1749" s="28"/>
      <c r="Q1749" s="28"/>
      <c r="R1749" s="28"/>
      <c r="S1749" s="28"/>
    </row>
    <row r="1750">
      <c r="A1750" s="17">
        <v>45922.0</v>
      </c>
      <c r="B1750" s="18" t="s">
        <v>125</v>
      </c>
      <c r="C1750" s="18" t="s">
        <v>19</v>
      </c>
      <c r="D1750" s="19"/>
      <c r="E1750" s="19"/>
      <c r="F1750" s="20">
        <f t="shared" si="24"/>
        <v>0</v>
      </c>
      <c r="G1750" s="67">
        <f>IFERROR(VLOOKUP(B1750,DADOS!$A$2:$H$252,8,0),"")</f>
        <v>12</v>
      </c>
      <c r="H1750" s="22">
        <v>11.0</v>
      </c>
      <c r="I1750" s="23">
        <f>IFERROR(VLOOKUP(B1750,DADOS!$A$2:$H$252,4,0)*H1750,"")</f>
        <v>2.0300896</v>
      </c>
      <c r="J1750" s="24">
        <v>4.0</v>
      </c>
      <c r="K1750" s="25">
        <f>IFERROR(VLOOKUP(B1750,DADOS!$A$2:$H$252,4,0)*J1750,"")</f>
        <v>0.7382144</v>
      </c>
      <c r="L1750" s="26">
        <f t="shared" si="23"/>
        <v>0</v>
      </c>
      <c r="M1750" s="27"/>
      <c r="N1750" s="30"/>
      <c r="O1750" s="28"/>
      <c r="P1750" s="28"/>
      <c r="Q1750" s="28"/>
      <c r="R1750" s="28"/>
      <c r="S1750" s="28"/>
    </row>
    <row r="1751">
      <c r="A1751" s="17">
        <v>45922.0</v>
      </c>
      <c r="B1751" s="18" t="s">
        <v>79</v>
      </c>
      <c r="C1751" s="18" t="s">
        <v>65</v>
      </c>
      <c r="D1751" s="19"/>
      <c r="E1751" s="19"/>
      <c r="F1751" s="20">
        <f t="shared" si="24"/>
        <v>0</v>
      </c>
      <c r="G1751" s="67">
        <f>IFERROR(VLOOKUP(B1751,DADOS!$A$2:$H$252,8,0),"")</f>
        <v>87</v>
      </c>
      <c r="H1751" s="22">
        <v>125.0</v>
      </c>
      <c r="I1751" s="23">
        <f>IFERROR(VLOOKUP(B1751,DADOS!$A$2:$H$252,4,0)*H1751,"")</f>
        <v>2.14</v>
      </c>
      <c r="J1751" s="24">
        <v>8.0</v>
      </c>
      <c r="K1751" s="25">
        <f>IFERROR(VLOOKUP(B1751,DADOS!$A$2:$H$252,4,0)*J1751,"")</f>
        <v>0.13696</v>
      </c>
      <c r="L1751" s="26">
        <f t="shared" si="23"/>
        <v>0</v>
      </c>
      <c r="M1751" s="27"/>
      <c r="N1751" s="30"/>
      <c r="O1751" s="28"/>
      <c r="P1751" s="28"/>
      <c r="Q1751" s="28"/>
      <c r="R1751" s="28"/>
      <c r="S1751" s="28"/>
    </row>
    <row r="1752">
      <c r="A1752" s="17">
        <v>45922.0</v>
      </c>
      <c r="B1752" s="18" t="s">
        <v>69</v>
      </c>
      <c r="C1752" s="18" t="s">
        <v>165</v>
      </c>
      <c r="D1752" s="19"/>
      <c r="E1752" s="19"/>
      <c r="F1752" s="20">
        <f t="shared" si="24"/>
        <v>0</v>
      </c>
      <c r="G1752" s="67">
        <f>IFERROR(VLOOKUP(B1752,DADOS!$A$2:$H$252,8,0),"")</f>
        <v>13</v>
      </c>
      <c r="H1752" s="22">
        <v>8.0</v>
      </c>
      <c r="I1752" s="23">
        <f>IFERROR(VLOOKUP(B1752,DADOS!$A$2:$H$252,4,0)*H1752,"")</f>
        <v>2.7392</v>
      </c>
      <c r="J1752" s="24">
        <v>6.0</v>
      </c>
      <c r="K1752" s="25">
        <f>IFERROR(VLOOKUP(B1752,DADOS!$A$2:$H$252,4,0)*J1752,"")</f>
        <v>2.0544</v>
      </c>
      <c r="L1752" s="26">
        <f t="shared" si="23"/>
        <v>0</v>
      </c>
      <c r="M1752" s="27"/>
      <c r="N1752" s="30"/>
      <c r="O1752" s="28"/>
      <c r="P1752" s="28"/>
      <c r="Q1752" s="28"/>
      <c r="R1752" s="28"/>
      <c r="S1752" s="28"/>
    </row>
    <row r="1753">
      <c r="A1753" s="17">
        <v>45923.0</v>
      </c>
      <c r="B1753" s="18" t="s">
        <v>71</v>
      </c>
      <c r="C1753" s="18" t="s">
        <v>166</v>
      </c>
      <c r="D1753" s="19"/>
      <c r="E1753" s="19"/>
      <c r="F1753" s="20">
        <f t="shared" si="24"/>
        <v>0</v>
      </c>
      <c r="G1753" s="67">
        <f>IFERROR(VLOOKUP(B1753,DADOS!$A$2:$H$252,8,0),"")</f>
        <v>7</v>
      </c>
      <c r="H1753" s="22">
        <v>19.0</v>
      </c>
      <c r="I1753" s="23">
        <f>IFERROR(VLOOKUP(B1753,DADOS!$A$2:$H$252,4,0)*H1753,"")</f>
        <v>26.6457178</v>
      </c>
      <c r="J1753" s="24">
        <v>1.0</v>
      </c>
      <c r="K1753" s="25">
        <f>IFERROR(VLOOKUP(B1753,DADOS!$A$2:$H$252,4,0)*J1753,"")</f>
        <v>1.4024062</v>
      </c>
      <c r="L1753" s="26">
        <f t="shared" si="23"/>
        <v>0</v>
      </c>
      <c r="M1753" s="27"/>
      <c r="N1753" s="30"/>
      <c r="O1753" s="28"/>
      <c r="P1753" s="28"/>
      <c r="Q1753" s="28"/>
      <c r="R1753" s="28"/>
      <c r="S1753" s="28"/>
    </row>
    <row r="1754">
      <c r="A1754" s="17">
        <v>45923.0</v>
      </c>
      <c r="B1754" s="18" t="s">
        <v>185</v>
      </c>
      <c r="C1754" s="18" t="s">
        <v>166</v>
      </c>
      <c r="D1754" s="19"/>
      <c r="E1754" s="19"/>
      <c r="F1754" s="20">
        <f t="shared" si="24"/>
        <v>0</v>
      </c>
      <c r="G1754" s="67">
        <f>IFERROR(VLOOKUP(B1754,DADOS!$A$2:$H$252,8,0),"")</f>
        <v>35</v>
      </c>
      <c r="H1754" s="22">
        <v>35.0</v>
      </c>
      <c r="I1754" s="23">
        <f>IFERROR(VLOOKUP(B1754,DADOS!$A$2:$H$252,4,0)*H1754,"")</f>
        <v>7.4151</v>
      </c>
      <c r="J1754" s="36"/>
      <c r="K1754" s="25">
        <f>IFERROR(VLOOKUP(B1754,DADOS!$A$2:$H$252,4,0)*J1754,"")</f>
        <v>0</v>
      </c>
      <c r="L1754" s="26">
        <f t="shared" si="23"/>
        <v>0</v>
      </c>
      <c r="M1754" s="27"/>
      <c r="N1754" s="30"/>
      <c r="O1754" s="28"/>
      <c r="P1754" s="28"/>
      <c r="Q1754" s="28"/>
      <c r="R1754" s="28"/>
      <c r="S1754" s="28"/>
    </row>
    <row r="1755">
      <c r="A1755" s="17">
        <v>45923.0</v>
      </c>
      <c r="B1755" s="18" t="s">
        <v>69</v>
      </c>
      <c r="C1755" s="18" t="s">
        <v>165</v>
      </c>
      <c r="D1755" s="19"/>
      <c r="E1755" s="19"/>
      <c r="F1755" s="20">
        <f t="shared" si="24"/>
        <v>0</v>
      </c>
      <c r="G1755" s="67">
        <f>IFERROR(VLOOKUP(B1755,DADOS!$A$2:$H$252,8,0),"")</f>
        <v>13</v>
      </c>
      <c r="H1755" s="22">
        <v>24.0</v>
      </c>
      <c r="I1755" s="23">
        <f>IFERROR(VLOOKUP(B1755,DADOS!$A$2:$H$252,4,0)*H1755,"")</f>
        <v>8.2176</v>
      </c>
      <c r="J1755" s="24">
        <v>2.0</v>
      </c>
      <c r="K1755" s="25">
        <f>IFERROR(VLOOKUP(B1755,DADOS!$A$2:$H$252,4,0)*J1755,"")</f>
        <v>0.6848</v>
      </c>
      <c r="L1755" s="26">
        <f t="shared" si="23"/>
        <v>0</v>
      </c>
      <c r="M1755" s="27"/>
      <c r="N1755" s="30"/>
      <c r="O1755" s="28"/>
      <c r="P1755" s="28"/>
      <c r="Q1755" s="28"/>
      <c r="R1755" s="28"/>
      <c r="S1755" s="28"/>
    </row>
    <row r="1756">
      <c r="A1756" s="17">
        <v>45924.0</v>
      </c>
      <c r="B1756" s="18" t="s">
        <v>185</v>
      </c>
      <c r="C1756" s="18" t="s">
        <v>166</v>
      </c>
      <c r="D1756" s="19"/>
      <c r="E1756" s="19"/>
      <c r="F1756" s="20">
        <f t="shared" si="24"/>
        <v>0</v>
      </c>
      <c r="G1756" s="67">
        <f>IFERROR(VLOOKUP(B1756,DADOS!$A$2:$H$252,8,0),"")</f>
        <v>35</v>
      </c>
      <c r="H1756" s="22">
        <v>15.0</v>
      </c>
      <c r="I1756" s="23">
        <f>IFERROR(VLOOKUP(B1756,DADOS!$A$2:$H$252,4,0)*H1756,"")</f>
        <v>3.1779</v>
      </c>
      <c r="J1756" s="36"/>
      <c r="K1756" s="25">
        <f>IFERROR(VLOOKUP(B1756,DADOS!$A$2:$H$252,4,0)*J1756,"")</f>
        <v>0</v>
      </c>
      <c r="L1756" s="26">
        <f t="shared" si="23"/>
        <v>0</v>
      </c>
      <c r="M1756" s="27"/>
      <c r="N1756" s="30"/>
      <c r="O1756" s="28"/>
      <c r="P1756" s="28"/>
      <c r="Q1756" s="28"/>
      <c r="R1756" s="28"/>
      <c r="S1756" s="28"/>
    </row>
    <row r="1757">
      <c r="A1757" s="17">
        <v>45924.0</v>
      </c>
      <c r="B1757" s="18" t="s">
        <v>204</v>
      </c>
      <c r="C1757" s="18" t="s">
        <v>166</v>
      </c>
      <c r="D1757" s="19"/>
      <c r="E1757" s="19"/>
      <c r="F1757" s="20">
        <f t="shared" si="24"/>
        <v>0</v>
      </c>
      <c r="G1757" s="67">
        <f>IFERROR(VLOOKUP(B1757,DADOS!$A$2:$H$252,8,0),"")</f>
        <v>25</v>
      </c>
      <c r="H1757" s="22">
        <v>4.0</v>
      </c>
      <c r="I1757" s="23">
        <f>IFERROR(VLOOKUP(B1757,DADOS!$A$2:$H$252,4,0)*H1757,"")</f>
        <v>1.3696</v>
      </c>
      <c r="J1757" s="36"/>
      <c r="K1757" s="25">
        <f>IFERROR(VLOOKUP(B1757,DADOS!$A$2:$H$252,4,0)*J1757,"")</f>
        <v>0</v>
      </c>
      <c r="L1757" s="26">
        <f t="shared" si="23"/>
        <v>0</v>
      </c>
      <c r="M1757" s="27"/>
      <c r="N1757" s="30"/>
      <c r="O1757" s="28"/>
      <c r="P1757" s="28"/>
      <c r="Q1757" s="28"/>
      <c r="R1757" s="28"/>
      <c r="S1757" s="28"/>
    </row>
    <row r="1758">
      <c r="A1758" s="17">
        <v>45924.0</v>
      </c>
      <c r="B1758" s="18" t="s">
        <v>113</v>
      </c>
      <c r="C1758" s="18" t="s">
        <v>166</v>
      </c>
      <c r="D1758" s="19"/>
      <c r="E1758" s="19"/>
      <c r="F1758" s="20">
        <f t="shared" si="24"/>
        <v>0</v>
      </c>
      <c r="G1758" s="67">
        <f>IFERROR(VLOOKUP(B1758,DADOS!$A$2:$H$252,8,0),"")</f>
        <v>8</v>
      </c>
      <c r="H1758" s="22">
        <v>17.0</v>
      </c>
      <c r="I1758" s="23">
        <f>IFERROR(VLOOKUP(B1758,DADOS!$A$2:$H$252,4,0)*H1758,"")</f>
        <v>10.8208672</v>
      </c>
      <c r="J1758" s="36"/>
      <c r="K1758" s="25">
        <f>IFERROR(VLOOKUP(B1758,DADOS!$A$2:$H$252,4,0)*J1758,"")</f>
        <v>0</v>
      </c>
      <c r="L1758" s="26">
        <f t="shared" si="23"/>
        <v>0</v>
      </c>
      <c r="M1758" s="27"/>
      <c r="N1758" s="30"/>
      <c r="O1758" s="28"/>
      <c r="P1758" s="28"/>
      <c r="Q1758" s="28"/>
      <c r="R1758" s="28"/>
      <c r="S1758" s="28"/>
    </row>
    <row r="1759">
      <c r="A1759" s="17">
        <v>45924.0</v>
      </c>
      <c r="B1759" s="18" t="s">
        <v>125</v>
      </c>
      <c r="C1759" s="18" t="s">
        <v>19</v>
      </c>
      <c r="D1759" s="19"/>
      <c r="E1759" s="19"/>
      <c r="F1759" s="20">
        <f t="shared" si="24"/>
        <v>0</v>
      </c>
      <c r="G1759" s="67">
        <f>IFERROR(VLOOKUP(B1759,DADOS!$A$2:$H$252,8,0),"")</f>
        <v>12</v>
      </c>
      <c r="H1759" s="22">
        <v>9.0</v>
      </c>
      <c r="I1759" s="23">
        <f>IFERROR(VLOOKUP(B1759,DADOS!$A$2:$H$252,4,0)*H1759,"")</f>
        <v>1.6609824</v>
      </c>
      <c r="J1759" s="36"/>
      <c r="K1759" s="25">
        <f>IFERROR(VLOOKUP(B1759,DADOS!$A$2:$H$252,4,0)*J1759,"")</f>
        <v>0</v>
      </c>
      <c r="L1759" s="26">
        <f t="shared" si="23"/>
        <v>0</v>
      </c>
      <c r="M1759" s="27"/>
      <c r="N1759" s="30"/>
      <c r="O1759" s="28"/>
      <c r="P1759" s="28"/>
      <c r="Q1759" s="28"/>
      <c r="R1759" s="28"/>
      <c r="S1759" s="28"/>
    </row>
    <row r="1760">
      <c r="A1760" s="17">
        <v>45924.0</v>
      </c>
      <c r="B1760" s="18" t="s">
        <v>79</v>
      </c>
      <c r="C1760" s="18" t="s">
        <v>65</v>
      </c>
      <c r="D1760" s="19"/>
      <c r="E1760" s="19"/>
      <c r="F1760" s="20">
        <f t="shared" si="24"/>
        <v>0</v>
      </c>
      <c r="G1760" s="67">
        <f>IFERROR(VLOOKUP(B1760,DADOS!$A$2:$H$252,8,0),"")</f>
        <v>87</v>
      </c>
      <c r="H1760" s="22">
        <v>43.0</v>
      </c>
      <c r="I1760" s="23">
        <f>IFERROR(VLOOKUP(B1760,DADOS!$A$2:$H$252,4,0)*H1760,"")</f>
        <v>0.73616</v>
      </c>
      <c r="J1760" s="24">
        <v>6.0</v>
      </c>
      <c r="K1760" s="25">
        <f>IFERROR(VLOOKUP(B1760,DADOS!$A$2:$H$252,4,0)*J1760,"")</f>
        <v>0.10272</v>
      </c>
      <c r="L1760" s="26">
        <f t="shared" si="23"/>
        <v>0</v>
      </c>
      <c r="M1760" s="27"/>
      <c r="N1760" s="30"/>
      <c r="O1760" s="28"/>
      <c r="P1760" s="28"/>
      <c r="Q1760" s="28"/>
      <c r="R1760" s="28"/>
      <c r="S1760" s="28"/>
    </row>
    <row r="1761">
      <c r="A1761" s="17">
        <v>45924.0</v>
      </c>
      <c r="B1761" s="18" t="s">
        <v>72</v>
      </c>
      <c r="C1761" s="18" t="s">
        <v>65</v>
      </c>
      <c r="D1761" s="19"/>
      <c r="E1761" s="19"/>
      <c r="F1761" s="20">
        <f t="shared" si="24"/>
        <v>0</v>
      </c>
      <c r="G1761" s="67">
        <f>IFERROR(VLOOKUP(B1761,DADOS!$A$2:$H$252,8,0),"")</f>
        <v>43</v>
      </c>
      <c r="H1761" s="22">
        <v>250.0</v>
      </c>
      <c r="I1761" s="23">
        <f>IFERROR(VLOOKUP(B1761,DADOS!$A$2:$H$252,4,0)*H1761,"")</f>
        <v>4.28</v>
      </c>
      <c r="J1761" s="24">
        <v>8.0</v>
      </c>
      <c r="K1761" s="25">
        <f>IFERROR(VLOOKUP(B1761,DADOS!$A$2:$H$252,4,0)*J1761,"")</f>
        <v>0.13696</v>
      </c>
      <c r="L1761" s="26">
        <f t="shared" si="23"/>
        <v>0</v>
      </c>
      <c r="M1761" s="27"/>
      <c r="N1761" s="30"/>
      <c r="O1761" s="28"/>
      <c r="P1761" s="28"/>
      <c r="Q1761" s="28"/>
      <c r="R1761" s="28"/>
      <c r="S1761" s="28"/>
    </row>
    <row r="1762">
      <c r="A1762" s="17">
        <v>45924.0</v>
      </c>
      <c r="B1762" s="18" t="s">
        <v>18</v>
      </c>
      <c r="C1762" s="18" t="s">
        <v>165</v>
      </c>
      <c r="D1762" s="19">
        <v>0.3194444444444444</v>
      </c>
      <c r="E1762" s="19">
        <v>0.3625</v>
      </c>
      <c r="F1762" s="20">
        <f t="shared" si="24"/>
        <v>0.04305555556</v>
      </c>
      <c r="G1762" s="67">
        <f>IFERROR(VLOOKUP(B1762,DADOS!$A$2:$H$252,8,0),"")</f>
        <v>21</v>
      </c>
      <c r="H1762" s="22">
        <v>15.0</v>
      </c>
      <c r="I1762" s="23">
        <f>IFERROR(VLOOKUP(B1762,DADOS!$A$2:$H$252,4,0)*H1762,"")</f>
        <v>4.39449</v>
      </c>
      <c r="J1762" s="36"/>
      <c r="K1762" s="25">
        <f>IFERROR(VLOOKUP(B1762,DADOS!$A$2:$H$252,4,0)*J1762,"")</f>
        <v>0</v>
      </c>
      <c r="L1762" s="26">
        <f t="shared" si="23"/>
        <v>0</v>
      </c>
      <c r="M1762" s="27"/>
      <c r="N1762" s="30"/>
      <c r="O1762" s="28"/>
      <c r="P1762" s="28"/>
      <c r="Q1762" s="28"/>
      <c r="R1762" s="28"/>
      <c r="S1762" s="28"/>
    </row>
    <row r="1763">
      <c r="A1763" s="17">
        <v>45924.0</v>
      </c>
      <c r="B1763" s="18" t="s">
        <v>25</v>
      </c>
      <c r="C1763" s="18" t="s">
        <v>165</v>
      </c>
      <c r="D1763" s="19">
        <v>0.375</v>
      </c>
      <c r="E1763" s="19">
        <v>0.71875</v>
      </c>
      <c r="F1763" s="20">
        <f t="shared" si="24"/>
        <v>0.34375</v>
      </c>
      <c r="G1763" s="67">
        <f>IFERROR(VLOOKUP(B1763,DADOS!$A$2:$H$252,8,0),"")</f>
        <v>40</v>
      </c>
      <c r="H1763" s="22">
        <v>131.0</v>
      </c>
      <c r="I1763" s="23">
        <f>IFERROR(VLOOKUP(B1763,DADOS!$A$2:$H$252,4,0)*H1763,"")</f>
        <v>13.568456</v>
      </c>
      <c r="J1763" s="24">
        <v>1.0</v>
      </c>
      <c r="K1763" s="25">
        <f>IFERROR(VLOOKUP(B1763,DADOS!$A$2:$H$252,4,0)*J1763,"")</f>
        <v>0.103576</v>
      </c>
      <c r="L1763" s="26">
        <f t="shared" si="23"/>
        <v>0</v>
      </c>
      <c r="M1763" s="27"/>
      <c r="N1763" s="30"/>
      <c r="O1763" s="28"/>
      <c r="P1763" s="28"/>
      <c r="Q1763" s="28"/>
      <c r="R1763" s="28"/>
      <c r="S1763" s="28"/>
    </row>
    <row r="1764">
      <c r="A1764" s="17">
        <v>45925.0</v>
      </c>
      <c r="B1764" s="18" t="s">
        <v>72</v>
      </c>
      <c r="C1764" s="18" t="s">
        <v>65</v>
      </c>
      <c r="D1764" s="19"/>
      <c r="E1764" s="19"/>
      <c r="F1764" s="20">
        <f t="shared" si="24"/>
        <v>0</v>
      </c>
      <c r="G1764" s="67">
        <f>IFERROR(VLOOKUP(B1764,DADOS!$A$2:$H$252,8,0),"")</f>
        <v>43</v>
      </c>
      <c r="H1764" s="22">
        <v>144.0</v>
      </c>
      <c r="I1764" s="23">
        <f>IFERROR(VLOOKUP(B1764,DADOS!$A$2:$H$252,4,0)*H1764,"")</f>
        <v>2.46528</v>
      </c>
      <c r="J1764" s="24">
        <v>1.0</v>
      </c>
      <c r="K1764" s="25">
        <f>IFERROR(VLOOKUP(B1764,DADOS!$A$2:$H$252,4,0)*J1764,"")</f>
        <v>0.01712</v>
      </c>
      <c r="L1764" s="26">
        <f t="shared" si="23"/>
        <v>0</v>
      </c>
      <c r="M1764" s="27"/>
      <c r="N1764" s="30"/>
      <c r="O1764" s="28"/>
      <c r="P1764" s="28"/>
      <c r="Q1764" s="28"/>
      <c r="R1764" s="28"/>
      <c r="S1764" s="28"/>
    </row>
    <row r="1765">
      <c r="A1765" s="17">
        <v>45925.0</v>
      </c>
      <c r="B1765" s="18" t="s">
        <v>74</v>
      </c>
      <c r="C1765" s="18" t="s">
        <v>65</v>
      </c>
      <c r="D1765" s="19"/>
      <c r="E1765" s="19"/>
      <c r="F1765" s="20">
        <f t="shared" si="24"/>
        <v>0</v>
      </c>
      <c r="G1765" s="67">
        <f>IFERROR(VLOOKUP(B1765,DADOS!$A$2:$H$252,8,0),"")</f>
        <v>60</v>
      </c>
      <c r="H1765" s="22">
        <v>110.0</v>
      </c>
      <c r="I1765" s="23">
        <f>IFERROR(VLOOKUP(B1765,DADOS!$A$2:$H$252,4,0)*H1765,"")</f>
        <v>152.5392</v>
      </c>
      <c r="J1765" s="24">
        <v>1.0</v>
      </c>
      <c r="K1765" s="25">
        <f>IFERROR(VLOOKUP(B1765,DADOS!$A$2:$H$252,4,0)*J1765,"")</f>
        <v>1.38672</v>
      </c>
      <c r="L1765" s="26">
        <f t="shared" si="23"/>
        <v>0</v>
      </c>
      <c r="M1765" s="27"/>
      <c r="N1765" s="30"/>
      <c r="O1765" s="28"/>
      <c r="P1765" s="28"/>
      <c r="Q1765" s="28"/>
      <c r="R1765" s="28"/>
      <c r="S1765" s="28"/>
    </row>
    <row r="1766">
      <c r="A1766" s="17">
        <v>45926.0</v>
      </c>
      <c r="B1766" s="18" t="s">
        <v>125</v>
      </c>
      <c r="C1766" s="18" t="s">
        <v>19</v>
      </c>
      <c r="D1766" s="19"/>
      <c r="E1766" s="19"/>
      <c r="F1766" s="20">
        <f t="shared" si="24"/>
        <v>0</v>
      </c>
      <c r="G1766" s="67">
        <f>IFERROR(VLOOKUP(B1766,DADOS!$A$2:$H$252,8,0),"")</f>
        <v>12</v>
      </c>
      <c r="H1766" s="22">
        <v>10.0</v>
      </c>
      <c r="I1766" s="23">
        <f>IFERROR(VLOOKUP(B1766,DADOS!$A$2:$H$252,4,0)*H1766,"")</f>
        <v>1.845536</v>
      </c>
      <c r="J1766" s="36"/>
      <c r="K1766" s="25">
        <f>IFERROR(VLOOKUP(B1766,DADOS!$A$2:$H$252,4,0)*J1766,"")</f>
        <v>0</v>
      </c>
      <c r="L1766" s="26">
        <f t="shared" si="23"/>
        <v>0</v>
      </c>
      <c r="M1766" s="27"/>
      <c r="N1766" s="30"/>
      <c r="O1766" s="28"/>
      <c r="P1766" s="28"/>
      <c r="Q1766" s="28"/>
      <c r="R1766" s="28"/>
      <c r="S1766" s="28"/>
    </row>
    <row r="1767">
      <c r="A1767" s="17">
        <v>45926.0</v>
      </c>
      <c r="B1767" s="18" t="s">
        <v>16</v>
      </c>
      <c r="C1767" s="18" t="s">
        <v>65</v>
      </c>
      <c r="D1767" s="19"/>
      <c r="E1767" s="19"/>
      <c r="F1767" s="20">
        <f t="shared" si="24"/>
        <v>0</v>
      </c>
      <c r="G1767" s="67">
        <f>IFERROR(VLOOKUP(B1767,DADOS!$A$2:$H$252,8,0),"")</f>
        <v>150</v>
      </c>
      <c r="H1767" s="22">
        <v>545.0</v>
      </c>
      <c r="I1767" s="23">
        <f>IFERROR(VLOOKUP(B1767,DADOS!$A$2:$H$252,4,0)*H1767,"")</f>
        <v>15.768376</v>
      </c>
      <c r="J1767" s="24">
        <v>4.0</v>
      </c>
      <c r="K1767" s="25">
        <f>IFERROR(VLOOKUP(B1767,DADOS!$A$2:$H$252,4,0)*J1767,"")</f>
        <v>0.1157312</v>
      </c>
      <c r="L1767" s="26">
        <f t="shared" si="23"/>
        <v>0</v>
      </c>
      <c r="M1767" s="27"/>
      <c r="N1767" s="30"/>
      <c r="O1767" s="28"/>
      <c r="P1767" s="28"/>
      <c r="Q1767" s="28"/>
      <c r="R1767" s="28"/>
      <c r="S1767" s="28"/>
    </row>
    <row r="1768">
      <c r="A1768" s="17">
        <v>45926.0</v>
      </c>
      <c r="B1768" s="18" t="s">
        <v>25</v>
      </c>
      <c r="C1768" s="18" t="s">
        <v>165</v>
      </c>
      <c r="D1768" s="19">
        <v>0.34375</v>
      </c>
      <c r="E1768" s="19">
        <v>0.4479166666666667</v>
      </c>
      <c r="F1768" s="20">
        <f t="shared" si="24"/>
        <v>0.1041666667</v>
      </c>
      <c r="G1768" s="67">
        <f>IFERROR(VLOOKUP(B1768,DADOS!$A$2:$H$252,8,0),"")</f>
        <v>40</v>
      </c>
      <c r="H1768" s="22">
        <v>69.0</v>
      </c>
      <c r="I1768" s="23">
        <f>IFERROR(VLOOKUP(B1768,DADOS!$A$2:$H$252,4,0)*H1768,"")</f>
        <v>7.146744</v>
      </c>
      <c r="J1768" s="36"/>
      <c r="K1768" s="25">
        <f>IFERROR(VLOOKUP(B1768,DADOS!$A$2:$H$252,4,0)*J1768,"")</f>
        <v>0</v>
      </c>
      <c r="L1768" s="26">
        <f t="shared" si="23"/>
        <v>0</v>
      </c>
      <c r="M1768" s="27"/>
      <c r="N1768" s="30"/>
      <c r="O1768" s="28"/>
      <c r="P1768" s="28"/>
      <c r="Q1768" s="28"/>
      <c r="R1768" s="28"/>
      <c r="S1768" s="28"/>
    </row>
    <row r="1769">
      <c r="A1769" s="17">
        <v>45926.0</v>
      </c>
      <c r="B1769" s="18" t="s">
        <v>18</v>
      </c>
      <c r="C1769" s="18" t="s">
        <v>165</v>
      </c>
      <c r="D1769" s="19">
        <v>0.4895833333333333</v>
      </c>
      <c r="E1769" s="19">
        <v>0.6666666666666666</v>
      </c>
      <c r="F1769" s="20">
        <f t="shared" si="24"/>
        <v>0.1770833333</v>
      </c>
      <c r="G1769" s="67">
        <f>IFERROR(VLOOKUP(B1769,DADOS!$A$2:$H$252,8,0),"")</f>
        <v>21</v>
      </c>
      <c r="H1769" s="22">
        <v>39.0</v>
      </c>
      <c r="I1769" s="23">
        <f>IFERROR(VLOOKUP(B1769,DADOS!$A$2:$H$252,4,0)*H1769,"")</f>
        <v>11.425674</v>
      </c>
      <c r="J1769" s="36"/>
      <c r="K1769" s="25">
        <f>IFERROR(VLOOKUP(B1769,DADOS!$A$2:$H$252,4,0)*J1769,"")</f>
        <v>0</v>
      </c>
      <c r="L1769" s="26">
        <f t="shared" si="23"/>
        <v>0</v>
      </c>
      <c r="M1769" s="27"/>
      <c r="N1769" s="30"/>
      <c r="O1769" s="28"/>
      <c r="P1769" s="28"/>
      <c r="Q1769" s="28"/>
      <c r="R1769" s="28"/>
      <c r="S1769" s="28"/>
    </row>
    <row r="1770">
      <c r="A1770" s="17">
        <v>45926.0</v>
      </c>
      <c r="B1770" s="18" t="s">
        <v>125</v>
      </c>
      <c r="C1770" s="18" t="s">
        <v>165</v>
      </c>
      <c r="D1770" s="19"/>
      <c r="E1770" s="19"/>
      <c r="F1770" s="20">
        <f t="shared" si="24"/>
        <v>0</v>
      </c>
      <c r="G1770" s="67">
        <f>IFERROR(VLOOKUP(B1770,DADOS!$A$2:$H$252,8,0),"")</f>
        <v>12</v>
      </c>
      <c r="H1770" s="22">
        <v>1.0</v>
      </c>
      <c r="I1770" s="23">
        <f>IFERROR(VLOOKUP(B1770,DADOS!$A$2:$H$252,4,0)*H1770,"")</f>
        <v>0.1845536</v>
      </c>
      <c r="J1770" s="36"/>
      <c r="K1770" s="25">
        <f>IFERROR(VLOOKUP(B1770,DADOS!$A$2:$H$252,4,0)*J1770,"")</f>
        <v>0</v>
      </c>
      <c r="L1770" s="26">
        <f t="shared" si="23"/>
        <v>0</v>
      </c>
      <c r="M1770" s="27"/>
      <c r="N1770" s="30"/>
      <c r="O1770" s="28"/>
      <c r="P1770" s="28"/>
      <c r="Q1770" s="28"/>
      <c r="R1770" s="28"/>
      <c r="S1770" s="28"/>
    </row>
    <row r="1771">
      <c r="A1771" s="17">
        <v>45927.0</v>
      </c>
      <c r="B1771" s="18" t="s">
        <v>71</v>
      </c>
      <c r="C1771" s="18" t="s">
        <v>193</v>
      </c>
      <c r="D1771" s="19"/>
      <c r="E1771" s="19"/>
      <c r="F1771" s="20">
        <f t="shared" si="24"/>
        <v>0</v>
      </c>
      <c r="G1771" s="67">
        <f>IFERROR(VLOOKUP(B1771,DADOS!$A$2:$H$252,8,0),"")</f>
        <v>7</v>
      </c>
      <c r="H1771" s="22">
        <v>40.0</v>
      </c>
      <c r="I1771" s="23">
        <f>IFERROR(VLOOKUP(B1771,DADOS!$A$2:$H$252,4,0)*H1771,"")</f>
        <v>56.096248</v>
      </c>
      <c r="J1771" s="36"/>
      <c r="K1771" s="25">
        <f>IFERROR(VLOOKUP(B1771,DADOS!$A$2:$H$252,4,0)*J1771,"")</f>
        <v>0</v>
      </c>
      <c r="L1771" s="26">
        <f t="shared" si="23"/>
        <v>0</v>
      </c>
      <c r="M1771" s="27"/>
      <c r="N1771" s="30"/>
      <c r="O1771" s="28"/>
      <c r="P1771" s="28"/>
      <c r="Q1771" s="28"/>
      <c r="R1771" s="28"/>
      <c r="S1771" s="28"/>
    </row>
    <row r="1772">
      <c r="A1772" s="17">
        <v>45929.0</v>
      </c>
      <c r="B1772" s="18" t="s">
        <v>16</v>
      </c>
      <c r="C1772" s="18" t="s">
        <v>65</v>
      </c>
      <c r="D1772" s="19"/>
      <c r="E1772" s="19"/>
      <c r="F1772" s="20">
        <f t="shared" si="24"/>
        <v>0</v>
      </c>
      <c r="G1772" s="67">
        <f>IFERROR(VLOOKUP(B1772,DADOS!$A$2:$H$252,8,0),"")</f>
        <v>150</v>
      </c>
      <c r="H1772" s="22">
        <v>374.0</v>
      </c>
      <c r="I1772" s="23">
        <f>IFERROR(VLOOKUP(B1772,DADOS!$A$2:$H$252,4,0)*H1772,"")</f>
        <v>10.8208672</v>
      </c>
      <c r="J1772" s="24">
        <v>2.0</v>
      </c>
      <c r="K1772" s="25">
        <f>IFERROR(VLOOKUP(B1772,DADOS!$A$2:$H$252,4,0)*J1772,"")</f>
        <v>0.0578656</v>
      </c>
      <c r="L1772" s="26">
        <f t="shared" si="23"/>
        <v>0</v>
      </c>
      <c r="M1772" s="27"/>
      <c r="N1772" s="30"/>
      <c r="O1772" s="28"/>
      <c r="P1772" s="28"/>
      <c r="Q1772" s="28"/>
      <c r="R1772" s="28"/>
      <c r="S1772" s="28"/>
    </row>
    <row r="1773">
      <c r="A1773" s="17">
        <v>45929.0</v>
      </c>
      <c r="B1773" s="18" t="s">
        <v>125</v>
      </c>
      <c r="C1773" s="18" t="s">
        <v>165</v>
      </c>
      <c r="D1773" s="19"/>
      <c r="E1773" s="19"/>
      <c r="F1773" s="20">
        <f t="shared" si="24"/>
        <v>0</v>
      </c>
      <c r="G1773" s="67">
        <f>IFERROR(VLOOKUP(B1773,DADOS!$A$2:$H$252,8,0),"")</f>
        <v>12</v>
      </c>
      <c r="H1773" s="22">
        <v>21.0</v>
      </c>
      <c r="I1773" s="23">
        <f>IFERROR(VLOOKUP(B1773,DADOS!$A$2:$H$252,4,0)*H1773,"")</f>
        <v>3.8756256</v>
      </c>
      <c r="J1773" s="36"/>
      <c r="K1773" s="25">
        <f>IFERROR(VLOOKUP(B1773,DADOS!$A$2:$H$252,4,0)*J1773,"")</f>
        <v>0</v>
      </c>
      <c r="L1773" s="26">
        <f t="shared" si="23"/>
        <v>0</v>
      </c>
      <c r="M1773" s="27"/>
      <c r="N1773" s="30"/>
      <c r="O1773" s="28"/>
      <c r="P1773" s="28"/>
      <c r="Q1773" s="28"/>
      <c r="R1773" s="28"/>
      <c r="S1773" s="28"/>
    </row>
    <row r="1774">
      <c r="A1774" s="17">
        <v>45929.0</v>
      </c>
      <c r="B1774" s="18" t="s">
        <v>18</v>
      </c>
      <c r="C1774" s="18" t="s">
        <v>165</v>
      </c>
      <c r="D1774" s="19"/>
      <c r="E1774" s="19"/>
      <c r="F1774" s="20">
        <f t="shared" si="24"/>
        <v>0</v>
      </c>
      <c r="G1774" s="67">
        <f>IFERROR(VLOOKUP(B1774,DADOS!$A$2:$H$252,8,0),"")</f>
        <v>21</v>
      </c>
      <c r="H1774" s="22">
        <v>61.0</v>
      </c>
      <c r="I1774" s="23">
        <f>IFERROR(VLOOKUP(B1774,DADOS!$A$2:$H$252,4,0)*H1774,"")</f>
        <v>17.870926</v>
      </c>
      <c r="J1774" s="36"/>
      <c r="K1774" s="25">
        <f>IFERROR(VLOOKUP(B1774,DADOS!$A$2:$H$252,4,0)*J1774,"")</f>
        <v>0</v>
      </c>
      <c r="L1774" s="26">
        <f t="shared" si="23"/>
        <v>0</v>
      </c>
      <c r="M1774" s="27"/>
      <c r="N1774" s="30"/>
      <c r="O1774" s="28"/>
      <c r="P1774" s="28"/>
      <c r="Q1774" s="28"/>
      <c r="R1774" s="28"/>
      <c r="S1774" s="28"/>
    </row>
    <row r="1775">
      <c r="A1775" s="17">
        <v>45930.0</v>
      </c>
      <c r="B1775" s="18" t="s">
        <v>42</v>
      </c>
      <c r="C1775" s="18" t="s">
        <v>19</v>
      </c>
      <c r="D1775" s="19"/>
      <c r="E1775" s="19"/>
      <c r="F1775" s="20">
        <f t="shared" si="24"/>
        <v>0</v>
      </c>
      <c r="G1775" s="67">
        <f>IFERROR(VLOOKUP(B1775,DADOS!$A$2:$H$252,8,0),"")</f>
        <v>100</v>
      </c>
      <c r="H1775" s="22">
        <v>33.0</v>
      </c>
      <c r="I1775" s="23">
        <f>IFERROR(VLOOKUP(B1775,DADOS!$A$2:$H$252,4,0)*H1775,"")</f>
        <v>40.04154</v>
      </c>
      <c r="J1775" s="24">
        <v>5.0</v>
      </c>
      <c r="K1775" s="25">
        <f>IFERROR(VLOOKUP(B1775,DADOS!$A$2:$H$252,4,0)*J1775,"")</f>
        <v>6.0669</v>
      </c>
      <c r="L1775" s="26">
        <f t="shared" si="23"/>
        <v>0</v>
      </c>
      <c r="M1775" s="27"/>
      <c r="N1775" s="30"/>
      <c r="O1775" s="28"/>
      <c r="P1775" s="28"/>
      <c r="Q1775" s="28"/>
      <c r="R1775" s="28"/>
      <c r="S1775" s="28"/>
    </row>
    <row r="1776">
      <c r="A1776" s="17">
        <v>45930.0</v>
      </c>
      <c r="B1776" s="18" t="s">
        <v>182</v>
      </c>
      <c r="C1776" s="18" t="s">
        <v>165</v>
      </c>
      <c r="D1776" s="19"/>
      <c r="E1776" s="19"/>
      <c r="F1776" s="20">
        <f t="shared" si="24"/>
        <v>0</v>
      </c>
      <c r="G1776" s="67">
        <f>IFERROR(VLOOKUP(B1776,DADOS!$A$2:$H$252,8,0),"")</f>
        <v>120</v>
      </c>
      <c r="H1776" s="22">
        <v>50.0</v>
      </c>
      <c r="I1776" s="23">
        <f>IFERROR(VLOOKUP(B1776,DADOS!$A$2:$H$252,4,0)*H1776,"")</f>
        <v>16.2747</v>
      </c>
      <c r="J1776" s="36"/>
      <c r="K1776" s="25">
        <f>IFERROR(VLOOKUP(B1776,DADOS!$A$2:$H$252,4,0)*J1776,"")</f>
        <v>0</v>
      </c>
      <c r="L1776" s="26">
        <f t="shared" si="23"/>
        <v>0</v>
      </c>
      <c r="M1776" s="27"/>
      <c r="N1776" s="30"/>
      <c r="O1776" s="28"/>
      <c r="P1776" s="28"/>
      <c r="Q1776" s="28"/>
      <c r="R1776" s="28"/>
      <c r="S1776" s="28"/>
    </row>
    <row r="1777">
      <c r="A1777" s="17">
        <v>45930.0</v>
      </c>
      <c r="B1777" s="18" t="s">
        <v>49</v>
      </c>
      <c r="C1777" s="18" t="s">
        <v>165</v>
      </c>
      <c r="D1777" s="19"/>
      <c r="E1777" s="19"/>
      <c r="F1777" s="20">
        <f t="shared" si="24"/>
        <v>0</v>
      </c>
      <c r="G1777" s="67">
        <f>IFERROR(VLOOKUP(B1777,DADOS!$A$2:$H$252,8,0),"")</f>
        <v>42</v>
      </c>
      <c r="H1777" s="22">
        <v>36.0</v>
      </c>
      <c r="I1777" s="23">
        <f>IFERROR(VLOOKUP(B1777,DADOS!$A$2:$H$252,4,0)*H1777,"")</f>
        <v>2.4491016</v>
      </c>
      <c r="J1777" s="24">
        <v>2.0</v>
      </c>
      <c r="K1777" s="25">
        <f>IFERROR(VLOOKUP(B1777,DADOS!$A$2:$H$252,4,0)*J1777,"")</f>
        <v>0.1360612</v>
      </c>
      <c r="L1777" s="26">
        <f t="shared" si="23"/>
        <v>0</v>
      </c>
      <c r="M1777" s="27"/>
      <c r="N1777" s="30"/>
      <c r="O1777" s="28"/>
      <c r="P1777" s="28"/>
      <c r="Q1777" s="28"/>
      <c r="R1777" s="28"/>
      <c r="S1777" s="28"/>
    </row>
    <row r="1778">
      <c r="A1778" s="17">
        <v>45931.0</v>
      </c>
      <c r="B1778" s="18" t="s">
        <v>49</v>
      </c>
      <c r="C1778" s="18" t="s">
        <v>65</v>
      </c>
      <c r="D1778" s="19"/>
      <c r="E1778" s="19"/>
      <c r="F1778" s="20">
        <f t="shared" si="24"/>
        <v>0</v>
      </c>
      <c r="G1778" s="67">
        <f>IFERROR(VLOOKUP(B1778,DADOS!$A$2:$H$252,8,0),"")</f>
        <v>42</v>
      </c>
      <c r="H1778" s="22">
        <v>147.0</v>
      </c>
      <c r="I1778" s="23">
        <f>IFERROR(VLOOKUP(B1778,DADOS!$A$2:$H$252,4,0)*H1778,"")</f>
        <v>10.0004982</v>
      </c>
      <c r="J1778" s="24">
        <v>1.0</v>
      </c>
      <c r="K1778" s="25">
        <f>IFERROR(VLOOKUP(B1778,DADOS!$A$2:$H$252,4,0)*J1778,"")</f>
        <v>0.0680306</v>
      </c>
      <c r="L1778" s="26">
        <f t="shared" si="23"/>
        <v>0</v>
      </c>
      <c r="M1778" s="27"/>
      <c r="N1778" s="30"/>
      <c r="O1778" s="28"/>
      <c r="P1778" s="28"/>
      <c r="Q1778" s="28"/>
      <c r="R1778" s="28"/>
      <c r="S1778" s="28"/>
    </row>
    <row r="1779">
      <c r="A1779" s="17">
        <v>45931.0</v>
      </c>
      <c r="B1779" s="18" t="s">
        <v>42</v>
      </c>
      <c r="C1779" s="18" t="s">
        <v>65</v>
      </c>
      <c r="D1779" s="19"/>
      <c r="E1779" s="19"/>
      <c r="F1779" s="20">
        <f t="shared" si="24"/>
        <v>0</v>
      </c>
      <c r="G1779" s="67">
        <f>IFERROR(VLOOKUP(B1779,DADOS!$A$2:$H$252,8,0),"")</f>
        <v>100</v>
      </c>
      <c r="H1779" s="22">
        <v>80.0</v>
      </c>
      <c r="I1779" s="23">
        <f>IFERROR(VLOOKUP(B1779,DADOS!$A$2:$H$252,4,0)*H1779,"")</f>
        <v>97.0704</v>
      </c>
      <c r="J1779" s="36"/>
      <c r="K1779" s="25">
        <f>IFERROR(VLOOKUP(B1779,DADOS!$A$2:$H$252,4,0)*J1779,"")</f>
        <v>0</v>
      </c>
      <c r="L1779" s="26">
        <f t="shared" si="23"/>
        <v>0</v>
      </c>
      <c r="M1779" s="27"/>
      <c r="N1779" s="30"/>
      <c r="O1779" s="28"/>
      <c r="P1779" s="28"/>
      <c r="Q1779" s="28"/>
      <c r="R1779" s="28"/>
      <c r="S1779" s="28"/>
    </row>
    <row r="1780">
      <c r="A1780" s="17">
        <v>45932.0</v>
      </c>
      <c r="B1780" s="18" t="s">
        <v>126</v>
      </c>
      <c r="C1780" s="18" t="s">
        <v>65</v>
      </c>
      <c r="D1780" s="19"/>
      <c r="E1780" s="19"/>
      <c r="F1780" s="20">
        <f t="shared" si="24"/>
        <v>0</v>
      </c>
      <c r="G1780" s="67">
        <f>IFERROR(VLOOKUP(B1780,DADOS!$A$2:$H$252,8,0),"")</f>
        <v>100</v>
      </c>
      <c r="H1780" s="22">
        <v>201.0</v>
      </c>
      <c r="I1780" s="23">
        <f>IFERROR(VLOOKUP(B1780,DADOS!$A$2:$H$252,4,0)*H1780,"")</f>
        <v>10.645965</v>
      </c>
      <c r="J1780" s="36"/>
      <c r="K1780" s="25">
        <f>IFERROR(VLOOKUP(B1780,DADOS!$A$2:$H$252,4,0)*J1780,"")</f>
        <v>0</v>
      </c>
      <c r="L1780" s="26">
        <f t="shared" si="23"/>
        <v>0</v>
      </c>
      <c r="M1780" s="27"/>
      <c r="N1780" s="30"/>
      <c r="O1780" s="28"/>
      <c r="P1780" s="28"/>
      <c r="Q1780" s="28"/>
      <c r="R1780" s="28"/>
      <c r="S1780" s="28"/>
    </row>
    <row r="1781">
      <c r="A1781" s="17">
        <v>45932.0</v>
      </c>
      <c r="B1781" s="18" t="s">
        <v>49</v>
      </c>
      <c r="C1781" s="18" t="s">
        <v>165</v>
      </c>
      <c r="D1781" s="19"/>
      <c r="E1781" s="19"/>
      <c r="F1781" s="20">
        <f t="shared" si="24"/>
        <v>0</v>
      </c>
      <c r="G1781" s="67">
        <f>IFERROR(VLOOKUP(B1781,DADOS!$A$2:$H$252,8,0),"")</f>
        <v>42</v>
      </c>
      <c r="H1781" s="22">
        <v>5.0</v>
      </c>
      <c r="I1781" s="23">
        <f>IFERROR(VLOOKUP(B1781,DADOS!$A$2:$H$252,4,0)*H1781,"")</f>
        <v>0.340153</v>
      </c>
      <c r="J1781" s="24">
        <v>1.0</v>
      </c>
      <c r="K1781" s="25">
        <f>IFERROR(VLOOKUP(B1781,DADOS!$A$2:$H$252,4,0)*J1781,"")</f>
        <v>0.0680306</v>
      </c>
      <c r="L1781" s="26">
        <f t="shared" si="23"/>
        <v>0</v>
      </c>
      <c r="M1781" s="27"/>
      <c r="N1781" s="30"/>
      <c r="O1781" s="28"/>
      <c r="P1781" s="28"/>
      <c r="Q1781" s="28"/>
      <c r="R1781" s="28"/>
      <c r="S1781" s="28"/>
    </row>
    <row r="1782">
      <c r="A1782" s="17">
        <v>45932.0</v>
      </c>
      <c r="B1782" s="18" t="s">
        <v>195</v>
      </c>
      <c r="C1782" s="18" t="s">
        <v>165</v>
      </c>
      <c r="D1782" s="19"/>
      <c r="E1782" s="19"/>
      <c r="F1782" s="20">
        <f t="shared" si="24"/>
        <v>0</v>
      </c>
      <c r="G1782" s="67">
        <f>IFERROR(VLOOKUP(B1782,DADOS!$A$2:$H$252,8,0),"")</f>
        <v>43</v>
      </c>
      <c r="H1782" s="22">
        <v>59.0</v>
      </c>
      <c r="I1782" s="23">
        <f>IFERROR(VLOOKUP(B1782,DADOS!$A$2:$H$252,4,0)*H1782,"")</f>
        <v>12.49974</v>
      </c>
      <c r="J1782" s="36"/>
      <c r="K1782" s="25">
        <f>IFERROR(VLOOKUP(B1782,DADOS!$A$2:$H$252,4,0)*J1782,"")</f>
        <v>0</v>
      </c>
      <c r="L1782" s="26">
        <f t="shared" si="23"/>
        <v>0</v>
      </c>
      <c r="M1782" s="27"/>
      <c r="N1782" s="30"/>
      <c r="O1782" s="28"/>
      <c r="P1782" s="28"/>
      <c r="Q1782" s="28"/>
      <c r="R1782" s="28"/>
      <c r="S1782" s="28"/>
    </row>
    <row r="1783">
      <c r="A1783" s="17">
        <v>45933.0</v>
      </c>
      <c r="B1783" s="18" t="s">
        <v>155</v>
      </c>
      <c r="C1783" s="18" t="s">
        <v>166</v>
      </c>
      <c r="D1783" s="19"/>
      <c r="E1783" s="19"/>
      <c r="F1783" s="20">
        <f t="shared" si="24"/>
        <v>0</v>
      </c>
      <c r="G1783" s="67">
        <f>IFERROR(VLOOKUP(B1783,DADOS!$A$2:$H$252,8,0),"")</f>
        <v>18</v>
      </c>
      <c r="H1783" s="22">
        <v>30.0</v>
      </c>
      <c r="I1783" s="23">
        <f>IFERROR(VLOOKUP(B1783,DADOS!$A$2:$H$252,4,0)*H1783,"")</f>
        <v>11.87058</v>
      </c>
      <c r="J1783" s="36"/>
      <c r="K1783" s="25">
        <f>IFERROR(VLOOKUP(B1783,DADOS!$A$2:$H$252,4,0)*J1783,"")</f>
        <v>0</v>
      </c>
      <c r="L1783" s="26">
        <f t="shared" si="23"/>
        <v>0</v>
      </c>
      <c r="M1783" s="27"/>
      <c r="N1783" s="30"/>
      <c r="O1783" s="28"/>
      <c r="P1783" s="28"/>
      <c r="Q1783" s="28"/>
      <c r="R1783" s="28"/>
      <c r="S1783" s="28"/>
    </row>
    <row r="1784">
      <c r="A1784" s="17">
        <v>45933.0</v>
      </c>
      <c r="B1784" s="18" t="s">
        <v>178</v>
      </c>
      <c r="C1784" s="18" t="s">
        <v>166</v>
      </c>
      <c r="D1784" s="19"/>
      <c r="E1784" s="19"/>
      <c r="F1784" s="20">
        <f t="shared" si="24"/>
        <v>0</v>
      </c>
      <c r="G1784" s="67">
        <f>IFERROR(VLOOKUP(B1784,DADOS!$A$2:$H$252,8,0),"")</f>
        <v>35</v>
      </c>
      <c r="H1784" s="22">
        <v>60.0</v>
      </c>
      <c r="I1784" s="23">
        <f>IFERROR(VLOOKUP(B1784,DADOS!$A$2:$H$252,4,0)*H1784,"")</f>
        <v>12.7116</v>
      </c>
      <c r="J1784" s="36"/>
      <c r="K1784" s="25">
        <f>IFERROR(VLOOKUP(B1784,DADOS!$A$2:$H$252,4,0)*J1784,"")</f>
        <v>0</v>
      </c>
      <c r="L1784" s="26">
        <f t="shared" si="23"/>
        <v>0</v>
      </c>
      <c r="M1784" s="27"/>
      <c r="N1784" s="30"/>
      <c r="O1784" s="28"/>
      <c r="P1784" s="28"/>
      <c r="Q1784" s="28"/>
      <c r="R1784" s="28"/>
      <c r="S1784" s="28"/>
    </row>
    <row r="1785">
      <c r="A1785" s="17">
        <v>45933.0</v>
      </c>
      <c r="B1785" s="18" t="s">
        <v>126</v>
      </c>
      <c r="C1785" s="18" t="s">
        <v>65</v>
      </c>
      <c r="D1785" s="19"/>
      <c r="E1785" s="19"/>
      <c r="F1785" s="20">
        <f t="shared" si="24"/>
        <v>0</v>
      </c>
      <c r="G1785" s="67">
        <f>IFERROR(VLOOKUP(B1785,DADOS!$A$2:$H$252,8,0),"")</f>
        <v>100</v>
      </c>
      <c r="H1785" s="22">
        <v>195.0</v>
      </c>
      <c r="I1785" s="23">
        <f>IFERROR(VLOOKUP(B1785,DADOS!$A$2:$H$252,4,0)*H1785,"")</f>
        <v>10.328175</v>
      </c>
      <c r="J1785" s="24">
        <v>1.0</v>
      </c>
      <c r="K1785" s="25">
        <f>IFERROR(VLOOKUP(B1785,DADOS!$A$2:$H$252,4,0)*J1785,"")</f>
        <v>0.052965</v>
      </c>
      <c r="L1785" s="26">
        <f t="shared" si="23"/>
        <v>0</v>
      </c>
      <c r="M1785" s="27"/>
      <c r="N1785" s="30"/>
      <c r="O1785" s="28"/>
      <c r="P1785" s="28"/>
      <c r="Q1785" s="28"/>
      <c r="R1785" s="28"/>
      <c r="S1785" s="28"/>
    </row>
    <row r="1786">
      <c r="A1786" s="17">
        <v>45933.0</v>
      </c>
      <c r="B1786" s="18" t="s">
        <v>195</v>
      </c>
      <c r="C1786" s="18" t="s">
        <v>165</v>
      </c>
      <c r="D1786" s="19"/>
      <c r="E1786" s="19"/>
      <c r="F1786" s="20">
        <f t="shared" si="24"/>
        <v>0</v>
      </c>
      <c r="G1786" s="67">
        <f>IFERROR(VLOOKUP(B1786,DADOS!$A$2:$H$252,8,0),"")</f>
        <v>43</v>
      </c>
      <c r="H1786" s="22">
        <v>39.0</v>
      </c>
      <c r="I1786" s="23">
        <f>IFERROR(VLOOKUP(B1786,DADOS!$A$2:$H$252,4,0)*H1786,"")</f>
        <v>8.26254</v>
      </c>
      <c r="J1786" s="36"/>
      <c r="K1786" s="25">
        <f>IFERROR(VLOOKUP(B1786,DADOS!$A$2:$H$252,4,0)*J1786,"")</f>
        <v>0</v>
      </c>
      <c r="L1786" s="26">
        <f t="shared" si="23"/>
        <v>0</v>
      </c>
      <c r="M1786" s="27"/>
      <c r="N1786" s="30"/>
      <c r="O1786" s="28"/>
      <c r="P1786" s="28"/>
      <c r="Q1786" s="28"/>
      <c r="R1786" s="28"/>
      <c r="S1786" s="28"/>
    </row>
    <row r="1787">
      <c r="A1787" s="17">
        <v>45933.0</v>
      </c>
      <c r="B1787" s="18" t="s">
        <v>51</v>
      </c>
      <c r="C1787" s="18" t="s">
        <v>165</v>
      </c>
      <c r="D1787" s="19"/>
      <c r="E1787" s="19"/>
      <c r="F1787" s="20">
        <f t="shared" si="24"/>
        <v>0</v>
      </c>
      <c r="G1787" s="67">
        <f>IFERROR(VLOOKUP(B1787,DADOS!$A$2:$H$252,8,0),"")</f>
        <v>28</v>
      </c>
      <c r="H1787" s="22">
        <v>34.0</v>
      </c>
      <c r="I1787" s="23">
        <f>IFERROR(VLOOKUP(B1787,DADOS!$A$2:$H$252,4,0)*H1787,"")</f>
        <v>3.8737424</v>
      </c>
      <c r="J1787" s="36"/>
      <c r="K1787" s="25">
        <f>IFERROR(VLOOKUP(B1787,DADOS!$A$2:$H$252,4,0)*J1787,"")</f>
        <v>0</v>
      </c>
      <c r="L1787" s="26">
        <f t="shared" si="23"/>
        <v>0</v>
      </c>
      <c r="M1787" s="27"/>
      <c r="N1787" s="30"/>
      <c r="O1787" s="28"/>
      <c r="P1787" s="28"/>
      <c r="Q1787" s="28"/>
      <c r="R1787" s="28"/>
      <c r="S1787" s="28"/>
    </row>
    <row r="1788">
      <c r="A1788" s="17">
        <v>45934.0</v>
      </c>
      <c r="B1788" s="18" t="s">
        <v>71</v>
      </c>
      <c r="C1788" s="18" t="s">
        <v>193</v>
      </c>
      <c r="D1788" s="19"/>
      <c r="E1788" s="19"/>
      <c r="F1788" s="20">
        <f t="shared" si="24"/>
        <v>0</v>
      </c>
      <c r="G1788" s="67">
        <f>IFERROR(VLOOKUP(B1788,DADOS!$A$2:$H$252,8,0),"")</f>
        <v>7</v>
      </c>
      <c r="H1788" s="22">
        <v>29.0</v>
      </c>
      <c r="I1788" s="23">
        <f>IFERROR(VLOOKUP(B1788,DADOS!$A$2:$H$252,4,0)*H1788,"")</f>
        <v>40.6697798</v>
      </c>
      <c r="J1788" s="24">
        <v>1.0</v>
      </c>
      <c r="K1788" s="25">
        <f>IFERROR(VLOOKUP(B1788,DADOS!$A$2:$H$252,4,0)*J1788,"")</f>
        <v>1.4024062</v>
      </c>
      <c r="L1788" s="26">
        <f t="shared" si="23"/>
        <v>0</v>
      </c>
      <c r="M1788" s="27"/>
      <c r="N1788" s="30"/>
      <c r="O1788" s="28"/>
      <c r="P1788" s="28"/>
      <c r="Q1788" s="28"/>
      <c r="R1788" s="28"/>
      <c r="S1788" s="28"/>
    </row>
    <row r="1789">
      <c r="A1789" s="17">
        <v>45934.0</v>
      </c>
      <c r="B1789" s="18" t="s">
        <v>26</v>
      </c>
      <c r="C1789" s="18" t="s">
        <v>193</v>
      </c>
      <c r="D1789" s="19"/>
      <c r="E1789" s="19"/>
      <c r="F1789" s="20">
        <f t="shared" si="24"/>
        <v>0</v>
      </c>
      <c r="G1789" s="67">
        <f>IFERROR(VLOOKUP(B1789,DADOS!$A$2:$H$252,8,0),"")</f>
        <v>50</v>
      </c>
      <c r="H1789" s="22">
        <v>60.0</v>
      </c>
      <c r="I1789" s="23">
        <f>IFERROR(VLOOKUP(B1789,DADOS!$A$2:$H$252,4,0)*H1789,"")</f>
        <v>6.836016</v>
      </c>
      <c r="J1789" s="36"/>
      <c r="K1789" s="25">
        <f>IFERROR(VLOOKUP(B1789,DADOS!$A$2:$H$252,4,0)*J1789,"")</f>
        <v>0</v>
      </c>
      <c r="L1789" s="26">
        <f t="shared" si="23"/>
        <v>0</v>
      </c>
      <c r="M1789" s="27"/>
      <c r="N1789" s="30"/>
      <c r="O1789" s="28"/>
      <c r="P1789" s="28"/>
      <c r="Q1789" s="28"/>
      <c r="R1789" s="28"/>
      <c r="S1789" s="28"/>
    </row>
    <row r="1790">
      <c r="A1790" s="17">
        <v>45936.0</v>
      </c>
      <c r="B1790" s="18" t="s">
        <v>205</v>
      </c>
      <c r="C1790" s="18" t="s">
        <v>65</v>
      </c>
      <c r="D1790" s="19"/>
      <c r="E1790" s="19"/>
      <c r="F1790" s="20">
        <f t="shared" si="24"/>
        <v>0</v>
      </c>
      <c r="G1790" s="67">
        <f>IFERROR(VLOOKUP(B1790,DADOS!$A$2:$H$252,8,0),"")</f>
        <v>50</v>
      </c>
      <c r="H1790" s="22">
        <v>87.0</v>
      </c>
      <c r="I1790" s="23">
        <f>IFERROR(VLOOKUP(B1790,DADOS!$A$2:$H$252,4,0)*H1790,"")</f>
        <v>2.5171536</v>
      </c>
      <c r="J1790" s="24">
        <v>5.0</v>
      </c>
      <c r="K1790" s="25">
        <f>IFERROR(VLOOKUP(B1790,DADOS!$A$2:$H$252,4,0)*J1790,"")</f>
        <v>0.144664</v>
      </c>
      <c r="L1790" s="26">
        <f t="shared" si="23"/>
        <v>0</v>
      </c>
      <c r="M1790" s="27"/>
      <c r="N1790" s="30"/>
      <c r="O1790" s="28"/>
      <c r="P1790" s="28"/>
      <c r="Q1790" s="28"/>
      <c r="R1790" s="28"/>
      <c r="S1790" s="28"/>
    </row>
    <row r="1791">
      <c r="A1791" s="17">
        <v>45936.0</v>
      </c>
      <c r="B1791" s="18" t="s">
        <v>51</v>
      </c>
      <c r="C1791" s="18" t="s">
        <v>165</v>
      </c>
      <c r="D1791" s="19"/>
      <c r="E1791" s="19"/>
      <c r="F1791" s="20">
        <f t="shared" si="24"/>
        <v>0</v>
      </c>
      <c r="G1791" s="67">
        <f>IFERROR(VLOOKUP(B1791,DADOS!$A$2:$H$252,8,0),"")</f>
        <v>28</v>
      </c>
      <c r="H1791" s="22">
        <v>115.0</v>
      </c>
      <c r="I1791" s="23">
        <f>IFERROR(VLOOKUP(B1791,DADOS!$A$2:$H$252,4,0)*H1791,"")</f>
        <v>13.102364</v>
      </c>
      <c r="J1791" s="24">
        <v>1.0</v>
      </c>
      <c r="K1791" s="25">
        <f>IFERROR(VLOOKUP(B1791,DADOS!$A$2:$H$252,4,0)*J1791,"")</f>
        <v>0.1139336</v>
      </c>
      <c r="L1791" s="26">
        <f t="shared" si="23"/>
        <v>0</v>
      </c>
      <c r="M1791" s="27"/>
      <c r="N1791" s="30"/>
      <c r="O1791" s="28"/>
      <c r="P1791" s="28"/>
      <c r="Q1791" s="28"/>
      <c r="R1791" s="28"/>
      <c r="S1791" s="28"/>
    </row>
    <row r="1792">
      <c r="A1792" s="17">
        <v>45936.0</v>
      </c>
      <c r="B1792" s="18" t="s">
        <v>119</v>
      </c>
      <c r="C1792" s="18" t="s">
        <v>165</v>
      </c>
      <c r="D1792" s="19"/>
      <c r="E1792" s="19"/>
      <c r="F1792" s="20">
        <f t="shared" si="24"/>
        <v>0</v>
      </c>
      <c r="G1792" s="67">
        <f>IFERROR(VLOOKUP(B1792,DADOS!$A$2:$H$252,8,0),"")</f>
        <v>25</v>
      </c>
      <c r="H1792" s="22">
        <v>7.0</v>
      </c>
      <c r="I1792" s="23">
        <f>IFERROR(VLOOKUP(B1792,DADOS!$A$2:$H$252,4,0)*H1792,"")</f>
        <v>0.9113832</v>
      </c>
      <c r="J1792" s="36"/>
      <c r="K1792" s="25">
        <f>IFERROR(VLOOKUP(B1792,DADOS!$A$2:$H$252,4,0)*J1792,"")</f>
        <v>0</v>
      </c>
      <c r="L1792" s="26">
        <f t="shared" si="23"/>
        <v>0</v>
      </c>
      <c r="M1792" s="27"/>
      <c r="N1792" s="30"/>
      <c r="O1792" s="28"/>
      <c r="P1792" s="28"/>
      <c r="Q1792" s="28"/>
      <c r="R1792" s="28"/>
      <c r="S1792" s="28"/>
    </row>
    <row r="1793">
      <c r="A1793" s="17">
        <v>45937.0</v>
      </c>
      <c r="B1793" s="18" t="s">
        <v>190</v>
      </c>
      <c r="C1793" s="18" t="s">
        <v>166</v>
      </c>
      <c r="D1793" s="19">
        <v>0.3333333333333333</v>
      </c>
      <c r="E1793" s="19">
        <v>0.4583333333333333</v>
      </c>
      <c r="F1793" s="20">
        <f t="shared" si="24"/>
        <v>0.125</v>
      </c>
      <c r="G1793" s="67">
        <f>IFERROR(VLOOKUP(B1793,DADOS!$A$2:$H$252,8,0),"")</f>
        <v>12</v>
      </c>
      <c r="H1793" s="22">
        <v>60.0</v>
      </c>
      <c r="I1793" s="23">
        <f>IFERROR(VLOOKUP(B1793,DADOS!$A$2:$H$252,4,0)*H1793,"")</f>
        <v>23.74116</v>
      </c>
      <c r="J1793" s="36"/>
      <c r="K1793" s="25">
        <f>IFERROR(VLOOKUP(B1793,DADOS!$A$2:$H$252,4,0)*J1793,"")</f>
        <v>0</v>
      </c>
      <c r="L1793" s="26">
        <f t="shared" si="23"/>
        <v>0</v>
      </c>
      <c r="M1793" s="27"/>
      <c r="N1793" s="30"/>
      <c r="O1793" s="28"/>
      <c r="P1793" s="28"/>
      <c r="Q1793" s="28"/>
      <c r="R1793" s="28"/>
      <c r="S1793" s="28"/>
    </row>
    <row r="1794">
      <c r="A1794" s="17">
        <v>45937.0</v>
      </c>
      <c r="B1794" s="18" t="s">
        <v>27</v>
      </c>
      <c r="C1794" s="18" t="s">
        <v>65</v>
      </c>
      <c r="D1794" s="19"/>
      <c r="E1794" s="19"/>
      <c r="F1794" s="20">
        <f t="shared" si="24"/>
        <v>0</v>
      </c>
      <c r="G1794" s="67">
        <f>IFERROR(VLOOKUP(B1794,DADOS!$A$2:$H$252,8,0),"")</f>
        <v>30</v>
      </c>
      <c r="H1794" s="22">
        <v>242.0</v>
      </c>
      <c r="I1794" s="23">
        <f>IFERROR(VLOOKUP(B1794,DADOS!$A$2:$H$252,4,0)*H1794,"")</f>
        <v>4.14304</v>
      </c>
      <c r="J1794" s="24">
        <v>4.0</v>
      </c>
      <c r="K1794" s="25">
        <f>IFERROR(VLOOKUP(B1794,DADOS!$A$2:$H$252,4,0)*J1794,"")</f>
        <v>0.06848</v>
      </c>
      <c r="L1794" s="26">
        <f t="shared" si="23"/>
        <v>0</v>
      </c>
      <c r="M1794" s="27"/>
      <c r="N1794" s="30"/>
      <c r="O1794" s="28"/>
      <c r="P1794" s="28"/>
      <c r="Q1794" s="28"/>
      <c r="R1794" s="28"/>
      <c r="S1794" s="28"/>
    </row>
    <row r="1795">
      <c r="A1795" s="17">
        <v>45937.0</v>
      </c>
      <c r="B1795" s="18" t="s">
        <v>119</v>
      </c>
      <c r="C1795" s="18" t="s">
        <v>165</v>
      </c>
      <c r="D1795" s="19"/>
      <c r="E1795" s="19"/>
      <c r="F1795" s="20">
        <f t="shared" si="24"/>
        <v>0</v>
      </c>
      <c r="G1795" s="67">
        <f>IFERROR(VLOOKUP(B1795,DADOS!$A$2:$H$252,8,0),"")</f>
        <v>25</v>
      </c>
      <c r="H1795" s="22">
        <v>42.0</v>
      </c>
      <c r="I1795" s="23">
        <f>IFERROR(VLOOKUP(B1795,DADOS!$A$2:$H$252,4,0)*H1795,"")</f>
        <v>5.4682992</v>
      </c>
      <c r="J1795" s="24">
        <v>1.0</v>
      </c>
      <c r="K1795" s="25">
        <f>IFERROR(VLOOKUP(B1795,DADOS!$A$2:$H$252,4,0)*J1795,"")</f>
        <v>0.1301976</v>
      </c>
      <c r="L1795" s="26">
        <f t="shared" si="23"/>
        <v>0</v>
      </c>
      <c r="M1795" s="27"/>
      <c r="N1795" s="30"/>
      <c r="O1795" s="28"/>
      <c r="P1795" s="28"/>
      <c r="Q1795" s="28"/>
      <c r="R1795" s="28"/>
      <c r="S1795" s="28"/>
    </row>
    <row r="1796">
      <c r="A1796" s="17">
        <v>45937.0</v>
      </c>
      <c r="B1796" s="18" t="s">
        <v>186</v>
      </c>
      <c r="C1796" s="18" t="s">
        <v>165</v>
      </c>
      <c r="D1796" s="19"/>
      <c r="E1796" s="19"/>
      <c r="F1796" s="20">
        <f t="shared" si="24"/>
        <v>0</v>
      </c>
      <c r="G1796" s="67">
        <f>IFERROR(VLOOKUP(B1796,DADOS!$A$2:$H$252,8,0),"")</f>
        <v>25</v>
      </c>
      <c r="H1796" s="22">
        <v>1.0</v>
      </c>
      <c r="I1796" s="23">
        <f>IFERROR(VLOOKUP(B1796,DADOS!$A$2:$H$252,4,0)*H1796,"")</f>
        <v>0.277344</v>
      </c>
      <c r="J1796" s="24">
        <v>3.0</v>
      </c>
      <c r="K1796" s="25">
        <f>IFERROR(VLOOKUP(B1796,DADOS!$A$2:$H$252,4,0)*J1796,"")</f>
        <v>0.832032</v>
      </c>
      <c r="L1796" s="26">
        <f t="shared" si="23"/>
        <v>0</v>
      </c>
      <c r="M1796" s="27"/>
      <c r="N1796" s="30"/>
      <c r="O1796" s="28"/>
      <c r="P1796" s="28"/>
      <c r="Q1796" s="28"/>
      <c r="R1796" s="28"/>
      <c r="S1796" s="28"/>
    </row>
    <row r="1797">
      <c r="A1797" s="17">
        <v>45938.0</v>
      </c>
      <c r="B1797" s="18" t="s">
        <v>206</v>
      </c>
      <c r="C1797" s="18" t="s">
        <v>166</v>
      </c>
      <c r="D1797" s="19">
        <v>0.3333333333333333</v>
      </c>
      <c r="E1797" s="19">
        <v>0.4791666666666667</v>
      </c>
      <c r="F1797" s="20">
        <f t="shared" si="24"/>
        <v>0.1458333333</v>
      </c>
      <c r="G1797" s="67">
        <f>IFERROR(VLOOKUP(B1797,DADOS!$A$2:$H$252,8,0),"")</f>
        <v>11</v>
      </c>
      <c r="H1797" s="22">
        <v>40.0</v>
      </c>
      <c r="I1797" s="23">
        <f>IFERROR(VLOOKUP(B1797,DADOS!$A$2:$H$252,4,0)*H1797,"")</f>
        <v>0</v>
      </c>
      <c r="J1797" s="36"/>
      <c r="K1797" s="25">
        <f>IFERROR(VLOOKUP(B1797,DADOS!$A$2:$H$252,4,0)*J1797,"")</f>
        <v>0</v>
      </c>
      <c r="L1797" s="26" t="str">
        <f t="shared" si="23"/>
        <v/>
      </c>
      <c r="M1797" s="27"/>
      <c r="N1797" s="30"/>
      <c r="O1797" s="28"/>
      <c r="P1797" s="28"/>
      <c r="Q1797" s="28"/>
      <c r="R1797" s="28"/>
      <c r="S1797" s="28"/>
    </row>
    <row r="1798">
      <c r="A1798" s="17">
        <v>45938.0</v>
      </c>
      <c r="B1798" s="18" t="s">
        <v>27</v>
      </c>
      <c r="C1798" s="18" t="s">
        <v>19</v>
      </c>
      <c r="D1798" s="19"/>
      <c r="E1798" s="19"/>
      <c r="F1798" s="20">
        <f t="shared" si="24"/>
        <v>0</v>
      </c>
      <c r="G1798" s="67">
        <f>IFERROR(VLOOKUP(B1798,DADOS!$A$2:$H$252,8,0),"")</f>
        <v>30</v>
      </c>
      <c r="H1798" s="22">
        <v>40.0</v>
      </c>
      <c r="I1798" s="23">
        <f>IFERROR(VLOOKUP(B1798,DADOS!$A$2:$H$252,4,0)*H1798,"")</f>
        <v>0.6848</v>
      </c>
      <c r="J1798" s="36"/>
      <c r="K1798" s="25">
        <f>IFERROR(VLOOKUP(B1798,DADOS!$A$2:$H$252,4,0)*J1798,"")</f>
        <v>0</v>
      </c>
      <c r="L1798" s="26">
        <f t="shared" si="23"/>
        <v>0</v>
      </c>
      <c r="M1798" s="27"/>
      <c r="N1798" s="30"/>
      <c r="O1798" s="28"/>
      <c r="P1798" s="28"/>
      <c r="Q1798" s="28"/>
      <c r="R1798" s="28"/>
      <c r="S1798" s="28"/>
    </row>
    <row r="1799">
      <c r="A1799" s="17">
        <v>45938.0</v>
      </c>
      <c r="B1799" s="18" t="s">
        <v>57</v>
      </c>
      <c r="C1799" s="18" t="s">
        <v>65</v>
      </c>
      <c r="D1799" s="19"/>
      <c r="E1799" s="19"/>
      <c r="F1799" s="20">
        <f t="shared" si="24"/>
        <v>0</v>
      </c>
      <c r="G1799" s="67">
        <f>IFERROR(VLOOKUP(B1799,DADOS!$A$2:$H$252,8,0),"")</f>
        <v>100</v>
      </c>
      <c r="H1799" s="22">
        <v>50.0</v>
      </c>
      <c r="I1799" s="23">
        <f>IFERROR(VLOOKUP(B1799,DADOS!$A$2:$H$252,4,0)*H1799,"")</f>
        <v>0.856</v>
      </c>
      <c r="J1799" s="24">
        <v>1.0</v>
      </c>
      <c r="K1799" s="25">
        <f>IFERROR(VLOOKUP(B1799,DADOS!$A$2:$H$252,4,0)*J1799,"")</f>
        <v>0.01712</v>
      </c>
      <c r="L1799" s="26">
        <f t="shared" si="23"/>
        <v>0</v>
      </c>
      <c r="M1799" s="27"/>
      <c r="N1799" s="30"/>
      <c r="O1799" s="28"/>
      <c r="P1799" s="28"/>
      <c r="Q1799" s="28"/>
      <c r="R1799" s="28"/>
      <c r="S1799" s="28"/>
    </row>
    <row r="1800">
      <c r="A1800" s="17">
        <v>45938.0</v>
      </c>
      <c r="B1800" s="18" t="s">
        <v>186</v>
      </c>
      <c r="C1800" s="18" t="s">
        <v>165</v>
      </c>
      <c r="D1800" s="19"/>
      <c r="E1800" s="19"/>
      <c r="F1800" s="20">
        <f t="shared" si="24"/>
        <v>0</v>
      </c>
      <c r="G1800" s="67">
        <f>IFERROR(VLOOKUP(B1800,DADOS!$A$2:$H$252,8,0),"")</f>
        <v>25</v>
      </c>
      <c r="H1800" s="22">
        <v>88.0</v>
      </c>
      <c r="I1800" s="23">
        <f>IFERROR(VLOOKUP(B1800,DADOS!$A$2:$H$252,4,0)*H1800,"")</f>
        <v>24.406272</v>
      </c>
      <c r="J1800" s="24">
        <v>5.0</v>
      </c>
      <c r="K1800" s="25">
        <f>IFERROR(VLOOKUP(B1800,DADOS!$A$2:$H$252,4,0)*J1800,"")</f>
        <v>1.38672</v>
      </c>
      <c r="L1800" s="26">
        <f t="shared" si="23"/>
        <v>0</v>
      </c>
      <c r="M1800" s="27"/>
      <c r="N1800" s="30"/>
      <c r="O1800" s="28"/>
      <c r="P1800" s="28"/>
      <c r="Q1800" s="28"/>
      <c r="R1800" s="28"/>
      <c r="S1800" s="28"/>
    </row>
    <row r="1801">
      <c r="A1801" s="17">
        <v>45939.0</v>
      </c>
      <c r="B1801" s="18" t="s">
        <v>22</v>
      </c>
      <c r="C1801" s="18" t="s">
        <v>166</v>
      </c>
      <c r="D1801" s="19"/>
      <c r="E1801" s="19"/>
      <c r="F1801" s="20">
        <f t="shared" si="24"/>
        <v>0</v>
      </c>
      <c r="G1801" s="67">
        <f>IFERROR(VLOOKUP(B1801,DADOS!$A$2:$H$252,8,0),"")</f>
        <v>15</v>
      </c>
      <c r="H1801" s="22">
        <v>40.0</v>
      </c>
      <c r="I1801" s="23">
        <f>IFERROR(VLOOKUP(B1801,DADOS!$A$2:$H$252,4,0)*H1801,"")</f>
        <v>24.491016</v>
      </c>
      <c r="J1801" s="36"/>
      <c r="K1801" s="25">
        <f>IFERROR(VLOOKUP(B1801,DADOS!$A$2:$H$252,4,0)*J1801,"")</f>
        <v>0</v>
      </c>
      <c r="L1801" s="26">
        <f t="shared" si="23"/>
        <v>0</v>
      </c>
      <c r="M1801" s="27"/>
      <c r="N1801" s="30"/>
      <c r="O1801" s="28"/>
      <c r="P1801" s="28"/>
      <c r="Q1801" s="28"/>
      <c r="R1801" s="28"/>
      <c r="S1801" s="28"/>
    </row>
    <row r="1802">
      <c r="A1802" s="17">
        <v>45939.0</v>
      </c>
      <c r="B1802" s="18" t="s">
        <v>114</v>
      </c>
      <c r="C1802" s="18" t="s">
        <v>166</v>
      </c>
      <c r="D1802" s="19"/>
      <c r="E1802" s="19"/>
      <c r="F1802" s="20">
        <f t="shared" si="24"/>
        <v>0</v>
      </c>
      <c r="G1802" s="67">
        <f>IFERROR(VLOOKUP(B1802,DADOS!$A$2:$H$252,8,0),"")</f>
        <v>17</v>
      </c>
      <c r="H1802" s="22">
        <v>10.0</v>
      </c>
      <c r="I1802" s="23">
        <f>IFERROR(VLOOKUP(B1802,DADOS!$A$2:$H$252,4,0)*H1802,"")</f>
        <v>6.122754</v>
      </c>
      <c r="J1802" s="36"/>
      <c r="K1802" s="25">
        <f>IFERROR(VLOOKUP(B1802,DADOS!$A$2:$H$252,4,0)*J1802,"")</f>
        <v>0</v>
      </c>
      <c r="L1802" s="26">
        <f t="shared" si="23"/>
        <v>0</v>
      </c>
      <c r="M1802" s="27"/>
      <c r="N1802" s="30"/>
      <c r="O1802" s="28"/>
      <c r="P1802" s="28"/>
      <c r="Q1802" s="28"/>
      <c r="R1802" s="28"/>
      <c r="S1802" s="28"/>
    </row>
    <row r="1803">
      <c r="A1803" s="17">
        <v>45940.0</v>
      </c>
      <c r="B1803" s="18" t="s">
        <v>207</v>
      </c>
      <c r="C1803" s="18" t="s">
        <v>19</v>
      </c>
      <c r="D1803" s="19"/>
      <c r="E1803" s="19"/>
      <c r="F1803" s="20">
        <f t="shared" si="24"/>
        <v>0</v>
      </c>
      <c r="G1803" s="67">
        <f>IFERROR(VLOOKUP(B1803,DADOS!$A$2:$H$252,8,0),"")</f>
        <v>100</v>
      </c>
      <c r="H1803" s="22">
        <v>62.0</v>
      </c>
      <c r="I1803" s="23">
        <f>IFERROR(VLOOKUP(B1803,DADOS!$A$2:$H$252,4,0)*H1803,"")</f>
        <v>1.1237996</v>
      </c>
      <c r="J1803" s="24">
        <v>4.0</v>
      </c>
      <c r="K1803" s="25">
        <f>IFERROR(VLOOKUP(B1803,DADOS!$A$2:$H$252,4,0)*J1803,"")</f>
        <v>0.0725032</v>
      </c>
      <c r="L1803" s="26">
        <f t="shared" si="23"/>
        <v>0</v>
      </c>
      <c r="M1803" s="27"/>
      <c r="N1803" s="30"/>
      <c r="O1803" s="28"/>
      <c r="P1803" s="28"/>
      <c r="Q1803" s="28"/>
      <c r="R1803" s="28"/>
      <c r="S1803" s="28"/>
    </row>
    <row r="1804">
      <c r="A1804" s="17">
        <v>45940.0</v>
      </c>
      <c r="B1804" s="18" t="s">
        <v>57</v>
      </c>
      <c r="C1804" s="18" t="s">
        <v>65</v>
      </c>
      <c r="D1804" s="19"/>
      <c r="E1804" s="19"/>
      <c r="F1804" s="20">
        <f t="shared" si="24"/>
        <v>0</v>
      </c>
      <c r="G1804" s="67">
        <f>IFERROR(VLOOKUP(B1804,DADOS!$A$2:$H$252,8,0),"")</f>
        <v>100</v>
      </c>
      <c r="H1804" s="22">
        <v>235.0</v>
      </c>
      <c r="I1804" s="23">
        <f>IFERROR(VLOOKUP(B1804,DADOS!$A$2:$H$252,4,0)*H1804,"")</f>
        <v>4.0232</v>
      </c>
      <c r="J1804" s="36"/>
      <c r="K1804" s="25">
        <f>IFERROR(VLOOKUP(B1804,DADOS!$A$2:$H$252,4,0)*J1804,"")</f>
        <v>0</v>
      </c>
      <c r="L1804" s="26">
        <f t="shared" si="23"/>
        <v>0</v>
      </c>
      <c r="M1804" s="27"/>
      <c r="N1804" s="30"/>
      <c r="O1804" s="28"/>
      <c r="P1804" s="28"/>
      <c r="Q1804" s="28"/>
      <c r="R1804" s="28"/>
      <c r="S1804" s="28"/>
    </row>
    <row r="1805">
      <c r="A1805" s="17">
        <v>45940.0</v>
      </c>
      <c r="B1805" s="18" t="s">
        <v>57</v>
      </c>
      <c r="C1805" s="18" t="s">
        <v>65</v>
      </c>
      <c r="D1805" s="19"/>
      <c r="E1805" s="19"/>
      <c r="F1805" s="20">
        <f t="shared" si="24"/>
        <v>0</v>
      </c>
      <c r="G1805" s="67">
        <f>IFERROR(VLOOKUP(B1805,DADOS!$A$2:$H$252,8,0),"")</f>
        <v>100</v>
      </c>
      <c r="H1805" s="22">
        <v>49.0</v>
      </c>
      <c r="I1805" s="23">
        <f>IFERROR(VLOOKUP(B1805,DADOS!$A$2:$H$252,4,0)*H1805,"")</f>
        <v>0.83888</v>
      </c>
      <c r="J1805" s="36"/>
      <c r="K1805" s="25">
        <f>IFERROR(VLOOKUP(B1805,DADOS!$A$2:$H$252,4,0)*J1805,"")</f>
        <v>0</v>
      </c>
      <c r="L1805" s="26">
        <f t="shared" si="23"/>
        <v>0</v>
      </c>
      <c r="M1805" s="27"/>
      <c r="N1805" s="30"/>
      <c r="O1805" s="28"/>
      <c r="P1805" s="28"/>
      <c r="Q1805" s="28"/>
      <c r="R1805" s="28"/>
      <c r="S1805" s="28"/>
    </row>
    <row r="1806">
      <c r="A1806" s="17">
        <v>45940.0</v>
      </c>
      <c r="B1806" s="18" t="s">
        <v>161</v>
      </c>
      <c r="C1806" s="18" t="s">
        <v>165</v>
      </c>
      <c r="D1806" s="19"/>
      <c r="E1806" s="19"/>
      <c r="F1806" s="20">
        <f t="shared" si="24"/>
        <v>0</v>
      </c>
      <c r="G1806" s="67">
        <f>IFERROR(VLOOKUP(B1806,DADOS!$A$2:$H$252,8,0),"")</f>
        <v>22</v>
      </c>
      <c r="H1806" s="22">
        <v>18.0</v>
      </c>
      <c r="I1806" s="23">
        <f>IFERROR(VLOOKUP(B1806,DADOS!$A$2:$H$252,4,0)*H1806,"")</f>
        <v>1.390572</v>
      </c>
      <c r="J1806" s="24">
        <v>1.0</v>
      </c>
      <c r="K1806" s="25">
        <f>IFERROR(VLOOKUP(B1806,DADOS!$A$2:$H$252,4,0)*J1806,"")</f>
        <v>0.077254</v>
      </c>
      <c r="L1806" s="26">
        <f t="shared" si="23"/>
        <v>0</v>
      </c>
      <c r="M1806" s="27"/>
      <c r="N1806" s="30"/>
      <c r="O1806" s="28"/>
      <c r="P1806" s="28"/>
      <c r="Q1806" s="28"/>
      <c r="R1806" s="28"/>
      <c r="S1806" s="28"/>
    </row>
    <row r="1807">
      <c r="A1807" s="17">
        <v>45940.0</v>
      </c>
      <c r="B1807" s="18" t="s">
        <v>145</v>
      </c>
      <c r="C1807" s="18" t="s">
        <v>165</v>
      </c>
      <c r="D1807" s="19"/>
      <c r="E1807" s="19"/>
      <c r="F1807" s="20">
        <f t="shared" si="24"/>
        <v>0</v>
      </c>
      <c r="G1807" s="67">
        <f>IFERROR(VLOOKUP(B1807,DADOS!$A$2:$H$252,8,0),"")</f>
        <v>43</v>
      </c>
      <c r="H1807" s="22">
        <v>50.0</v>
      </c>
      <c r="I1807" s="23">
        <f>IFERROR(VLOOKUP(B1807,DADOS!$A$2:$H$252,4,0)*H1807,"")</f>
        <v>10.593</v>
      </c>
      <c r="J1807" s="36"/>
      <c r="K1807" s="25">
        <f>IFERROR(VLOOKUP(B1807,DADOS!$A$2:$H$252,4,0)*J1807,"")</f>
        <v>0</v>
      </c>
      <c r="L1807" s="26">
        <f t="shared" si="23"/>
        <v>0</v>
      </c>
      <c r="M1807" s="27"/>
      <c r="N1807" s="30"/>
      <c r="O1807" s="28"/>
      <c r="P1807" s="28"/>
      <c r="Q1807" s="28"/>
      <c r="R1807" s="28"/>
      <c r="S1807" s="28"/>
    </row>
    <row r="1808">
      <c r="A1808" s="17">
        <v>45941.0</v>
      </c>
      <c r="B1808" s="18" t="s">
        <v>71</v>
      </c>
      <c r="C1808" s="18" t="s">
        <v>193</v>
      </c>
      <c r="D1808" s="19"/>
      <c r="E1808" s="19"/>
      <c r="F1808" s="20">
        <f t="shared" si="24"/>
        <v>0</v>
      </c>
      <c r="G1808" s="67">
        <f>IFERROR(VLOOKUP(B1808,DADOS!$A$2:$H$252,8,0),"")</f>
        <v>7</v>
      </c>
      <c r="H1808" s="22">
        <v>38.0</v>
      </c>
      <c r="I1808" s="23">
        <f>IFERROR(VLOOKUP(B1808,DADOS!$A$2:$H$252,4,0)*H1808,"")</f>
        <v>53.2914356</v>
      </c>
      <c r="J1808" s="36"/>
      <c r="K1808" s="25">
        <f>IFERROR(VLOOKUP(B1808,DADOS!$A$2:$H$252,4,0)*J1808,"")</f>
        <v>0</v>
      </c>
      <c r="L1808" s="26">
        <f t="shared" si="23"/>
        <v>0</v>
      </c>
      <c r="M1808" s="27"/>
      <c r="N1808" s="30"/>
      <c r="O1808" s="28"/>
      <c r="P1808" s="28"/>
      <c r="Q1808" s="28"/>
      <c r="R1808" s="28"/>
      <c r="S1808" s="28"/>
    </row>
    <row r="1809">
      <c r="A1809" s="17">
        <v>45941.0</v>
      </c>
      <c r="B1809" s="18" t="s">
        <v>26</v>
      </c>
      <c r="C1809" s="18" t="s">
        <v>193</v>
      </c>
      <c r="D1809" s="19"/>
      <c r="E1809" s="19"/>
      <c r="F1809" s="20">
        <f t="shared" si="24"/>
        <v>0</v>
      </c>
      <c r="G1809" s="67">
        <f>IFERROR(VLOOKUP(B1809,DADOS!$A$2:$H$252,8,0),"")</f>
        <v>50</v>
      </c>
      <c r="H1809" s="22">
        <v>32.0</v>
      </c>
      <c r="I1809" s="23">
        <f>IFERROR(VLOOKUP(B1809,DADOS!$A$2:$H$252,4,0)*H1809,"")</f>
        <v>3.6458752</v>
      </c>
      <c r="J1809" s="36"/>
      <c r="K1809" s="25">
        <f>IFERROR(VLOOKUP(B1809,DADOS!$A$2:$H$252,4,0)*J1809,"")</f>
        <v>0</v>
      </c>
      <c r="L1809" s="26">
        <f t="shared" si="23"/>
        <v>0</v>
      </c>
      <c r="M1809" s="27"/>
      <c r="N1809" s="30"/>
      <c r="O1809" s="28"/>
      <c r="P1809" s="28"/>
      <c r="Q1809" s="28"/>
      <c r="R1809" s="28"/>
      <c r="S1809" s="28"/>
    </row>
    <row r="1810">
      <c r="A1810" s="17">
        <v>45943.0</v>
      </c>
      <c r="B1810" s="18" t="s">
        <v>160</v>
      </c>
      <c r="C1810" s="18" t="s">
        <v>166</v>
      </c>
      <c r="D1810" s="19">
        <v>0.3194444444444444</v>
      </c>
      <c r="E1810" s="19"/>
      <c r="F1810" s="20">
        <f t="shared" si="24"/>
        <v>-0.3194444444</v>
      </c>
      <c r="G1810" s="67">
        <f>IFERROR(VLOOKUP(B1810,DADOS!$A$2:$H$252,8,0),"")</f>
        <v>18</v>
      </c>
      <c r="H1810" s="22">
        <v>50.0</v>
      </c>
      <c r="I1810" s="23">
        <f>IFERROR(VLOOKUP(B1810,DADOS!$A$2:$H$252,4,0)*H1810,"")</f>
        <v>13.8672</v>
      </c>
      <c r="J1810" s="36"/>
      <c r="K1810" s="25">
        <f>IFERROR(VLOOKUP(B1810,DADOS!$A$2:$H$252,4,0)*J1810,"")</f>
        <v>0</v>
      </c>
      <c r="L1810" s="26">
        <f t="shared" si="23"/>
        <v>0</v>
      </c>
      <c r="M1810" s="27"/>
      <c r="N1810" s="30"/>
      <c r="O1810" s="28"/>
      <c r="P1810" s="28"/>
      <c r="Q1810" s="28"/>
      <c r="R1810" s="28"/>
      <c r="S1810" s="28"/>
    </row>
    <row r="1811">
      <c r="A1811" s="17">
        <v>45943.0</v>
      </c>
      <c r="B1811" s="18" t="s">
        <v>180</v>
      </c>
      <c r="C1811" s="18" t="s">
        <v>166</v>
      </c>
      <c r="D1811" s="19"/>
      <c r="E1811" s="19">
        <v>0.5034722222222222</v>
      </c>
      <c r="F1811" s="20">
        <f t="shared" si="24"/>
        <v>0.5034722222</v>
      </c>
      <c r="G1811" s="67" t="str">
        <f>IFERROR(VLOOKUP(B1811,DADOS!$A$2:$H$252,8,0),"")</f>
        <v/>
      </c>
      <c r="H1811" s="22">
        <v>52.0</v>
      </c>
      <c r="I1811" s="23">
        <f>IFERROR(VLOOKUP(B1811,DADOS!$A$2:$H$252,4,0)*H1811,"")</f>
        <v>0</v>
      </c>
      <c r="J1811" s="36"/>
      <c r="K1811" s="25">
        <f>IFERROR(VLOOKUP(B1811,DADOS!$A$2:$H$252,4,0)*J1811,"")</f>
        <v>0</v>
      </c>
      <c r="L1811" s="26" t="str">
        <f t="shared" si="23"/>
        <v/>
      </c>
      <c r="M1811" s="27"/>
      <c r="N1811" s="30"/>
      <c r="O1811" s="28"/>
      <c r="P1811" s="28"/>
      <c r="Q1811" s="28"/>
      <c r="R1811" s="28"/>
      <c r="S1811" s="28"/>
    </row>
    <row r="1812">
      <c r="A1812" s="17">
        <v>45944.0</v>
      </c>
      <c r="B1812" s="18" t="s">
        <v>44</v>
      </c>
      <c r="C1812" s="18" t="s">
        <v>166</v>
      </c>
      <c r="D1812" s="19"/>
      <c r="E1812" s="19"/>
      <c r="F1812" s="20">
        <f t="shared" si="24"/>
        <v>0</v>
      </c>
      <c r="G1812" s="67">
        <f>IFERROR(VLOOKUP(B1812,DADOS!$A$2:$H$252,8,0),"")</f>
        <v>15</v>
      </c>
      <c r="H1812" s="22">
        <v>18.0</v>
      </c>
      <c r="I1812" s="23">
        <f>IFERROR(VLOOKUP(B1812,DADOS!$A$2:$H$252,4,0)*H1812,"")</f>
        <v>3.3219648</v>
      </c>
      <c r="J1812" s="36"/>
      <c r="K1812" s="25">
        <f>IFERROR(VLOOKUP(B1812,DADOS!$A$2:$H$252,4,0)*J1812,"")</f>
        <v>0</v>
      </c>
      <c r="L1812" s="26">
        <f t="shared" si="23"/>
        <v>0</v>
      </c>
      <c r="M1812" s="27"/>
      <c r="N1812" s="30"/>
      <c r="O1812" s="28"/>
      <c r="P1812" s="28"/>
      <c r="Q1812" s="28"/>
      <c r="R1812" s="28"/>
      <c r="S1812" s="28"/>
    </row>
    <row r="1813">
      <c r="A1813" s="17">
        <v>45944.0</v>
      </c>
      <c r="B1813" s="18" t="s">
        <v>208</v>
      </c>
      <c r="C1813" s="18" t="s">
        <v>166</v>
      </c>
      <c r="D1813" s="19"/>
      <c r="E1813" s="19"/>
      <c r="F1813" s="20">
        <f t="shared" si="24"/>
        <v>0</v>
      </c>
      <c r="G1813" s="67">
        <f>IFERROR(VLOOKUP(B1813,DADOS!$A$2:$H$252,8,0),"")</f>
        <v>8</v>
      </c>
      <c r="H1813" s="22">
        <v>24.0</v>
      </c>
      <c r="I1813" s="23">
        <f>IFERROR(VLOOKUP(B1813,DADOS!$A$2:$H$252,4,0)*H1813,"")</f>
        <v>2.7344064</v>
      </c>
      <c r="J1813" s="36"/>
      <c r="K1813" s="25">
        <f>IFERROR(VLOOKUP(B1813,DADOS!$A$2:$H$252,4,0)*J1813,"")</f>
        <v>0</v>
      </c>
      <c r="L1813" s="26">
        <f t="shared" si="23"/>
        <v>0</v>
      </c>
      <c r="M1813" s="27"/>
      <c r="N1813" s="30"/>
      <c r="O1813" s="28"/>
      <c r="P1813" s="28"/>
      <c r="Q1813" s="28"/>
      <c r="R1813" s="28"/>
      <c r="S1813" s="28"/>
    </row>
    <row r="1814">
      <c r="A1814" s="17">
        <v>45944.0</v>
      </c>
      <c r="B1814" s="18" t="s">
        <v>16</v>
      </c>
      <c r="C1814" s="18" t="s">
        <v>65</v>
      </c>
      <c r="D1814" s="19"/>
      <c r="E1814" s="19"/>
      <c r="F1814" s="20">
        <f t="shared" si="24"/>
        <v>0</v>
      </c>
      <c r="G1814" s="67">
        <f>IFERROR(VLOOKUP(B1814,DADOS!$A$2:$H$252,8,0),"")</f>
        <v>150</v>
      </c>
      <c r="H1814" s="22">
        <v>615.0</v>
      </c>
      <c r="I1814" s="23">
        <f>IFERROR(VLOOKUP(B1814,DADOS!$A$2:$H$252,4,0)*H1814,"")</f>
        <v>17.793672</v>
      </c>
      <c r="J1814" s="36"/>
      <c r="K1814" s="25">
        <f>IFERROR(VLOOKUP(B1814,DADOS!$A$2:$H$252,4,0)*J1814,"")</f>
        <v>0</v>
      </c>
      <c r="L1814" s="26">
        <f t="shared" si="23"/>
        <v>0</v>
      </c>
      <c r="M1814" s="27"/>
      <c r="N1814" s="30"/>
      <c r="O1814" s="28"/>
      <c r="P1814" s="28"/>
      <c r="Q1814" s="28"/>
      <c r="R1814" s="28"/>
      <c r="S1814" s="28"/>
    </row>
    <row r="1815">
      <c r="A1815" s="17">
        <v>45944.0</v>
      </c>
      <c r="B1815" s="18" t="s">
        <v>157</v>
      </c>
      <c r="C1815" s="18" t="s">
        <v>165</v>
      </c>
      <c r="D1815" s="19"/>
      <c r="E1815" s="19"/>
      <c r="F1815" s="20">
        <f t="shared" si="24"/>
        <v>0</v>
      </c>
      <c r="G1815" s="67">
        <f>IFERROR(VLOOKUP(B1815,DADOS!$A$2:$H$252,8,0),"")</f>
        <v>37</v>
      </c>
      <c r="H1815" s="22">
        <v>42.0</v>
      </c>
      <c r="I1815" s="23">
        <f>IFERROR(VLOOKUP(B1815,DADOS!$A$2:$H$252,4,0)*H1815,"")</f>
        <v>4.7852112</v>
      </c>
      <c r="J1815" s="36"/>
      <c r="K1815" s="25">
        <f>IFERROR(VLOOKUP(B1815,DADOS!$A$2:$H$252,4,0)*J1815,"")</f>
        <v>0</v>
      </c>
      <c r="L1815" s="26">
        <f t="shared" si="23"/>
        <v>0</v>
      </c>
      <c r="M1815" s="27"/>
      <c r="N1815" s="30"/>
      <c r="O1815" s="28"/>
      <c r="P1815" s="28"/>
      <c r="Q1815" s="28"/>
      <c r="R1815" s="28"/>
      <c r="S1815" s="28"/>
    </row>
    <row r="1816">
      <c r="A1816" s="17">
        <v>45944.0</v>
      </c>
      <c r="B1816" s="18" t="s">
        <v>209</v>
      </c>
      <c r="C1816" s="18" t="s">
        <v>165</v>
      </c>
      <c r="D1816" s="19"/>
      <c r="E1816" s="19"/>
      <c r="F1816" s="20">
        <f t="shared" si="24"/>
        <v>0</v>
      </c>
      <c r="G1816" s="67">
        <f>IFERROR(VLOOKUP(B1816,DADOS!$A$2:$H$252,8,0),"")</f>
        <v>25</v>
      </c>
      <c r="H1816" s="22">
        <v>23.0</v>
      </c>
      <c r="I1816" s="23">
        <f>IFERROR(VLOOKUP(B1816,DADOS!$A$2:$H$252,4,0)*H1816,"")</f>
        <v>1.57504</v>
      </c>
      <c r="J1816" s="36"/>
      <c r="K1816" s="25">
        <f>IFERROR(VLOOKUP(B1816,DADOS!$A$2:$H$252,4,0)*J1816,"")</f>
        <v>0</v>
      </c>
      <c r="L1816" s="26">
        <f t="shared" si="23"/>
        <v>0</v>
      </c>
      <c r="M1816" s="27"/>
      <c r="N1816" s="30"/>
      <c r="O1816" s="28"/>
      <c r="P1816" s="28"/>
      <c r="Q1816" s="28"/>
      <c r="R1816" s="28"/>
      <c r="S1816" s="28"/>
    </row>
    <row r="1817">
      <c r="A1817" s="17">
        <v>45944.0</v>
      </c>
      <c r="B1817" s="18" t="s">
        <v>209</v>
      </c>
      <c r="C1817" s="18" t="s">
        <v>165</v>
      </c>
      <c r="D1817" s="19"/>
      <c r="E1817" s="19"/>
      <c r="F1817" s="20">
        <f t="shared" si="24"/>
        <v>0</v>
      </c>
      <c r="G1817" s="67">
        <f>IFERROR(VLOOKUP(B1817,DADOS!$A$2:$H$252,8,0),"")</f>
        <v>25</v>
      </c>
      <c r="H1817" s="22">
        <v>25.0</v>
      </c>
      <c r="I1817" s="23">
        <f>IFERROR(VLOOKUP(B1817,DADOS!$A$2:$H$252,4,0)*H1817,"")</f>
        <v>1.712</v>
      </c>
      <c r="J1817" s="24">
        <v>2.0</v>
      </c>
      <c r="K1817" s="25">
        <f>IFERROR(VLOOKUP(B1817,DADOS!$A$2:$H$252,4,0)*J1817,"")</f>
        <v>0.13696</v>
      </c>
      <c r="L1817" s="26">
        <f t="shared" si="23"/>
        <v>0</v>
      </c>
      <c r="M1817" s="27"/>
      <c r="N1817" s="30"/>
      <c r="O1817" s="28"/>
      <c r="P1817" s="28"/>
      <c r="Q1817" s="28"/>
      <c r="R1817" s="28"/>
      <c r="S1817" s="28"/>
    </row>
    <row r="1818">
      <c r="A1818" s="17">
        <v>45944.0</v>
      </c>
      <c r="B1818" s="18" t="s">
        <v>18</v>
      </c>
      <c r="C1818" s="18" t="s">
        <v>165</v>
      </c>
      <c r="D1818" s="19"/>
      <c r="E1818" s="19"/>
      <c r="F1818" s="20">
        <f t="shared" si="24"/>
        <v>0</v>
      </c>
      <c r="G1818" s="67">
        <f>IFERROR(VLOOKUP(B1818,DADOS!$A$2:$H$252,8,0),"")</f>
        <v>21</v>
      </c>
      <c r="H1818" s="22">
        <v>51.0</v>
      </c>
      <c r="I1818" s="23">
        <f>IFERROR(VLOOKUP(B1818,DADOS!$A$2:$H$252,4,0)*H1818,"")</f>
        <v>14.941266</v>
      </c>
      <c r="J1818" s="24">
        <v>2.0</v>
      </c>
      <c r="K1818" s="25">
        <f>IFERROR(VLOOKUP(B1818,DADOS!$A$2:$H$252,4,0)*J1818,"")</f>
        <v>0.585932</v>
      </c>
      <c r="L1818" s="26">
        <f t="shared" si="23"/>
        <v>0</v>
      </c>
      <c r="M1818" s="27"/>
      <c r="N1818" s="30"/>
      <c r="O1818" s="28"/>
      <c r="P1818" s="28"/>
      <c r="Q1818" s="28"/>
      <c r="R1818" s="28"/>
      <c r="S1818" s="28"/>
    </row>
    <row r="1819">
      <c r="A1819" s="17">
        <v>45945.0</v>
      </c>
      <c r="B1819" s="18" t="s">
        <v>44</v>
      </c>
      <c r="C1819" s="18" t="s">
        <v>166</v>
      </c>
      <c r="D1819" s="19"/>
      <c r="E1819" s="19"/>
      <c r="F1819" s="20">
        <f t="shared" si="24"/>
        <v>0</v>
      </c>
      <c r="G1819" s="67">
        <f>IFERROR(VLOOKUP(B1819,DADOS!$A$2:$H$252,8,0),"")</f>
        <v>15</v>
      </c>
      <c r="H1819" s="22">
        <v>32.0</v>
      </c>
      <c r="I1819" s="23">
        <f>IFERROR(VLOOKUP(B1819,DADOS!$A$2:$H$252,4,0)*H1819,"")</f>
        <v>5.9057152</v>
      </c>
      <c r="J1819" s="36"/>
      <c r="K1819" s="25">
        <f>IFERROR(VLOOKUP(B1819,DADOS!$A$2:$H$252,4,0)*J1819,"")</f>
        <v>0</v>
      </c>
      <c r="L1819" s="26">
        <f t="shared" si="23"/>
        <v>0</v>
      </c>
      <c r="M1819" s="27"/>
      <c r="N1819" s="30"/>
      <c r="O1819" s="28"/>
      <c r="P1819" s="28"/>
      <c r="Q1819" s="28"/>
      <c r="R1819" s="28"/>
      <c r="S1819" s="28"/>
    </row>
    <row r="1820">
      <c r="A1820" s="17">
        <v>45945.0</v>
      </c>
      <c r="B1820" s="18" t="s">
        <v>16</v>
      </c>
      <c r="C1820" s="18" t="s">
        <v>65</v>
      </c>
      <c r="D1820" s="19"/>
      <c r="E1820" s="19"/>
      <c r="F1820" s="20">
        <f t="shared" si="24"/>
        <v>0</v>
      </c>
      <c r="G1820" s="67">
        <f>IFERROR(VLOOKUP(B1820,DADOS!$A$2:$H$252,8,0),"")</f>
        <v>150</v>
      </c>
      <c r="H1820" s="22">
        <v>449.0</v>
      </c>
      <c r="I1820" s="23">
        <f>IFERROR(VLOOKUP(B1820,DADOS!$A$2:$H$252,4,0)*H1820,"")</f>
        <v>12.9908272</v>
      </c>
      <c r="J1820" s="24">
        <v>5.0</v>
      </c>
      <c r="K1820" s="25">
        <f>IFERROR(VLOOKUP(B1820,DADOS!$A$2:$H$252,4,0)*J1820,"")</f>
        <v>0.144664</v>
      </c>
      <c r="L1820" s="26">
        <f t="shared" si="23"/>
        <v>0</v>
      </c>
      <c r="M1820" s="27"/>
      <c r="N1820" s="30"/>
      <c r="O1820" s="28"/>
      <c r="P1820" s="28"/>
      <c r="Q1820" s="28"/>
      <c r="R1820" s="28"/>
      <c r="S1820" s="28"/>
    </row>
    <row r="1821">
      <c r="A1821" s="17">
        <v>45945.0</v>
      </c>
      <c r="B1821" s="18" t="s">
        <v>18</v>
      </c>
      <c r="C1821" s="18" t="s">
        <v>165</v>
      </c>
      <c r="D1821" s="19"/>
      <c r="E1821" s="19"/>
      <c r="F1821" s="20">
        <f t="shared" si="24"/>
        <v>0</v>
      </c>
      <c r="G1821" s="67">
        <f>IFERROR(VLOOKUP(B1821,DADOS!$A$2:$H$252,8,0),"")</f>
        <v>21</v>
      </c>
      <c r="H1821" s="22">
        <v>46.0</v>
      </c>
      <c r="I1821" s="23">
        <f>IFERROR(VLOOKUP(B1821,DADOS!$A$2:$H$252,4,0)*H1821,"")</f>
        <v>13.476436</v>
      </c>
      <c r="J1821" s="24">
        <v>1.0</v>
      </c>
      <c r="K1821" s="25">
        <f>IFERROR(VLOOKUP(B1821,DADOS!$A$2:$H$252,4,0)*J1821,"")</f>
        <v>0.292966</v>
      </c>
      <c r="L1821" s="26">
        <f t="shared" si="23"/>
        <v>0</v>
      </c>
      <c r="M1821" s="27"/>
      <c r="N1821" s="30"/>
      <c r="O1821" s="28"/>
      <c r="P1821" s="28"/>
      <c r="Q1821" s="28"/>
      <c r="R1821" s="28"/>
      <c r="S1821" s="28"/>
    </row>
    <row r="1822">
      <c r="A1822" s="17">
        <v>45945.0</v>
      </c>
      <c r="B1822" s="18" t="s">
        <v>58</v>
      </c>
      <c r="C1822" s="18" t="s">
        <v>165</v>
      </c>
      <c r="D1822" s="19"/>
      <c r="E1822" s="19"/>
      <c r="F1822" s="20">
        <f t="shared" si="24"/>
        <v>0</v>
      </c>
      <c r="G1822" s="67">
        <f>IFERROR(VLOOKUP(B1822,DADOS!$A$2:$H$252,8,0),"")</f>
        <v>31</v>
      </c>
      <c r="H1822" s="22">
        <v>37.0</v>
      </c>
      <c r="I1822" s="23">
        <f>IFERROR(VLOOKUP(B1822,DADOS!$A$2:$H$252,4,0)*H1822,"")</f>
        <v>4.2155432</v>
      </c>
      <c r="J1822" s="24">
        <v>2.0</v>
      </c>
      <c r="K1822" s="25">
        <f>IFERROR(VLOOKUP(B1822,DADOS!$A$2:$H$252,4,0)*J1822,"")</f>
        <v>0.2278672</v>
      </c>
      <c r="L1822" s="26">
        <f t="shared" si="23"/>
        <v>0</v>
      </c>
      <c r="M1822" s="27"/>
      <c r="N1822" s="30"/>
      <c r="O1822" s="28"/>
      <c r="P1822" s="28"/>
      <c r="Q1822" s="28"/>
      <c r="R1822" s="28"/>
      <c r="S1822" s="28"/>
    </row>
    <row r="1823">
      <c r="A1823" s="17">
        <v>45946.0</v>
      </c>
      <c r="B1823" s="18" t="s">
        <v>178</v>
      </c>
      <c r="C1823" s="18" t="s">
        <v>166</v>
      </c>
      <c r="D1823" s="19"/>
      <c r="E1823" s="19"/>
      <c r="F1823" s="20">
        <f t="shared" si="24"/>
        <v>0</v>
      </c>
      <c r="G1823" s="67">
        <f>IFERROR(VLOOKUP(B1823,DADOS!$A$2:$H$252,8,0),"")</f>
        <v>35</v>
      </c>
      <c r="H1823" s="22">
        <v>50.0</v>
      </c>
      <c r="I1823" s="23">
        <f>IFERROR(VLOOKUP(B1823,DADOS!$A$2:$H$252,4,0)*H1823,"")</f>
        <v>10.593</v>
      </c>
      <c r="J1823" s="36"/>
      <c r="K1823" s="25">
        <f>IFERROR(VLOOKUP(B1823,DADOS!$A$2:$H$252,4,0)*J1823,"")</f>
        <v>0</v>
      </c>
      <c r="L1823" s="26">
        <f t="shared" si="23"/>
        <v>0</v>
      </c>
      <c r="M1823" s="27"/>
      <c r="N1823" s="30"/>
      <c r="O1823" s="28"/>
      <c r="P1823" s="28"/>
      <c r="Q1823" s="28"/>
      <c r="R1823" s="28"/>
      <c r="S1823" s="28"/>
    </row>
    <row r="1824">
      <c r="A1824" s="17">
        <v>45946.0</v>
      </c>
      <c r="B1824" s="18" t="s">
        <v>155</v>
      </c>
      <c r="C1824" s="18" t="s">
        <v>166</v>
      </c>
      <c r="D1824" s="19"/>
      <c r="E1824" s="19"/>
      <c r="F1824" s="20">
        <f t="shared" si="24"/>
        <v>0</v>
      </c>
      <c r="G1824" s="67">
        <f>IFERROR(VLOOKUP(B1824,DADOS!$A$2:$H$252,8,0),"")</f>
        <v>18</v>
      </c>
      <c r="H1824" s="22">
        <v>50.0</v>
      </c>
      <c r="I1824" s="23">
        <f>IFERROR(VLOOKUP(B1824,DADOS!$A$2:$H$252,4,0)*H1824,"")</f>
        <v>19.7843</v>
      </c>
      <c r="J1824" s="36"/>
      <c r="K1824" s="25">
        <f>IFERROR(VLOOKUP(B1824,DADOS!$A$2:$H$252,4,0)*J1824,"")</f>
        <v>0</v>
      </c>
      <c r="L1824" s="26">
        <f t="shared" si="23"/>
        <v>0</v>
      </c>
      <c r="M1824" s="27"/>
      <c r="N1824" s="30"/>
      <c r="O1824" s="28"/>
      <c r="P1824" s="28"/>
      <c r="Q1824" s="28"/>
      <c r="R1824" s="28"/>
      <c r="S1824" s="28"/>
    </row>
    <row r="1825">
      <c r="A1825" s="17">
        <v>45946.0</v>
      </c>
      <c r="B1825" s="18" t="s">
        <v>16</v>
      </c>
      <c r="C1825" s="18" t="s">
        <v>65</v>
      </c>
      <c r="D1825" s="19"/>
      <c r="E1825" s="19"/>
      <c r="F1825" s="20">
        <f t="shared" si="24"/>
        <v>0</v>
      </c>
      <c r="G1825" s="67">
        <f>IFERROR(VLOOKUP(B1825,DADOS!$A$2:$H$252,8,0),"")</f>
        <v>150</v>
      </c>
      <c r="H1825" s="22">
        <v>308.0</v>
      </c>
      <c r="I1825" s="23">
        <f>IFERROR(VLOOKUP(B1825,DADOS!$A$2:$H$252,4,0)*H1825,"")</f>
        <v>8.9113024</v>
      </c>
      <c r="J1825" s="36"/>
      <c r="K1825" s="25">
        <f>IFERROR(VLOOKUP(B1825,DADOS!$A$2:$H$252,4,0)*J1825,"")</f>
        <v>0</v>
      </c>
      <c r="L1825" s="26">
        <f t="shared" si="23"/>
        <v>0</v>
      </c>
      <c r="M1825" s="27"/>
      <c r="N1825" s="30"/>
      <c r="O1825" s="28"/>
      <c r="P1825" s="28"/>
      <c r="Q1825" s="28"/>
      <c r="R1825" s="28"/>
      <c r="S1825" s="28"/>
    </row>
    <row r="1826">
      <c r="A1826" s="17">
        <v>45946.0</v>
      </c>
      <c r="B1826" s="18" t="s">
        <v>58</v>
      </c>
      <c r="C1826" s="18" t="s">
        <v>165</v>
      </c>
      <c r="D1826" s="19"/>
      <c r="E1826" s="19"/>
      <c r="F1826" s="20">
        <f t="shared" si="24"/>
        <v>0</v>
      </c>
      <c r="G1826" s="67">
        <f>IFERROR(VLOOKUP(B1826,DADOS!$A$2:$H$252,8,0),"")</f>
        <v>31</v>
      </c>
      <c r="H1826" s="22">
        <v>76.0</v>
      </c>
      <c r="I1826" s="23">
        <f>IFERROR(VLOOKUP(B1826,DADOS!$A$2:$H$252,4,0)*H1826,"")</f>
        <v>8.6589536</v>
      </c>
      <c r="J1826" s="24">
        <v>3.0</v>
      </c>
      <c r="K1826" s="25">
        <f>IFERROR(VLOOKUP(B1826,DADOS!$A$2:$H$252,4,0)*J1826,"")</f>
        <v>0.3418008</v>
      </c>
      <c r="L1826" s="26">
        <f t="shared" si="23"/>
        <v>0</v>
      </c>
      <c r="M1826" s="27"/>
      <c r="N1826" s="30"/>
      <c r="O1826" s="28"/>
      <c r="P1826" s="28"/>
      <c r="Q1826" s="28"/>
      <c r="R1826" s="28"/>
      <c r="S1826" s="28"/>
    </row>
    <row r="1827">
      <c r="A1827" s="17">
        <v>45947.0</v>
      </c>
      <c r="B1827" s="18" t="s">
        <v>150</v>
      </c>
      <c r="C1827" s="18" t="s">
        <v>166</v>
      </c>
      <c r="D1827" s="19">
        <v>0.3333333333333333</v>
      </c>
      <c r="E1827" s="19"/>
      <c r="F1827" s="20">
        <f t="shared" si="24"/>
        <v>-0.3333333333</v>
      </c>
      <c r="G1827" s="67">
        <f>IFERROR(VLOOKUP(B1827,DADOS!$A$2:$H$252,8,0),"")</f>
        <v>12</v>
      </c>
      <c r="H1827" s="22">
        <v>38.0</v>
      </c>
      <c r="I1827" s="23">
        <f>IFERROR(VLOOKUP(B1827,DADOS!$A$2:$H$252,4,0)*H1827,"")</f>
        <v>6.5210508</v>
      </c>
      <c r="J1827" s="36"/>
      <c r="K1827" s="25">
        <f>IFERROR(VLOOKUP(B1827,DADOS!$A$2:$H$252,4,0)*J1827,"")</f>
        <v>0</v>
      </c>
      <c r="L1827" s="26">
        <f t="shared" si="23"/>
        <v>0</v>
      </c>
      <c r="M1827" s="27"/>
      <c r="N1827" s="30"/>
      <c r="O1827" s="28"/>
      <c r="P1827" s="28"/>
      <c r="Q1827" s="28"/>
      <c r="R1827" s="28"/>
      <c r="S1827" s="28"/>
    </row>
    <row r="1828">
      <c r="A1828" s="17">
        <v>45947.0</v>
      </c>
      <c r="B1828" s="18" t="s">
        <v>185</v>
      </c>
      <c r="C1828" s="18" t="s">
        <v>166</v>
      </c>
      <c r="D1828" s="19"/>
      <c r="E1828" s="19">
        <v>0.5</v>
      </c>
      <c r="F1828" s="20">
        <f t="shared" si="24"/>
        <v>0.5</v>
      </c>
      <c r="G1828" s="67">
        <f>IFERROR(VLOOKUP(B1828,DADOS!$A$2:$H$252,8,0),"")</f>
        <v>35</v>
      </c>
      <c r="H1828" s="22">
        <v>30.0</v>
      </c>
      <c r="I1828" s="23">
        <f>IFERROR(VLOOKUP(B1828,DADOS!$A$2:$H$252,4,0)*H1828,"")</f>
        <v>6.3558</v>
      </c>
      <c r="J1828" s="36"/>
      <c r="K1828" s="25">
        <f>IFERROR(VLOOKUP(B1828,DADOS!$A$2:$H$252,4,0)*J1828,"")</f>
        <v>0</v>
      </c>
      <c r="L1828" s="26">
        <f t="shared" si="23"/>
        <v>0</v>
      </c>
      <c r="M1828" s="27"/>
      <c r="N1828" s="30"/>
      <c r="O1828" s="28"/>
      <c r="P1828" s="28"/>
      <c r="Q1828" s="28"/>
      <c r="R1828" s="28"/>
      <c r="S1828" s="28"/>
    </row>
    <row r="1829">
      <c r="A1829" s="17">
        <v>45947.0</v>
      </c>
      <c r="B1829" s="18" t="s">
        <v>58</v>
      </c>
      <c r="C1829" s="18" t="s">
        <v>165</v>
      </c>
      <c r="D1829" s="19">
        <v>0.3159722222222222</v>
      </c>
      <c r="E1829" s="19">
        <v>0.40694444444444444</v>
      </c>
      <c r="F1829" s="20">
        <f t="shared" si="24"/>
        <v>0.09097222222</v>
      </c>
      <c r="G1829" s="67">
        <f>IFERROR(VLOOKUP(B1829,DADOS!$A$2:$H$252,8,0),"")</f>
        <v>31</v>
      </c>
      <c r="H1829" s="22">
        <v>29.0</v>
      </c>
      <c r="I1829" s="23">
        <f>IFERROR(VLOOKUP(B1829,DADOS!$A$2:$H$252,4,0)*H1829,"")</f>
        <v>3.3040744</v>
      </c>
      <c r="J1829" s="24">
        <v>1.0</v>
      </c>
      <c r="K1829" s="25">
        <f>IFERROR(VLOOKUP(B1829,DADOS!$A$2:$H$252,4,0)*J1829,"")</f>
        <v>0.1139336</v>
      </c>
      <c r="L1829" s="26">
        <f t="shared" si="23"/>
        <v>0</v>
      </c>
      <c r="M1829" s="27"/>
      <c r="N1829" s="30"/>
      <c r="O1829" s="28"/>
      <c r="P1829" s="28"/>
      <c r="Q1829" s="28"/>
      <c r="R1829" s="28"/>
      <c r="S1829" s="28"/>
    </row>
    <row r="1830">
      <c r="A1830" s="17">
        <v>45947.0</v>
      </c>
      <c r="B1830" s="18" t="s">
        <v>148</v>
      </c>
      <c r="C1830" s="18" t="s">
        <v>165</v>
      </c>
      <c r="D1830" s="19">
        <v>0.4097222222222222</v>
      </c>
      <c r="E1830" s="19">
        <v>0.6020833333333333</v>
      </c>
      <c r="F1830" s="20">
        <f t="shared" si="24"/>
        <v>0.1923611111</v>
      </c>
      <c r="G1830" s="67">
        <f>IFERROR(VLOOKUP(B1830,DADOS!$A$2:$H$252,8,0),"")</f>
        <v>22</v>
      </c>
      <c r="H1830" s="22">
        <v>55.0</v>
      </c>
      <c r="I1830" s="23">
        <f>IFERROR(VLOOKUP(B1830,DADOS!$A$2:$H$252,4,0)*H1830,"")</f>
        <v>3.40153</v>
      </c>
      <c r="J1830" s="36"/>
      <c r="K1830" s="25">
        <f>IFERROR(VLOOKUP(B1830,DADOS!$A$2:$H$252,4,0)*J1830,"")</f>
        <v>0</v>
      </c>
      <c r="L1830" s="26">
        <f t="shared" si="23"/>
        <v>0</v>
      </c>
      <c r="M1830" s="27"/>
      <c r="N1830" s="30"/>
      <c r="O1830" s="28"/>
      <c r="P1830" s="28"/>
      <c r="Q1830" s="28"/>
      <c r="R1830" s="28"/>
      <c r="S1830" s="28"/>
    </row>
    <row r="1831">
      <c r="A1831" s="17">
        <v>45947.0</v>
      </c>
      <c r="B1831" s="18" t="s">
        <v>182</v>
      </c>
      <c r="C1831" s="18" t="s">
        <v>165</v>
      </c>
      <c r="D1831" s="19"/>
      <c r="E1831" s="19"/>
      <c r="F1831" s="20">
        <f t="shared" si="24"/>
        <v>0</v>
      </c>
      <c r="G1831" s="67">
        <f>IFERROR(VLOOKUP(B1831,DADOS!$A$2:$H$252,8,0),"")</f>
        <v>120</v>
      </c>
      <c r="H1831" s="22">
        <v>6.0</v>
      </c>
      <c r="I1831" s="23">
        <f>IFERROR(VLOOKUP(B1831,DADOS!$A$2:$H$252,4,0)*H1831,"")</f>
        <v>1.952964</v>
      </c>
      <c r="J1831" s="36"/>
      <c r="K1831" s="25">
        <f>IFERROR(VLOOKUP(B1831,DADOS!$A$2:$H$252,4,0)*J1831,"")</f>
        <v>0</v>
      </c>
      <c r="L1831" s="26">
        <f t="shared" si="23"/>
        <v>0</v>
      </c>
      <c r="M1831" s="27"/>
      <c r="N1831" s="30"/>
      <c r="O1831" s="28"/>
      <c r="P1831" s="28"/>
      <c r="Q1831" s="28"/>
      <c r="R1831" s="28"/>
      <c r="S1831" s="28"/>
    </row>
    <row r="1832">
      <c r="A1832" s="17">
        <v>45948.0</v>
      </c>
      <c r="B1832" s="18" t="s">
        <v>71</v>
      </c>
      <c r="C1832" s="18" t="s">
        <v>193</v>
      </c>
      <c r="D1832" s="19"/>
      <c r="E1832" s="19"/>
      <c r="F1832" s="20">
        <f t="shared" si="24"/>
        <v>0</v>
      </c>
      <c r="G1832" s="67">
        <f>IFERROR(VLOOKUP(B1832,DADOS!$A$2:$H$252,8,0),"")</f>
        <v>7</v>
      </c>
      <c r="H1832" s="22">
        <v>33.0</v>
      </c>
      <c r="I1832" s="23">
        <f>IFERROR(VLOOKUP(B1832,DADOS!$A$2:$H$252,4,0)*H1832,"")</f>
        <v>46.2794046</v>
      </c>
      <c r="J1832" s="24">
        <v>1.0</v>
      </c>
      <c r="K1832" s="25">
        <f>IFERROR(VLOOKUP(B1832,DADOS!$A$2:$H$252,4,0)*J1832,"")</f>
        <v>1.4024062</v>
      </c>
      <c r="L1832" s="26">
        <f t="shared" si="23"/>
        <v>0</v>
      </c>
      <c r="M1832" s="27"/>
      <c r="N1832" s="30"/>
      <c r="O1832" s="28"/>
      <c r="P1832" s="28"/>
      <c r="Q1832" s="28"/>
      <c r="R1832" s="28"/>
      <c r="S1832" s="28"/>
    </row>
    <row r="1833">
      <c r="A1833" s="17">
        <v>45950.0</v>
      </c>
      <c r="B1833" s="18" t="s">
        <v>71</v>
      </c>
      <c r="C1833" s="18" t="s">
        <v>19</v>
      </c>
      <c r="D1833" s="19"/>
      <c r="E1833" s="19"/>
      <c r="F1833" s="20">
        <f t="shared" si="24"/>
        <v>0</v>
      </c>
      <c r="G1833" s="67">
        <f>IFERROR(VLOOKUP(B1833,DADOS!$A$2:$H$252,8,0),"")</f>
        <v>7</v>
      </c>
      <c r="H1833" s="22">
        <v>15.0</v>
      </c>
      <c r="I1833" s="23">
        <f>IFERROR(VLOOKUP(B1833,DADOS!$A$2:$H$252,4,0)*H1833,"")</f>
        <v>21.036093</v>
      </c>
      <c r="J1833" s="36"/>
      <c r="K1833" s="25">
        <f>IFERROR(VLOOKUP(B1833,DADOS!$A$2:$H$252,4,0)*J1833,"")</f>
        <v>0</v>
      </c>
      <c r="L1833" s="26">
        <f t="shared" si="23"/>
        <v>0</v>
      </c>
      <c r="M1833" s="27"/>
      <c r="N1833" s="30"/>
      <c r="O1833" s="28"/>
      <c r="P1833" s="28"/>
      <c r="Q1833" s="28"/>
      <c r="R1833" s="28"/>
      <c r="S1833" s="28"/>
    </row>
    <row r="1834">
      <c r="A1834" s="17">
        <v>45950.0</v>
      </c>
      <c r="B1834" s="18" t="s">
        <v>182</v>
      </c>
      <c r="C1834" s="18" t="s">
        <v>165</v>
      </c>
      <c r="D1834" s="19"/>
      <c r="E1834" s="19"/>
      <c r="F1834" s="20">
        <f t="shared" si="24"/>
        <v>0</v>
      </c>
      <c r="G1834" s="67">
        <f>IFERROR(VLOOKUP(B1834,DADOS!$A$2:$H$252,8,0),"")</f>
        <v>120</v>
      </c>
      <c r="H1834" s="22">
        <v>59.0</v>
      </c>
      <c r="I1834" s="23">
        <f>IFERROR(VLOOKUP(B1834,DADOS!$A$2:$H$252,4,0)*H1834,"")</f>
        <v>19.204146</v>
      </c>
      <c r="J1834" s="24">
        <v>3.0</v>
      </c>
      <c r="K1834" s="25">
        <f>IFERROR(VLOOKUP(B1834,DADOS!$A$2:$H$252,4,0)*J1834,"")</f>
        <v>0.976482</v>
      </c>
      <c r="L1834" s="26">
        <f t="shared" si="23"/>
        <v>0</v>
      </c>
      <c r="M1834" s="27"/>
      <c r="N1834" s="30"/>
      <c r="O1834" s="28"/>
      <c r="P1834" s="28"/>
      <c r="Q1834" s="28"/>
      <c r="R1834" s="28"/>
      <c r="S1834" s="28"/>
    </row>
    <row r="1835">
      <c r="A1835" s="17">
        <v>45950.0</v>
      </c>
      <c r="B1835" s="18" t="s">
        <v>41</v>
      </c>
      <c r="C1835" s="18" t="s">
        <v>165</v>
      </c>
      <c r="D1835" s="19"/>
      <c r="E1835" s="19"/>
      <c r="F1835" s="20">
        <f t="shared" si="24"/>
        <v>0</v>
      </c>
      <c r="G1835" s="67">
        <f>IFERROR(VLOOKUP(B1835,DADOS!$A$2:$H$252,8,0),"")</f>
        <v>14</v>
      </c>
      <c r="H1835" s="22">
        <v>1.0</v>
      </c>
      <c r="I1835" s="23">
        <f>IFERROR(VLOOKUP(B1835,DADOS!$A$2:$H$252,4,0)*H1835,"")</f>
        <v>0.277344</v>
      </c>
      <c r="J1835" s="36"/>
      <c r="K1835" s="25">
        <f>IFERROR(VLOOKUP(B1835,DADOS!$A$2:$H$252,4,0)*J1835,"")</f>
        <v>0</v>
      </c>
      <c r="L1835" s="26">
        <f t="shared" si="23"/>
        <v>0</v>
      </c>
      <c r="M1835" s="27"/>
      <c r="N1835" s="30"/>
      <c r="O1835" s="28"/>
      <c r="P1835" s="28"/>
      <c r="Q1835" s="28"/>
      <c r="R1835" s="28"/>
      <c r="S1835" s="28"/>
    </row>
    <row r="1836">
      <c r="A1836" s="17">
        <v>45951.0</v>
      </c>
      <c r="B1836" s="18" t="s">
        <v>41</v>
      </c>
      <c r="C1836" s="18" t="s">
        <v>165</v>
      </c>
      <c r="D1836" s="19">
        <v>0.3333333333333333</v>
      </c>
      <c r="E1836" s="19">
        <v>0.5625</v>
      </c>
      <c r="F1836" s="20">
        <f t="shared" si="24"/>
        <v>0.2291666667</v>
      </c>
      <c r="G1836" s="67">
        <f>IFERROR(VLOOKUP(B1836,DADOS!$A$2:$H$252,8,0),"")</f>
        <v>14</v>
      </c>
      <c r="H1836" s="22">
        <v>50.0</v>
      </c>
      <c r="I1836" s="23">
        <f>IFERROR(VLOOKUP(B1836,DADOS!$A$2:$H$252,4,0)*H1836,"")</f>
        <v>13.8672</v>
      </c>
      <c r="J1836" s="36"/>
      <c r="K1836" s="25">
        <f>IFERROR(VLOOKUP(B1836,DADOS!$A$2:$H$252,4,0)*J1836,"")</f>
        <v>0</v>
      </c>
      <c r="L1836" s="26">
        <f t="shared" si="23"/>
        <v>0</v>
      </c>
      <c r="M1836" s="27"/>
      <c r="N1836" s="30"/>
      <c r="O1836" s="28"/>
      <c r="P1836" s="28"/>
      <c r="Q1836" s="28"/>
      <c r="R1836" s="28"/>
      <c r="S1836" s="28"/>
    </row>
    <row r="1837">
      <c r="A1837" s="17">
        <v>45951.0</v>
      </c>
      <c r="B1837" s="18" t="s">
        <v>18</v>
      </c>
      <c r="C1837" s="18" t="s">
        <v>165</v>
      </c>
      <c r="D1837" s="19">
        <v>0.6090277777777777</v>
      </c>
      <c r="E1837" s="19">
        <v>0.7152777777777778</v>
      </c>
      <c r="F1837" s="20">
        <f t="shared" si="24"/>
        <v>0.10625</v>
      </c>
      <c r="G1837" s="67">
        <f>IFERROR(VLOOKUP(B1837,DADOS!$A$2:$H$252,8,0),"")</f>
        <v>21</v>
      </c>
      <c r="H1837" s="22">
        <v>32.0</v>
      </c>
      <c r="I1837" s="23">
        <f>IFERROR(VLOOKUP(B1837,DADOS!$A$2:$H$252,4,0)*H1837,"")</f>
        <v>9.374912</v>
      </c>
      <c r="J1837" s="36"/>
      <c r="K1837" s="25">
        <f>IFERROR(VLOOKUP(B1837,DADOS!$A$2:$H$252,4,0)*J1837,"")</f>
        <v>0</v>
      </c>
      <c r="L1837" s="26">
        <f t="shared" si="23"/>
        <v>0</v>
      </c>
      <c r="M1837" s="27"/>
      <c r="N1837" s="30"/>
      <c r="O1837" s="28"/>
      <c r="P1837" s="28"/>
      <c r="Q1837" s="28"/>
      <c r="R1837" s="28"/>
      <c r="S1837" s="28"/>
    </row>
    <row r="1838">
      <c r="A1838" s="17">
        <v>45952.0</v>
      </c>
      <c r="B1838" s="18" t="s">
        <v>18</v>
      </c>
      <c r="C1838" s="18" t="s">
        <v>165</v>
      </c>
      <c r="D1838" s="19"/>
      <c r="E1838" s="19"/>
      <c r="F1838" s="20">
        <f t="shared" si="24"/>
        <v>0</v>
      </c>
      <c r="G1838" s="67">
        <f>IFERROR(VLOOKUP(B1838,DADOS!$A$2:$H$252,8,0),"")</f>
        <v>21</v>
      </c>
      <c r="H1838" s="22">
        <v>68.0</v>
      </c>
      <c r="I1838" s="23">
        <f>IFERROR(VLOOKUP(B1838,DADOS!$A$2:$H$252,4,0)*H1838,"")</f>
        <v>19.921688</v>
      </c>
      <c r="J1838" s="36"/>
      <c r="K1838" s="25">
        <f>IFERROR(VLOOKUP(B1838,DADOS!$A$2:$H$252,4,0)*J1838,"")</f>
        <v>0</v>
      </c>
      <c r="L1838" s="26">
        <f t="shared" si="23"/>
        <v>0</v>
      </c>
      <c r="M1838" s="27"/>
      <c r="N1838" s="30"/>
      <c r="O1838" s="28"/>
      <c r="P1838" s="28"/>
      <c r="Q1838" s="28"/>
      <c r="R1838" s="28"/>
      <c r="S1838" s="28"/>
    </row>
    <row r="1839">
      <c r="A1839" s="17">
        <v>45953.0</v>
      </c>
      <c r="B1839" s="18" t="s">
        <v>55</v>
      </c>
      <c r="C1839" s="18" t="s">
        <v>65</v>
      </c>
      <c r="D1839" s="19"/>
      <c r="E1839" s="19"/>
      <c r="F1839" s="20">
        <f t="shared" si="24"/>
        <v>0</v>
      </c>
      <c r="G1839" s="67">
        <f>IFERROR(VLOOKUP(B1839,DADOS!$A$2:$H$252,8,0),"")</f>
        <v>60</v>
      </c>
      <c r="H1839" s="22">
        <v>157.0</v>
      </c>
      <c r="I1839" s="23">
        <f>IFERROR(VLOOKUP(B1839,DADOS!$A$2:$H$252,4,0)*H1839,"")</f>
        <v>2.68784</v>
      </c>
      <c r="J1839" s="24">
        <v>2.0</v>
      </c>
      <c r="K1839" s="25">
        <f>IFERROR(VLOOKUP(B1839,DADOS!$A$2:$H$252,4,0)*J1839,"")</f>
        <v>0.03424</v>
      </c>
      <c r="L1839" s="26">
        <f t="shared" si="23"/>
        <v>0</v>
      </c>
      <c r="M1839" s="27"/>
      <c r="N1839" s="30"/>
      <c r="O1839" s="28"/>
      <c r="P1839" s="28"/>
      <c r="Q1839" s="28"/>
      <c r="R1839" s="28"/>
      <c r="S1839" s="28"/>
    </row>
    <row r="1840">
      <c r="A1840" s="17">
        <v>45953.0</v>
      </c>
      <c r="B1840" s="18" t="s">
        <v>210</v>
      </c>
      <c r="C1840" s="18" t="s">
        <v>165</v>
      </c>
      <c r="D1840" s="19"/>
      <c r="E1840" s="19"/>
      <c r="F1840" s="20">
        <f t="shared" si="24"/>
        <v>0</v>
      </c>
      <c r="G1840" s="67">
        <f>IFERROR(VLOOKUP(B1840,DADOS!$A$2:$H$252,8,0),"")</f>
        <v>43</v>
      </c>
      <c r="H1840" s="22">
        <v>50.0</v>
      </c>
      <c r="I1840" s="23">
        <f>IFERROR(VLOOKUP(B1840,DADOS!$A$2:$H$252,4,0)*H1840,"")</f>
        <v>309.016</v>
      </c>
      <c r="J1840" s="36"/>
      <c r="K1840" s="25">
        <f>IFERROR(VLOOKUP(B1840,DADOS!$A$2:$H$252,4,0)*J1840,"")</f>
        <v>0</v>
      </c>
      <c r="L1840" s="26">
        <f t="shared" si="23"/>
        <v>0</v>
      </c>
      <c r="M1840" s="27"/>
      <c r="N1840" s="30"/>
      <c r="O1840" s="28"/>
      <c r="P1840" s="28"/>
      <c r="Q1840" s="28"/>
      <c r="R1840" s="28"/>
      <c r="S1840" s="28"/>
    </row>
    <row r="1841">
      <c r="A1841" s="17">
        <v>45953.0</v>
      </c>
      <c r="B1841" s="18" t="s">
        <v>49</v>
      </c>
      <c r="C1841" s="18" t="s">
        <v>165</v>
      </c>
      <c r="D1841" s="19"/>
      <c r="E1841" s="19"/>
      <c r="F1841" s="20">
        <f t="shared" si="24"/>
        <v>0</v>
      </c>
      <c r="G1841" s="67">
        <f>IFERROR(VLOOKUP(B1841,DADOS!$A$2:$H$252,8,0),"")</f>
        <v>42</v>
      </c>
      <c r="H1841" s="22">
        <v>63.0</v>
      </c>
      <c r="I1841" s="23">
        <f>IFERROR(VLOOKUP(B1841,DADOS!$A$2:$H$252,4,0)*H1841,"")</f>
        <v>4.2859278</v>
      </c>
      <c r="J1841" s="24">
        <v>3.0</v>
      </c>
      <c r="K1841" s="25">
        <f>IFERROR(VLOOKUP(B1841,DADOS!$A$2:$H$252,4,0)*J1841,"")</f>
        <v>0.2040918</v>
      </c>
      <c r="L1841" s="26">
        <f t="shared" si="23"/>
        <v>0</v>
      </c>
      <c r="M1841" s="27"/>
      <c r="N1841" s="30"/>
      <c r="O1841" s="28"/>
      <c r="P1841" s="28"/>
      <c r="Q1841" s="28"/>
      <c r="R1841" s="28"/>
      <c r="S1841" s="28"/>
    </row>
    <row r="1842">
      <c r="A1842" s="17">
        <v>45954.0</v>
      </c>
      <c r="B1842" s="18" t="s">
        <v>49</v>
      </c>
      <c r="C1842" s="18" t="s">
        <v>165</v>
      </c>
      <c r="D1842" s="19"/>
      <c r="E1842" s="19"/>
      <c r="F1842" s="20">
        <f t="shared" si="24"/>
        <v>0</v>
      </c>
      <c r="G1842" s="67">
        <f>IFERROR(VLOOKUP(B1842,DADOS!$A$2:$H$252,8,0),"")</f>
        <v>42</v>
      </c>
      <c r="H1842" s="22">
        <v>84.0</v>
      </c>
      <c r="I1842" s="23">
        <f>IFERROR(VLOOKUP(B1842,DADOS!$A$2:$H$252,4,0)*H1842,"")</f>
        <v>5.7145704</v>
      </c>
      <c r="J1842" s="36"/>
      <c r="K1842" s="25">
        <f>IFERROR(VLOOKUP(B1842,DADOS!$A$2:$H$252,4,0)*J1842,"")</f>
        <v>0</v>
      </c>
      <c r="L1842" s="26">
        <f t="shared" si="23"/>
        <v>0</v>
      </c>
      <c r="M1842" s="27"/>
      <c r="N1842" s="30"/>
      <c r="O1842" s="28"/>
      <c r="P1842" s="28"/>
      <c r="Q1842" s="28"/>
      <c r="R1842" s="28"/>
      <c r="S1842" s="28"/>
    </row>
    <row r="1843">
      <c r="A1843" s="17">
        <v>45955.0</v>
      </c>
      <c r="B1843" s="18" t="s">
        <v>71</v>
      </c>
      <c r="C1843" s="18" t="s">
        <v>193</v>
      </c>
      <c r="D1843" s="19"/>
      <c r="E1843" s="19"/>
      <c r="F1843" s="20">
        <f t="shared" si="24"/>
        <v>0</v>
      </c>
      <c r="G1843" s="67">
        <f>IFERROR(VLOOKUP(B1843,DADOS!$A$2:$H$252,8,0),"")</f>
        <v>7</v>
      </c>
      <c r="H1843" s="22">
        <v>33.0</v>
      </c>
      <c r="I1843" s="23">
        <f>IFERROR(VLOOKUP(B1843,DADOS!$A$2:$H$252,4,0)*H1843,"")</f>
        <v>46.2794046</v>
      </c>
      <c r="J1843" s="36"/>
      <c r="K1843" s="25">
        <f>IFERROR(VLOOKUP(B1843,DADOS!$A$2:$H$252,4,0)*J1843,"")</f>
        <v>0</v>
      </c>
      <c r="L1843" s="26">
        <f t="shared" si="23"/>
        <v>0</v>
      </c>
      <c r="M1843" s="27"/>
      <c r="N1843" s="30"/>
      <c r="O1843" s="28"/>
      <c r="P1843" s="28"/>
      <c r="Q1843" s="28"/>
      <c r="R1843" s="28"/>
      <c r="S1843" s="28"/>
    </row>
    <row r="1844">
      <c r="A1844" s="17">
        <v>45955.0</v>
      </c>
      <c r="B1844" s="18" t="s">
        <v>26</v>
      </c>
      <c r="C1844" s="18" t="s">
        <v>193</v>
      </c>
      <c r="D1844" s="19"/>
      <c r="E1844" s="19"/>
      <c r="F1844" s="20">
        <f t="shared" si="24"/>
        <v>0</v>
      </c>
      <c r="G1844" s="67">
        <f>IFERROR(VLOOKUP(B1844,DADOS!$A$2:$H$252,8,0),"")</f>
        <v>50</v>
      </c>
      <c r="H1844" s="22">
        <v>54.0</v>
      </c>
      <c r="I1844" s="23">
        <f>IFERROR(VLOOKUP(B1844,DADOS!$A$2:$H$252,4,0)*H1844,"")</f>
        <v>6.1524144</v>
      </c>
      <c r="J1844" s="36"/>
      <c r="K1844" s="25">
        <f>IFERROR(VLOOKUP(B1844,DADOS!$A$2:$H$252,4,0)*J1844,"")</f>
        <v>0</v>
      </c>
      <c r="L1844" s="26">
        <f t="shared" si="23"/>
        <v>0</v>
      </c>
      <c r="M1844" s="27"/>
      <c r="N1844" s="30"/>
      <c r="O1844" s="28"/>
      <c r="P1844" s="28"/>
      <c r="Q1844" s="28"/>
      <c r="R1844" s="28"/>
      <c r="S1844" s="28"/>
    </row>
    <row r="1845">
      <c r="A1845" s="17">
        <v>45957.0</v>
      </c>
      <c r="B1845" s="18" t="s">
        <v>71</v>
      </c>
      <c r="C1845" s="18" t="s">
        <v>166</v>
      </c>
      <c r="D1845" s="19">
        <v>0.3333333333333333</v>
      </c>
      <c r="E1845" s="19">
        <v>0.4930555555555556</v>
      </c>
      <c r="F1845" s="20">
        <f t="shared" si="24"/>
        <v>0.1597222222</v>
      </c>
      <c r="G1845" s="67">
        <f>IFERROR(VLOOKUP(B1845,DADOS!$A$2:$H$252,8,0),"")</f>
        <v>7</v>
      </c>
      <c r="H1845" s="22">
        <v>30.0</v>
      </c>
      <c r="I1845" s="23">
        <f>IFERROR(VLOOKUP(B1845,DADOS!$A$2:$H$252,4,0)*H1845,"")</f>
        <v>42.072186</v>
      </c>
      <c r="J1845" s="36"/>
      <c r="K1845" s="25">
        <f>IFERROR(VLOOKUP(B1845,DADOS!$A$2:$H$252,4,0)*J1845,"")</f>
        <v>0</v>
      </c>
      <c r="L1845" s="26">
        <f t="shared" si="23"/>
        <v>0</v>
      </c>
      <c r="M1845" s="27"/>
      <c r="N1845" s="30"/>
      <c r="O1845" s="28"/>
      <c r="P1845" s="28"/>
      <c r="Q1845" s="28"/>
      <c r="R1845" s="28"/>
      <c r="S1845" s="28"/>
    </row>
    <row r="1846">
      <c r="A1846" s="17">
        <v>45957.0</v>
      </c>
      <c r="B1846" s="18" t="s">
        <v>211</v>
      </c>
      <c r="C1846" s="18" t="s">
        <v>65</v>
      </c>
      <c r="D1846" s="19"/>
      <c r="E1846" s="19"/>
      <c r="F1846" s="20">
        <f t="shared" si="24"/>
        <v>0</v>
      </c>
      <c r="G1846" s="67">
        <f>IFERROR(VLOOKUP(B1846,DADOS!$A$2:$H$252,8,0),"")</f>
        <v>50</v>
      </c>
      <c r="H1846" s="22">
        <v>100.0</v>
      </c>
      <c r="I1846" s="23">
        <f>IFERROR(VLOOKUP(B1846,DADOS!$A$2:$H$252,4,0)*H1846,"")</f>
        <v>2.89328</v>
      </c>
      <c r="J1846" s="36"/>
      <c r="K1846" s="25">
        <f>IFERROR(VLOOKUP(B1846,DADOS!$A$2:$H$252,4,0)*J1846,"")</f>
        <v>0</v>
      </c>
      <c r="L1846" s="26">
        <f t="shared" si="23"/>
        <v>0</v>
      </c>
      <c r="M1846" s="27"/>
      <c r="N1846" s="30"/>
      <c r="O1846" s="28"/>
      <c r="P1846" s="28"/>
      <c r="Q1846" s="28"/>
      <c r="R1846" s="28"/>
      <c r="S1846" s="28"/>
    </row>
    <row r="1847">
      <c r="A1847" s="17">
        <v>45957.0</v>
      </c>
      <c r="B1847" s="18" t="s">
        <v>207</v>
      </c>
      <c r="C1847" s="18" t="s">
        <v>165</v>
      </c>
      <c r="D1847" s="19"/>
      <c r="E1847" s="19"/>
      <c r="F1847" s="20">
        <f t="shared" si="24"/>
        <v>0</v>
      </c>
      <c r="G1847" s="67">
        <f>IFERROR(VLOOKUP(B1847,DADOS!$A$2:$H$252,8,0),"")</f>
        <v>100</v>
      </c>
      <c r="H1847" s="22">
        <v>11.0</v>
      </c>
      <c r="I1847" s="23">
        <f>IFERROR(VLOOKUP(B1847,DADOS!$A$2:$H$252,4,0)*H1847,"")</f>
        <v>0.1993838</v>
      </c>
      <c r="J1847" s="24">
        <v>6.0</v>
      </c>
      <c r="K1847" s="25">
        <f>IFERROR(VLOOKUP(B1847,DADOS!$A$2:$H$252,4,0)*J1847,"")</f>
        <v>0.1087548</v>
      </c>
      <c r="L1847" s="26">
        <f t="shared" si="23"/>
        <v>0</v>
      </c>
      <c r="M1847" s="27"/>
      <c r="N1847" s="30"/>
      <c r="O1847" s="28"/>
      <c r="P1847" s="28"/>
      <c r="Q1847" s="28"/>
      <c r="R1847" s="28"/>
      <c r="S1847" s="28"/>
    </row>
    <row r="1848">
      <c r="A1848" s="17">
        <v>45958.0</v>
      </c>
      <c r="B1848" s="18" t="s">
        <v>71</v>
      </c>
      <c r="C1848" s="18" t="s">
        <v>166</v>
      </c>
      <c r="D1848" s="19">
        <v>0.3333333333333333</v>
      </c>
      <c r="E1848" s="19">
        <v>0.4861111111111111</v>
      </c>
      <c r="F1848" s="20">
        <f t="shared" si="24"/>
        <v>0.1527777778</v>
      </c>
      <c r="G1848" s="67">
        <f>IFERROR(VLOOKUP(B1848,DADOS!$A$2:$H$252,8,0),"")</f>
        <v>7</v>
      </c>
      <c r="H1848" s="22">
        <v>29.0</v>
      </c>
      <c r="I1848" s="23">
        <f>IFERROR(VLOOKUP(B1848,DADOS!$A$2:$H$252,4,0)*H1848,"")</f>
        <v>40.6697798</v>
      </c>
      <c r="J1848" s="24">
        <v>1.0</v>
      </c>
      <c r="K1848" s="25">
        <f>IFERROR(VLOOKUP(B1848,DADOS!$A$2:$H$252,4,0)*J1848,"")</f>
        <v>1.4024062</v>
      </c>
      <c r="L1848" s="26">
        <f t="shared" si="23"/>
        <v>0</v>
      </c>
      <c r="M1848" s="27"/>
      <c r="N1848" s="30"/>
      <c r="O1848" s="28"/>
      <c r="P1848" s="28"/>
      <c r="Q1848" s="28"/>
      <c r="R1848" s="28"/>
      <c r="S1848" s="28"/>
    </row>
    <row r="1849">
      <c r="A1849" s="17">
        <v>45958.0</v>
      </c>
      <c r="B1849" s="18" t="s">
        <v>207</v>
      </c>
      <c r="C1849" s="18" t="s">
        <v>165</v>
      </c>
      <c r="D1849" s="19"/>
      <c r="E1849" s="19"/>
      <c r="F1849" s="20">
        <f t="shared" si="24"/>
        <v>0</v>
      </c>
      <c r="G1849" s="67">
        <f>IFERROR(VLOOKUP(B1849,DADOS!$A$2:$H$252,8,0),"")</f>
        <v>100</v>
      </c>
      <c r="H1849" s="22">
        <v>92.0</v>
      </c>
      <c r="I1849" s="23">
        <f>IFERROR(VLOOKUP(B1849,DADOS!$A$2:$H$252,4,0)*H1849,"")</f>
        <v>1.6675736</v>
      </c>
      <c r="J1849" s="24">
        <v>8.0</v>
      </c>
      <c r="K1849" s="25">
        <f>IFERROR(VLOOKUP(B1849,DADOS!$A$2:$H$252,4,0)*J1849,"")</f>
        <v>0.1450064</v>
      </c>
      <c r="L1849" s="26">
        <f t="shared" si="23"/>
        <v>0</v>
      </c>
      <c r="M1849" s="27"/>
      <c r="N1849" s="30"/>
      <c r="O1849" s="28"/>
      <c r="P1849" s="28"/>
      <c r="Q1849" s="28"/>
      <c r="R1849" s="28"/>
      <c r="S1849" s="28"/>
    </row>
    <row r="1850">
      <c r="A1850" s="17">
        <v>45959.0</v>
      </c>
      <c r="B1850" s="18" t="s">
        <v>187</v>
      </c>
      <c r="C1850" s="18" t="s">
        <v>166</v>
      </c>
      <c r="D1850" s="19">
        <v>0.3333333333333333</v>
      </c>
      <c r="E1850" s="19"/>
      <c r="F1850" s="20">
        <f t="shared" si="24"/>
        <v>-0.3333333333</v>
      </c>
      <c r="G1850" s="67">
        <f>IFERROR(VLOOKUP(B1850,DADOS!$A$2:$H$252,8,0),"")</f>
        <v>40</v>
      </c>
      <c r="H1850" s="22">
        <v>60.0</v>
      </c>
      <c r="I1850" s="23">
        <f>IFERROR(VLOOKUP(B1850,DADOS!$A$2:$H$252,4,0)*H1850,"")</f>
        <v>16.64064</v>
      </c>
      <c r="J1850" s="36"/>
      <c r="K1850" s="25">
        <f>IFERROR(VLOOKUP(B1850,DADOS!$A$2:$H$252,4,0)*J1850,"")</f>
        <v>0</v>
      </c>
      <c r="L1850" s="26">
        <f t="shared" si="23"/>
        <v>0</v>
      </c>
      <c r="M1850" s="27"/>
      <c r="N1850" s="30"/>
      <c r="O1850" s="28"/>
      <c r="P1850" s="28"/>
      <c r="Q1850" s="28"/>
      <c r="R1850" s="28"/>
      <c r="S1850" s="28"/>
    </row>
    <row r="1851">
      <c r="A1851" s="17">
        <v>45959.0</v>
      </c>
      <c r="B1851" s="18" t="s">
        <v>155</v>
      </c>
      <c r="C1851" s="18" t="s">
        <v>166</v>
      </c>
      <c r="D1851" s="19"/>
      <c r="E1851" s="19">
        <v>0.4791666666666667</v>
      </c>
      <c r="F1851" s="20">
        <f t="shared" si="24"/>
        <v>0.4791666667</v>
      </c>
      <c r="G1851" s="67">
        <f>IFERROR(VLOOKUP(B1851,DADOS!$A$2:$H$252,8,0),"")</f>
        <v>18</v>
      </c>
      <c r="H1851" s="22">
        <v>30.0</v>
      </c>
      <c r="I1851" s="23">
        <f>IFERROR(VLOOKUP(B1851,DADOS!$A$2:$H$252,4,0)*H1851,"")</f>
        <v>11.87058</v>
      </c>
      <c r="J1851" s="36"/>
      <c r="K1851" s="25">
        <f>IFERROR(VLOOKUP(B1851,DADOS!$A$2:$H$252,4,0)*J1851,"")</f>
        <v>0</v>
      </c>
      <c r="L1851" s="26">
        <f t="shared" si="23"/>
        <v>0</v>
      </c>
      <c r="M1851" s="27"/>
      <c r="N1851" s="30"/>
      <c r="O1851" s="28"/>
      <c r="P1851" s="28"/>
      <c r="Q1851" s="28"/>
      <c r="R1851" s="28"/>
      <c r="S1851" s="28"/>
    </row>
    <row r="1852">
      <c r="A1852" s="17">
        <v>45959.0</v>
      </c>
      <c r="B1852" s="18" t="s">
        <v>207</v>
      </c>
      <c r="C1852" s="18" t="s">
        <v>165</v>
      </c>
      <c r="D1852" s="19">
        <v>0.3159722222222222</v>
      </c>
      <c r="E1852" s="19">
        <v>0.35138888888888886</v>
      </c>
      <c r="F1852" s="20">
        <f t="shared" si="24"/>
        <v>0.03541666667</v>
      </c>
      <c r="G1852" s="67">
        <f>IFERROR(VLOOKUP(B1852,DADOS!$A$2:$H$252,8,0),"")</f>
        <v>100</v>
      </c>
      <c r="H1852" s="22">
        <v>11.0</v>
      </c>
      <c r="I1852" s="23">
        <f>IFERROR(VLOOKUP(B1852,DADOS!$A$2:$H$252,4,0)*H1852,"")</f>
        <v>0.1993838</v>
      </c>
      <c r="J1852" s="36"/>
      <c r="K1852" s="25">
        <f>IFERROR(VLOOKUP(B1852,DADOS!$A$2:$H$252,4,0)*J1852,"")</f>
        <v>0</v>
      </c>
      <c r="L1852" s="26">
        <f t="shared" si="23"/>
        <v>0</v>
      </c>
      <c r="M1852" s="27"/>
      <c r="N1852" s="30"/>
      <c r="O1852" s="28"/>
      <c r="P1852" s="28"/>
      <c r="Q1852" s="28"/>
      <c r="R1852" s="28"/>
      <c r="S1852" s="28"/>
    </row>
    <row r="1853">
      <c r="A1853" s="17">
        <v>45959.0</v>
      </c>
      <c r="B1853" s="18" t="s">
        <v>209</v>
      </c>
      <c r="C1853" s="18" t="s">
        <v>165</v>
      </c>
      <c r="D1853" s="19">
        <v>0.3680555555555556</v>
      </c>
      <c r="E1853" s="19">
        <v>0.71875</v>
      </c>
      <c r="F1853" s="20">
        <f t="shared" si="24"/>
        <v>0.3506944444</v>
      </c>
      <c r="G1853" s="67">
        <f>IFERROR(VLOOKUP(B1853,DADOS!$A$2:$H$252,8,0),"")</f>
        <v>25</v>
      </c>
      <c r="H1853" s="22">
        <v>83.0</v>
      </c>
      <c r="I1853" s="23">
        <f>IFERROR(VLOOKUP(B1853,DADOS!$A$2:$H$252,4,0)*H1853,"")</f>
        <v>5.68384</v>
      </c>
      <c r="J1853" s="36"/>
      <c r="K1853" s="25">
        <f>IFERROR(VLOOKUP(B1853,DADOS!$A$2:$H$252,4,0)*J1853,"")</f>
        <v>0</v>
      </c>
      <c r="L1853" s="26">
        <f t="shared" si="23"/>
        <v>0</v>
      </c>
      <c r="M1853" s="27"/>
      <c r="N1853" s="30"/>
      <c r="O1853" s="28"/>
      <c r="P1853" s="28"/>
      <c r="Q1853" s="28"/>
      <c r="R1853" s="28"/>
      <c r="S1853" s="28"/>
    </row>
    <row r="1854">
      <c r="A1854" s="17">
        <v>45960.0</v>
      </c>
      <c r="B1854" s="18" t="s">
        <v>22</v>
      </c>
      <c r="C1854" s="18" t="s">
        <v>166</v>
      </c>
      <c r="D1854" s="19">
        <v>0.3333333333333333</v>
      </c>
      <c r="E1854" s="19">
        <v>0.4722222222222222</v>
      </c>
      <c r="F1854" s="20">
        <f t="shared" si="24"/>
        <v>0.1388888889</v>
      </c>
      <c r="G1854" s="67">
        <f>IFERROR(VLOOKUP(B1854,DADOS!$A$2:$H$252,8,0),"")</f>
        <v>15</v>
      </c>
      <c r="H1854" s="22">
        <v>50.0</v>
      </c>
      <c r="I1854" s="23">
        <f>IFERROR(VLOOKUP(B1854,DADOS!$A$2:$H$252,4,0)*H1854,"")</f>
        <v>30.61377</v>
      </c>
      <c r="J1854" s="36"/>
      <c r="K1854" s="25">
        <f>IFERROR(VLOOKUP(B1854,DADOS!$A$2:$H$252,4,0)*J1854,"")</f>
        <v>0</v>
      </c>
      <c r="L1854" s="26">
        <f t="shared" si="23"/>
        <v>0</v>
      </c>
      <c r="M1854" s="27"/>
      <c r="N1854" s="30"/>
      <c r="O1854" s="28"/>
      <c r="P1854" s="28"/>
      <c r="Q1854" s="28"/>
      <c r="R1854" s="28"/>
      <c r="S1854" s="28"/>
    </row>
    <row r="1855">
      <c r="A1855" s="17">
        <v>45960.0</v>
      </c>
      <c r="B1855" s="18" t="s">
        <v>37</v>
      </c>
      <c r="C1855" s="18" t="s">
        <v>65</v>
      </c>
      <c r="D1855" s="19"/>
      <c r="E1855" s="19"/>
      <c r="F1855" s="20">
        <f t="shared" si="24"/>
        <v>0</v>
      </c>
      <c r="G1855" s="67" t="str">
        <f>IFERROR(VLOOKUP(B1855,DADOS!$A$2:$H$252,8,0),"")</f>
        <v/>
      </c>
      <c r="H1855" s="22">
        <v>83.0</v>
      </c>
      <c r="I1855" s="23" t="str">
        <f>IFERROR(VLOOKUP(B1855,DADOS!$A$2:$H$252,4,0)*H1855,"")</f>
        <v/>
      </c>
      <c r="J1855" s="36"/>
      <c r="K1855" s="25" t="str">
        <f>IFERROR(VLOOKUP(B1855,DADOS!$A$2:$H$252,4,0)*J1855,"")</f>
        <v/>
      </c>
      <c r="L1855" s="26" t="str">
        <f t="shared" si="23"/>
        <v/>
      </c>
      <c r="M1855" s="27"/>
      <c r="N1855" s="30"/>
      <c r="O1855" s="28"/>
      <c r="P1855" s="28"/>
      <c r="Q1855" s="28"/>
      <c r="R1855" s="28"/>
      <c r="S1855" s="28"/>
    </row>
    <row r="1856">
      <c r="A1856" s="17">
        <v>45960.0</v>
      </c>
      <c r="B1856" s="18" t="s">
        <v>209</v>
      </c>
      <c r="C1856" s="18" t="s">
        <v>165</v>
      </c>
      <c r="D1856" s="19">
        <v>0.3368055555555556</v>
      </c>
      <c r="E1856" s="19">
        <v>0.38263888888888886</v>
      </c>
      <c r="F1856" s="20">
        <f t="shared" si="24"/>
        <v>0.04583333333</v>
      </c>
      <c r="G1856" s="67">
        <f>IFERROR(VLOOKUP(B1856,DADOS!$A$2:$H$252,8,0),"")</f>
        <v>25</v>
      </c>
      <c r="H1856" s="22">
        <v>17.0</v>
      </c>
      <c r="I1856" s="23">
        <f>IFERROR(VLOOKUP(B1856,DADOS!$A$2:$H$252,4,0)*H1856,"")</f>
        <v>1.16416</v>
      </c>
      <c r="J1856" s="36"/>
      <c r="K1856" s="25">
        <f>IFERROR(VLOOKUP(B1856,DADOS!$A$2:$H$252,4,0)*J1856,"")</f>
        <v>0</v>
      </c>
      <c r="L1856" s="26">
        <f t="shared" si="23"/>
        <v>0</v>
      </c>
      <c r="M1856" s="27"/>
      <c r="N1856" s="30"/>
      <c r="O1856" s="28"/>
      <c r="P1856" s="28"/>
      <c r="Q1856" s="28"/>
      <c r="R1856" s="28"/>
      <c r="S1856" s="28"/>
    </row>
    <row r="1857">
      <c r="A1857" s="17">
        <v>45960.0</v>
      </c>
      <c r="B1857" s="18" t="s">
        <v>25</v>
      </c>
      <c r="C1857" s="18" t="s">
        <v>165</v>
      </c>
      <c r="D1857" s="19">
        <v>0.6701388888888888</v>
      </c>
      <c r="E1857" s="19">
        <v>0.71875</v>
      </c>
      <c r="F1857" s="20">
        <f t="shared" si="24"/>
        <v>0.04861111111</v>
      </c>
      <c r="G1857" s="67">
        <f>IFERROR(VLOOKUP(B1857,DADOS!$A$2:$H$252,8,0),"")</f>
        <v>40</v>
      </c>
      <c r="H1857" s="22">
        <v>14.0</v>
      </c>
      <c r="I1857" s="23">
        <f>IFERROR(VLOOKUP(B1857,DADOS!$A$2:$H$252,4,0)*H1857,"")</f>
        <v>1.450064</v>
      </c>
      <c r="J1857" s="36"/>
      <c r="K1857" s="25">
        <f>IFERROR(VLOOKUP(B1857,DADOS!$A$2:$H$252,4,0)*J1857,"")</f>
        <v>0</v>
      </c>
      <c r="L1857" s="26">
        <f t="shared" si="23"/>
        <v>0</v>
      </c>
      <c r="M1857" s="27"/>
      <c r="N1857" s="30"/>
      <c r="O1857" s="28"/>
      <c r="P1857" s="28"/>
      <c r="Q1857" s="28"/>
      <c r="R1857" s="28"/>
      <c r="S1857" s="28"/>
    </row>
    <row r="1858">
      <c r="A1858" s="17">
        <v>45961.0</v>
      </c>
      <c r="B1858" s="18" t="s">
        <v>32</v>
      </c>
      <c r="C1858" s="18" t="s">
        <v>166</v>
      </c>
      <c r="D1858" s="19"/>
      <c r="E1858" s="19"/>
      <c r="F1858" s="20">
        <f t="shared" si="24"/>
        <v>0</v>
      </c>
      <c r="G1858" s="67">
        <f>IFERROR(VLOOKUP(B1858,DADOS!$A$2:$H$252,8,0),"")</f>
        <v>10</v>
      </c>
      <c r="H1858" s="22">
        <v>43.0</v>
      </c>
      <c r="I1858" s="23">
        <f>IFERROR(VLOOKUP(B1858,DADOS!$A$2:$H$252,4,0)*H1858,"")</f>
        <v>26.3278422</v>
      </c>
      <c r="J1858" s="36"/>
      <c r="K1858" s="25">
        <f>IFERROR(VLOOKUP(B1858,DADOS!$A$2:$H$252,4,0)*J1858,"")</f>
        <v>0</v>
      </c>
      <c r="L1858" s="26">
        <f t="shared" si="23"/>
        <v>0</v>
      </c>
      <c r="M1858" s="27"/>
      <c r="N1858" s="30"/>
      <c r="O1858" s="28"/>
      <c r="P1858" s="28"/>
      <c r="Q1858" s="28"/>
      <c r="R1858" s="28"/>
      <c r="S1858" s="28"/>
    </row>
    <row r="1859">
      <c r="A1859" s="17">
        <v>45961.0</v>
      </c>
      <c r="B1859" s="18" t="s">
        <v>25</v>
      </c>
      <c r="C1859" s="18" t="s">
        <v>165</v>
      </c>
      <c r="D1859" s="19">
        <v>0.3159722222222222</v>
      </c>
      <c r="E1859" s="19">
        <v>0.6666666666666666</v>
      </c>
      <c r="F1859" s="20">
        <f t="shared" si="24"/>
        <v>0.3506944444</v>
      </c>
      <c r="G1859" s="67">
        <f>IFERROR(VLOOKUP(B1859,DADOS!$A$2:$H$252,8,0),"")</f>
        <v>40</v>
      </c>
      <c r="H1859" s="22">
        <v>62.0</v>
      </c>
      <c r="I1859" s="23">
        <f>IFERROR(VLOOKUP(B1859,DADOS!$A$2:$H$252,4,0)*H1859,"")</f>
        <v>6.421712</v>
      </c>
      <c r="J1859" s="24">
        <v>4.0</v>
      </c>
      <c r="K1859" s="25">
        <f>IFERROR(VLOOKUP(B1859,DADOS!$A$2:$H$252,4,0)*J1859,"")</f>
        <v>0.414304</v>
      </c>
      <c r="L1859" s="26">
        <f t="shared" si="23"/>
        <v>0</v>
      </c>
      <c r="M1859" s="27"/>
      <c r="N1859" s="30"/>
      <c r="O1859" s="28"/>
      <c r="P1859" s="28"/>
      <c r="Q1859" s="28"/>
      <c r="R1859" s="28"/>
      <c r="S1859" s="28"/>
    </row>
    <row r="1860">
      <c r="A1860" s="17">
        <v>45962.0</v>
      </c>
      <c r="B1860" s="18" t="s">
        <v>71</v>
      </c>
      <c r="C1860" s="18" t="s">
        <v>193</v>
      </c>
      <c r="D1860" s="19"/>
      <c r="E1860" s="19"/>
      <c r="F1860" s="20">
        <f t="shared" si="24"/>
        <v>0</v>
      </c>
      <c r="G1860" s="67">
        <f>IFERROR(VLOOKUP(B1860,DADOS!$A$2:$H$252,8,0),"")</f>
        <v>7</v>
      </c>
      <c r="H1860" s="22">
        <v>50.0</v>
      </c>
      <c r="I1860" s="23">
        <f>IFERROR(VLOOKUP(B1860,DADOS!$A$2:$H$252,4,0)*H1860,"")</f>
        <v>70.12031</v>
      </c>
      <c r="J1860" s="36"/>
      <c r="K1860" s="25">
        <f>IFERROR(VLOOKUP(B1860,DADOS!$A$2:$H$252,4,0)*J1860,"")</f>
        <v>0</v>
      </c>
      <c r="L1860" s="26">
        <f t="shared" si="23"/>
        <v>0</v>
      </c>
      <c r="M1860" s="27"/>
      <c r="N1860" s="30"/>
      <c r="O1860" s="28"/>
      <c r="P1860" s="28"/>
      <c r="Q1860" s="28"/>
      <c r="R1860" s="28"/>
      <c r="S1860" s="28"/>
    </row>
    <row r="1861">
      <c r="A1861" s="17">
        <v>45962.0</v>
      </c>
      <c r="B1861" s="18" t="s">
        <v>26</v>
      </c>
      <c r="C1861" s="18" t="s">
        <v>193</v>
      </c>
      <c r="D1861" s="19"/>
      <c r="E1861" s="19"/>
      <c r="F1861" s="20">
        <f t="shared" si="24"/>
        <v>0</v>
      </c>
      <c r="G1861" s="67">
        <f>IFERROR(VLOOKUP(B1861,DADOS!$A$2:$H$252,8,0),"")</f>
        <v>50</v>
      </c>
      <c r="H1861" s="22">
        <v>100.0</v>
      </c>
      <c r="I1861" s="23">
        <f>IFERROR(VLOOKUP(B1861,DADOS!$A$2:$H$252,4,0)*H1861,"")</f>
        <v>11.39336</v>
      </c>
      <c r="J1861" s="36"/>
      <c r="K1861" s="25">
        <f>IFERROR(VLOOKUP(B1861,DADOS!$A$2:$H$252,4,0)*J1861,"")</f>
        <v>0</v>
      </c>
      <c r="L1861" s="26">
        <f t="shared" si="23"/>
        <v>0</v>
      </c>
      <c r="M1861" s="27"/>
      <c r="N1861" s="30"/>
      <c r="O1861" s="28"/>
      <c r="P1861" s="28"/>
      <c r="Q1861" s="28"/>
      <c r="R1861" s="28"/>
      <c r="S1861" s="28"/>
    </row>
    <row r="1862">
      <c r="A1862" s="17">
        <v>45964.0</v>
      </c>
      <c r="B1862" s="18" t="s">
        <v>22</v>
      </c>
      <c r="C1862" s="18" t="s">
        <v>166</v>
      </c>
      <c r="D1862" s="19">
        <v>0.3333333333333333</v>
      </c>
      <c r="E1862" s="19"/>
      <c r="F1862" s="20">
        <f t="shared" si="24"/>
        <v>-0.3333333333</v>
      </c>
      <c r="G1862" s="67">
        <f>IFERROR(VLOOKUP(B1862,DADOS!$A$2:$H$252,8,0),"")</f>
        <v>15</v>
      </c>
      <c r="H1862" s="22">
        <v>30.0</v>
      </c>
      <c r="I1862" s="23">
        <f>IFERROR(VLOOKUP(B1862,DADOS!$A$2:$H$252,4,0)*H1862,"")</f>
        <v>18.368262</v>
      </c>
      <c r="J1862" s="36"/>
      <c r="K1862" s="25">
        <f>IFERROR(VLOOKUP(B1862,DADOS!$A$2:$H$252,4,0)*J1862,"")</f>
        <v>0</v>
      </c>
      <c r="L1862" s="26">
        <f t="shared" si="23"/>
        <v>0</v>
      </c>
      <c r="M1862" s="27"/>
      <c r="N1862" s="30"/>
      <c r="O1862" s="28"/>
      <c r="P1862" s="28"/>
      <c r="Q1862" s="28"/>
      <c r="R1862" s="28"/>
      <c r="S1862" s="28"/>
    </row>
    <row r="1863">
      <c r="A1863" s="17">
        <v>45964.0</v>
      </c>
      <c r="B1863" s="18" t="s">
        <v>60</v>
      </c>
      <c r="C1863" s="18" t="s">
        <v>166</v>
      </c>
      <c r="D1863" s="19"/>
      <c r="E1863" s="19">
        <v>0.5</v>
      </c>
      <c r="F1863" s="20">
        <f t="shared" si="24"/>
        <v>0.5</v>
      </c>
      <c r="G1863" s="67">
        <f>IFERROR(VLOOKUP(B1863,DADOS!$A$2:$H$252,8,0),"")</f>
        <v>15</v>
      </c>
      <c r="H1863" s="22">
        <v>18.0</v>
      </c>
      <c r="I1863" s="23">
        <f>IFERROR(VLOOKUP(B1863,DADOS!$A$2:$H$252,4,0)*H1863,"")</f>
        <v>5.858892</v>
      </c>
      <c r="J1863" s="36"/>
      <c r="K1863" s="25">
        <f>IFERROR(VLOOKUP(B1863,DADOS!$A$2:$H$252,4,0)*J1863,"")</f>
        <v>0</v>
      </c>
      <c r="L1863" s="26">
        <f t="shared" si="23"/>
        <v>0</v>
      </c>
      <c r="M1863" s="27"/>
      <c r="N1863" s="30"/>
      <c r="O1863" s="28"/>
      <c r="P1863" s="28"/>
      <c r="Q1863" s="28"/>
      <c r="R1863" s="28"/>
      <c r="S1863" s="28"/>
    </row>
    <row r="1864">
      <c r="A1864" s="17">
        <v>45964.0</v>
      </c>
      <c r="B1864" s="18" t="s">
        <v>57</v>
      </c>
      <c r="C1864" s="18" t="s">
        <v>65</v>
      </c>
      <c r="D1864" s="19"/>
      <c r="E1864" s="19"/>
      <c r="F1864" s="20">
        <f t="shared" si="24"/>
        <v>0</v>
      </c>
      <c r="G1864" s="67">
        <f>IFERROR(VLOOKUP(B1864,DADOS!$A$2:$H$252,8,0),"")</f>
        <v>100</v>
      </c>
      <c r="H1864" s="22">
        <v>128.0</v>
      </c>
      <c r="I1864" s="23">
        <f>IFERROR(VLOOKUP(B1864,DADOS!$A$2:$H$252,4,0)*H1864,"")</f>
        <v>2.19136</v>
      </c>
      <c r="J1864" s="24">
        <v>1.0</v>
      </c>
      <c r="K1864" s="25">
        <f>IFERROR(VLOOKUP(B1864,DADOS!$A$2:$H$252,4,0)*J1864,"")</f>
        <v>0.01712</v>
      </c>
      <c r="L1864" s="26">
        <f t="shared" si="23"/>
        <v>0</v>
      </c>
      <c r="M1864" s="27"/>
      <c r="N1864" s="30"/>
      <c r="O1864" s="63"/>
      <c r="P1864" s="63"/>
      <c r="Q1864" s="63"/>
      <c r="R1864" s="63"/>
      <c r="S1864" s="63"/>
      <c r="T1864" s="64"/>
      <c r="U1864" s="64"/>
      <c r="V1864" s="64"/>
      <c r="W1864" s="64"/>
      <c r="X1864" s="64"/>
      <c r="Y1864" s="64"/>
      <c r="Z1864" s="64"/>
      <c r="AA1864" s="64"/>
      <c r="AB1864" s="64"/>
      <c r="AC1864" s="64"/>
      <c r="AD1864" s="64"/>
      <c r="AE1864" s="64"/>
      <c r="AF1864" s="64"/>
      <c r="AG1864" s="64"/>
      <c r="AH1864" s="64"/>
      <c r="AI1864" s="64"/>
      <c r="AJ1864" s="64"/>
    </row>
    <row r="1865">
      <c r="A1865" s="17">
        <v>45964.0</v>
      </c>
      <c r="B1865" s="18" t="s">
        <v>25</v>
      </c>
      <c r="C1865" s="18" t="s">
        <v>165</v>
      </c>
      <c r="D1865" s="19">
        <v>0.3159722222222222</v>
      </c>
      <c r="E1865" s="19">
        <v>0.4861111111111111</v>
      </c>
      <c r="F1865" s="20">
        <f t="shared" si="24"/>
        <v>0.1701388889</v>
      </c>
      <c r="G1865" s="67">
        <f>IFERROR(VLOOKUP(B1865,DADOS!$A$2:$H$252,8,0),"")</f>
        <v>40</v>
      </c>
      <c r="H1865" s="22">
        <v>70.0</v>
      </c>
      <c r="I1865" s="23">
        <f>IFERROR(VLOOKUP(B1865,DADOS!$A$2:$H$252,4,0)*H1865,"")</f>
        <v>7.25032</v>
      </c>
      <c r="J1865" s="36"/>
      <c r="K1865" s="25">
        <f>IFERROR(VLOOKUP(B1865,DADOS!$A$2:$H$252,4,0)*J1865,"")</f>
        <v>0</v>
      </c>
      <c r="L1865" s="26">
        <f t="shared" si="23"/>
        <v>0</v>
      </c>
      <c r="M1865" s="27"/>
      <c r="N1865" s="30"/>
      <c r="O1865" s="63"/>
      <c r="P1865" s="63"/>
      <c r="Q1865" s="63"/>
      <c r="R1865" s="63"/>
      <c r="S1865" s="63"/>
      <c r="T1865" s="64"/>
      <c r="U1865" s="64"/>
      <c r="V1865" s="64"/>
      <c r="W1865" s="64"/>
      <c r="X1865" s="64"/>
      <c r="Y1865" s="64"/>
      <c r="Z1865" s="64"/>
      <c r="AA1865" s="64"/>
      <c r="AB1865" s="64"/>
      <c r="AC1865" s="64"/>
      <c r="AD1865" s="64"/>
      <c r="AE1865" s="64"/>
      <c r="AF1865" s="64"/>
      <c r="AG1865" s="64"/>
      <c r="AH1865" s="64"/>
      <c r="AI1865" s="64"/>
      <c r="AJ1865" s="64"/>
    </row>
    <row r="1866">
      <c r="A1866" s="17">
        <v>45964.0</v>
      </c>
      <c r="B1866" s="18" t="s">
        <v>24</v>
      </c>
      <c r="C1866" s="18" t="s">
        <v>165</v>
      </c>
      <c r="D1866" s="19">
        <v>0.5416666666666666</v>
      </c>
      <c r="E1866" s="19">
        <v>0.71875</v>
      </c>
      <c r="F1866" s="20">
        <f t="shared" si="24"/>
        <v>0.1770833333</v>
      </c>
      <c r="G1866" s="67">
        <f>IFERROR(VLOOKUP(B1866,DADOS!$A$2:$H$252,8,0),"")</f>
        <v>37</v>
      </c>
      <c r="H1866" s="22">
        <v>26.0</v>
      </c>
      <c r="I1866" s="23">
        <f>IFERROR(VLOOKUP(B1866,DADOS!$A$2:$H$252,4,0)*H1866,"")</f>
        <v>2.9622736</v>
      </c>
      <c r="J1866" s="24">
        <v>6.0</v>
      </c>
      <c r="K1866" s="25">
        <f>IFERROR(VLOOKUP(B1866,DADOS!$A$2:$H$252,4,0)*J1866,"")</f>
        <v>0.6836016</v>
      </c>
      <c r="L1866" s="26">
        <f t="shared" si="23"/>
        <v>0</v>
      </c>
      <c r="M1866" s="27"/>
      <c r="N1866" s="30"/>
      <c r="O1866" s="63"/>
      <c r="P1866" s="63"/>
      <c r="Q1866" s="63"/>
      <c r="R1866" s="63"/>
      <c r="S1866" s="63"/>
      <c r="T1866" s="64"/>
      <c r="U1866" s="64"/>
      <c r="V1866" s="64"/>
      <c r="W1866" s="64"/>
      <c r="X1866" s="64"/>
      <c r="Y1866" s="64"/>
      <c r="Z1866" s="64"/>
      <c r="AA1866" s="64"/>
      <c r="AB1866" s="64"/>
      <c r="AC1866" s="64"/>
      <c r="AD1866" s="64"/>
      <c r="AE1866" s="64"/>
      <c r="AF1866" s="64"/>
      <c r="AG1866" s="64"/>
      <c r="AH1866" s="64"/>
      <c r="AI1866" s="64"/>
      <c r="AJ1866" s="64"/>
    </row>
    <row r="1867">
      <c r="A1867" s="43">
        <v>45964.0</v>
      </c>
      <c r="B1867" s="44" t="s">
        <v>70</v>
      </c>
      <c r="C1867" s="44"/>
      <c r="D1867" s="45"/>
      <c r="E1867" s="45"/>
      <c r="F1867" s="20">
        <f t="shared" si="24"/>
        <v>0</v>
      </c>
      <c r="G1867" s="67">
        <f>IFERROR(VLOOKUP(B1867,DADOS!$A$2:$H$252,8,0),"")</f>
        <v>13</v>
      </c>
      <c r="H1867" s="47"/>
      <c r="I1867" s="23">
        <f>IFERROR(VLOOKUP(B1867,DADOS!$A$2:$H$252,4,0)*H1867,"")</f>
        <v>0</v>
      </c>
      <c r="J1867" s="46">
        <v>10.0</v>
      </c>
      <c r="K1867" s="25">
        <f>IFERROR(VLOOKUP(B1867,DADOS!$A$2:$H$252,4,0)*J1867,"")</f>
        <v>3.424</v>
      </c>
      <c r="L1867" s="26" t="str">
        <f t="shared" si="23"/>
        <v/>
      </c>
      <c r="M1867" s="33" t="s">
        <v>39</v>
      </c>
      <c r="N1867" s="33" t="s">
        <v>170</v>
      </c>
      <c r="O1867" s="63"/>
      <c r="P1867" s="63"/>
      <c r="Q1867" s="63"/>
      <c r="R1867" s="63"/>
      <c r="S1867" s="63"/>
      <c r="T1867" s="64"/>
      <c r="U1867" s="64"/>
      <c r="V1867" s="64"/>
      <c r="W1867" s="64"/>
      <c r="X1867" s="64"/>
      <c r="Y1867" s="64"/>
      <c r="Z1867" s="64"/>
      <c r="AA1867" s="64"/>
      <c r="AB1867" s="64"/>
      <c r="AC1867" s="64"/>
      <c r="AD1867" s="64"/>
      <c r="AE1867" s="64"/>
      <c r="AF1867" s="64"/>
      <c r="AG1867" s="64"/>
      <c r="AH1867" s="64"/>
      <c r="AI1867" s="64"/>
      <c r="AJ1867" s="64"/>
    </row>
    <row r="1868">
      <c r="A1868" s="43">
        <v>45964.0</v>
      </c>
      <c r="B1868" s="44" t="s">
        <v>28</v>
      </c>
      <c r="C1868" s="44"/>
      <c r="D1868" s="45"/>
      <c r="E1868" s="45"/>
      <c r="F1868" s="20">
        <f t="shared" si="24"/>
        <v>0</v>
      </c>
      <c r="G1868" s="67">
        <f>IFERROR(VLOOKUP(B1868,DADOS!$A$2:$H$252,8,0),"")</f>
        <v>25</v>
      </c>
      <c r="H1868" s="47"/>
      <c r="I1868" s="23">
        <f>IFERROR(VLOOKUP(B1868,DADOS!$A$2:$H$252,4,0)*H1868,"")</f>
        <v>0</v>
      </c>
      <c r="J1868" s="46">
        <v>1.0</v>
      </c>
      <c r="K1868" s="25">
        <f>IFERROR(VLOOKUP(B1868,DADOS!$A$2:$H$252,4,0)*J1868,"")</f>
        <v>0.1139336</v>
      </c>
      <c r="L1868" s="26" t="str">
        <f t="shared" si="23"/>
        <v/>
      </c>
      <c r="M1868" s="33" t="s">
        <v>83</v>
      </c>
      <c r="N1868" s="33" t="s">
        <v>85</v>
      </c>
      <c r="O1868" s="63"/>
      <c r="P1868" s="63"/>
      <c r="Q1868" s="63"/>
      <c r="R1868" s="63"/>
      <c r="S1868" s="63"/>
      <c r="T1868" s="64"/>
      <c r="U1868" s="64"/>
      <c r="V1868" s="64"/>
      <c r="W1868" s="64"/>
      <c r="X1868" s="64"/>
      <c r="Y1868" s="64"/>
      <c r="Z1868" s="64"/>
      <c r="AA1868" s="64"/>
      <c r="AB1868" s="64"/>
      <c r="AC1868" s="64"/>
      <c r="AD1868" s="64"/>
      <c r="AE1868" s="64"/>
      <c r="AF1868" s="64"/>
      <c r="AG1868" s="64"/>
      <c r="AH1868" s="64"/>
      <c r="AI1868" s="64"/>
      <c r="AJ1868" s="64"/>
    </row>
    <row r="1869">
      <c r="A1869" s="43">
        <v>45964.0</v>
      </c>
      <c r="B1869" s="44" t="s">
        <v>188</v>
      </c>
      <c r="C1869" s="44"/>
      <c r="D1869" s="45"/>
      <c r="E1869" s="45"/>
      <c r="F1869" s="20">
        <f t="shared" si="24"/>
        <v>0</v>
      </c>
      <c r="G1869" s="67">
        <f>IFERROR(VLOOKUP(B1869,DADOS!$A$2:$H$252,8,0),"")</f>
        <v>30</v>
      </c>
      <c r="H1869" s="47"/>
      <c r="I1869" s="23">
        <f>IFERROR(VLOOKUP(B1869,DADOS!$A$2:$H$252,4,0)*H1869,"")</f>
        <v>0</v>
      </c>
      <c r="J1869" s="46">
        <v>2.0</v>
      </c>
      <c r="K1869" s="25">
        <f>IFERROR(VLOOKUP(B1869,DADOS!$A$2:$H$252,4,0)*J1869,"")</f>
        <v>0.2278672</v>
      </c>
      <c r="L1869" s="26" t="str">
        <f t="shared" si="23"/>
        <v/>
      </c>
      <c r="M1869" s="33" t="s">
        <v>189</v>
      </c>
      <c r="N1869" s="33" t="s">
        <v>173</v>
      </c>
      <c r="O1869" s="63"/>
      <c r="P1869" s="63"/>
      <c r="Q1869" s="63"/>
      <c r="R1869" s="63"/>
      <c r="S1869" s="63"/>
      <c r="T1869" s="64"/>
      <c r="U1869" s="64"/>
      <c r="V1869" s="64"/>
      <c r="W1869" s="64"/>
      <c r="X1869" s="64"/>
      <c r="Y1869" s="64"/>
      <c r="Z1869" s="64"/>
      <c r="AA1869" s="64"/>
      <c r="AB1869" s="64"/>
      <c r="AC1869" s="64"/>
      <c r="AD1869" s="64"/>
      <c r="AE1869" s="64"/>
      <c r="AF1869" s="64"/>
      <c r="AG1869" s="64"/>
      <c r="AH1869" s="64"/>
      <c r="AI1869" s="64"/>
      <c r="AJ1869" s="64"/>
    </row>
    <row r="1870">
      <c r="A1870" s="43">
        <v>45964.0</v>
      </c>
      <c r="B1870" s="44" t="s">
        <v>24</v>
      </c>
      <c r="C1870" s="44"/>
      <c r="D1870" s="45"/>
      <c r="E1870" s="45"/>
      <c r="F1870" s="20">
        <f t="shared" si="24"/>
        <v>0</v>
      </c>
      <c r="G1870" s="67">
        <f>IFERROR(VLOOKUP(B1870,DADOS!$A$2:$H$252,8,0),"")</f>
        <v>37</v>
      </c>
      <c r="H1870" s="47"/>
      <c r="I1870" s="23">
        <f>IFERROR(VLOOKUP(B1870,DADOS!$A$2:$H$252,4,0)*H1870,"")</f>
        <v>0</v>
      </c>
      <c r="J1870" s="46">
        <v>1.0</v>
      </c>
      <c r="K1870" s="25">
        <f>IFERROR(VLOOKUP(B1870,DADOS!$A$2:$H$252,4,0)*J1870,"")</f>
        <v>0.1139336</v>
      </c>
      <c r="L1870" s="26" t="str">
        <f t="shared" si="23"/>
        <v/>
      </c>
      <c r="M1870" s="33" t="s">
        <v>39</v>
      </c>
      <c r="N1870" s="33" t="s">
        <v>86</v>
      </c>
      <c r="O1870" s="63"/>
      <c r="P1870" s="63"/>
      <c r="Q1870" s="63"/>
      <c r="R1870" s="63"/>
      <c r="S1870" s="63"/>
      <c r="T1870" s="64"/>
      <c r="U1870" s="64"/>
      <c r="V1870" s="64"/>
      <c r="W1870" s="64"/>
      <c r="X1870" s="64"/>
      <c r="Y1870" s="64"/>
      <c r="Z1870" s="64"/>
      <c r="AA1870" s="64"/>
      <c r="AB1870" s="64"/>
      <c r="AC1870" s="64"/>
      <c r="AD1870" s="64"/>
      <c r="AE1870" s="64"/>
      <c r="AF1870" s="64"/>
      <c r="AG1870" s="64"/>
      <c r="AH1870" s="64"/>
      <c r="AI1870" s="64"/>
      <c r="AJ1870" s="64"/>
    </row>
    <row r="1871">
      <c r="A1871" s="43">
        <v>45964.0</v>
      </c>
      <c r="B1871" s="44" t="s">
        <v>150</v>
      </c>
      <c r="C1871" s="44"/>
      <c r="D1871" s="45"/>
      <c r="E1871" s="45"/>
      <c r="F1871" s="20">
        <f t="shared" si="24"/>
        <v>0</v>
      </c>
      <c r="G1871" s="67">
        <f>IFERROR(VLOOKUP(B1871,DADOS!$A$2:$H$252,8,0),"")</f>
        <v>12</v>
      </c>
      <c r="H1871" s="47"/>
      <c r="I1871" s="23">
        <f>IFERROR(VLOOKUP(B1871,DADOS!$A$2:$H$252,4,0)*H1871,"")</f>
        <v>0</v>
      </c>
      <c r="J1871" s="46">
        <v>3.0</v>
      </c>
      <c r="K1871" s="25">
        <f>IFERROR(VLOOKUP(B1871,DADOS!$A$2:$H$252,4,0)*J1871,"")</f>
        <v>0.5148198</v>
      </c>
      <c r="L1871" s="26" t="str">
        <f t="shared" si="23"/>
        <v/>
      </c>
      <c r="M1871" s="33" t="s">
        <v>110</v>
      </c>
      <c r="N1871" s="33" t="s">
        <v>144</v>
      </c>
      <c r="O1871" s="63"/>
      <c r="P1871" s="63"/>
      <c r="Q1871" s="63"/>
      <c r="R1871" s="63"/>
      <c r="S1871" s="63"/>
      <c r="T1871" s="64"/>
      <c r="U1871" s="64"/>
      <c r="V1871" s="64"/>
      <c r="W1871" s="64"/>
      <c r="X1871" s="64"/>
      <c r="Y1871" s="64"/>
      <c r="Z1871" s="64"/>
      <c r="AA1871" s="64"/>
      <c r="AB1871" s="64"/>
      <c r="AC1871" s="64"/>
      <c r="AD1871" s="64"/>
      <c r="AE1871" s="64"/>
      <c r="AF1871" s="64"/>
      <c r="AG1871" s="64"/>
      <c r="AH1871" s="64"/>
      <c r="AI1871" s="64"/>
      <c r="AJ1871" s="64"/>
    </row>
    <row r="1872">
      <c r="A1872" s="43">
        <v>45964.0</v>
      </c>
      <c r="B1872" s="44" t="s">
        <v>37</v>
      </c>
      <c r="C1872" s="44"/>
      <c r="D1872" s="45"/>
      <c r="E1872" s="45"/>
      <c r="F1872" s="20">
        <f t="shared" si="24"/>
        <v>0</v>
      </c>
      <c r="G1872" s="67" t="str">
        <f>IFERROR(VLOOKUP(B1872,DADOS!$A$2:$H$252,8,0),"")</f>
        <v/>
      </c>
      <c r="H1872" s="47"/>
      <c r="I1872" s="23" t="str">
        <f>IFERROR(VLOOKUP(B1872,DADOS!$A$2:$H$252,4,0)*H1872,"")</f>
        <v/>
      </c>
      <c r="J1872" s="46">
        <v>1.0</v>
      </c>
      <c r="K1872" s="25" t="str">
        <f>IFERROR(VLOOKUP(B1872,DADOS!$A$2:$H$252,4,0)*J1872,"")</f>
        <v/>
      </c>
      <c r="L1872" s="26" t="str">
        <f t="shared" si="23"/>
        <v/>
      </c>
      <c r="M1872" s="33" t="s">
        <v>83</v>
      </c>
      <c r="N1872" s="33" t="s">
        <v>85</v>
      </c>
      <c r="O1872" s="63"/>
      <c r="P1872" s="63"/>
      <c r="Q1872" s="63"/>
      <c r="R1872" s="63"/>
      <c r="S1872" s="63"/>
      <c r="T1872" s="64"/>
      <c r="U1872" s="64"/>
      <c r="V1872" s="64"/>
      <c r="W1872" s="64"/>
      <c r="X1872" s="64"/>
      <c r="Y1872" s="64"/>
      <c r="Z1872" s="64"/>
      <c r="AA1872" s="64"/>
      <c r="AB1872" s="64"/>
      <c r="AC1872" s="64"/>
      <c r="AD1872" s="64"/>
      <c r="AE1872" s="64"/>
      <c r="AF1872" s="64"/>
      <c r="AG1872" s="64"/>
      <c r="AH1872" s="64"/>
      <c r="AI1872" s="64"/>
      <c r="AJ1872" s="64"/>
    </row>
    <row r="1873">
      <c r="A1873" s="43">
        <v>45964.0</v>
      </c>
      <c r="B1873" s="44" t="s">
        <v>62</v>
      </c>
      <c r="C1873" s="44"/>
      <c r="D1873" s="45"/>
      <c r="E1873" s="45"/>
      <c r="F1873" s="20">
        <f t="shared" si="24"/>
        <v>0</v>
      </c>
      <c r="G1873" s="67">
        <f>IFERROR(VLOOKUP(B1873,DADOS!$A$2:$H$252,8,0),"")</f>
        <v>14</v>
      </c>
      <c r="H1873" s="47"/>
      <c r="I1873" s="23">
        <f>IFERROR(VLOOKUP(B1873,DADOS!$A$2:$H$252,4,0)*H1873,"")</f>
        <v>0</v>
      </c>
      <c r="J1873" s="46">
        <v>3.0</v>
      </c>
      <c r="K1873" s="25">
        <f>IFERROR(VLOOKUP(B1873,DADOS!$A$2:$H$252,4,0)*J1873,"")</f>
        <v>0.2549382</v>
      </c>
      <c r="L1873" s="26" t="str">
        <f t="shared" si="23"/>
        <v/>
      </c>
      <c r="M1873" s="33" t="s">
        <v>83</v>
      </c>
      <c r="N1873" s="33" t="s">
        <v>88</v>
      </c>
      <c r="O1873" s="63"/>
      <c r="P1873" s="63"/>
      <c r="Q1873" s="63"/>
      <c r="R1873" s="63"/>
      <c r="S1873" s="63"/>
      <c r="T1873" s="64"/>
      <c r="U1873" s="64"/>
      <c r="V1873" s="64"/>
      <c r="W1873" s="64"/>
      <c r="X1873" s="64"/>
      <c r="Y1873" s="64"/>
      <c r="Z1873" s="64"/>
      <c r="AA1873" s="64"/>
      <c r="AB1873" s="64"/>
      <c r="AC1873" s="64"/>
      <c r="AD1873" s="64"/>
      <c r="AE1873" s="64"/>
      <c r="AF1873" s="64"/>
      <c r="AG1873" s="64"/>
      <c r="AH1873" s="64"/>
      <c r="AI1873" s="64"/>
      <c r="AJ1873" s="64"/>
    </row>
    <row r="1874">
      <c r="A1874" s="43">
        <v>45964.0</v>
      </c>
      <c r="B1874" s="44" t="s">
        <v>122</v>
      </c>
      <c r="C1874" s="44"/>
      <c r="D1874" s="45"/>
      <c r="E1874" s="45"/>
      <c r="F1874" s="20">
        <f t="shared" si="24"/>
        <v>0</v>
      </c>
      <c r="G1874" s="67">
        <f>IFERROR(VLOOKUP(B1874,DADOS!$A$2:$H$252,8,0),"")</f>
        <v>17</v>
      </c>
      <c r="H1874" s="47"/>
      <c r="I1874" s="23">
        <f>IFERROR(VLOOKUP(B1874,DADOS!$A$2:$H$252,4,0)*H1874,"")</f>
        <v>0</v>
      </c>
      <c r="J1874" s="46">
        <v>1.0</v>
      </c>
      <c r="K1874" s="25">
        <f>IFERROR(VLOOKUP(B1874,DADOS!$A$2:$H$252,4,0)*J1874,"")</f>
        <v>0.1716066</v>
      </c>
      <c r="L1874" s="26" t="str">
        <f t="shared" si="23"/>
        <v/>
      </c>
      <c r="M1874" s="33" t="s">
        <v>39</v>
      </c>
      <c r="N1874" s="33" t="s">
        <v>120</v>
      </c>
      <c r="O1874" s="63"/>
      <c r="P1874" s="63"/>
      <c r="Q1874" s="63"/>
      <c r="R1874" s="63"/>
      <c r="S1874" s="63"/>
      <c r="T1874" s="64"/>
      <c r="U1874" s="64"/>
      <c r="V1874" s="64"/>
      <c r="W1874" s="64"/>
      <c r="X1874" s="64"/>
      <c r="Y1874" s="64"/>
      <c r="Z1874" s="64"/>
      <c r="AA1874" s="64"/>
      <c r="AB1874" s="64"/>
      <c r="AC1874" s="64"/>
      <c r="AD1874" s="64"/>
      <c r="AE1874" s="64"/>
      <c r="AF1874" s="64"/>
      <c r="AG1874" s="64"/>
      <c r="AH1874" s="64"/>
      <c r="AI1874" s="64"/>
      <c r="AJ1874" s="64"/>
    </row>
    <row r="1875">
      <c r="A1875" s="43">
        <v>45964.0</v>
      </c>
      <c r="B1875" s="44" t="s">
        <v>148</v>
      </c>
      <c r="C1875" s="44"/>
      <c r="D1875" s="45"/>
      <c r="E1875" s="45"/>
      <c r="F1875" s="20">
        <f t="shared" si="24"/>
        <v>0</v>
      </c>
      <c r="G1875" s="67">
        <f>IFERROR(VLOOKUP(B1875,DADOS!$A$2:$H$252,8,0),"")</f>
        <v>22</v>
      </c>
      <c r="H1875" s="47"/>
      <c r="I1875" s="23">
        <f>IFERROR(VLOOKUP(B1875,DADOS!$A$2:$H$252,4,0)*H1875,"")</f>
        <v>0</v>
      </c>
      <c r="J1875" s="46">
        <v>1.0</v>
      </c>
      <c r="K1875" s="25">
        <f>IFERROR(VLOOKUP(B1875,DADOS!$A$2:$H$252,4,0)*J1875,"")</f>
        <v>0.061846</v>
      </c>
      <c r="L1875" s="26" t="str">
        <f t="shared" si="23"/>
        <v/>
      </c>
      <c r="M1875" s="33" t="s">
        <v>83</v>
      </c>
      <c r="N1875" s="33" t="s">
        <v>88</v>
      </c>
      <c r="O1875" s="63"/>
      <c r="P1875" s="63"/>
      <c r="Q1875" s="63"/>
      <c r="R1875" s="63"/>
      <c r="S1875" s="63"/>
      <c r="T1875" s="64"/>
      <c r="U1875" s="64"/>
      <c r="V1875" s="64"/>
      <c r="W1875" s="64"/>
      <c r="X1875" s="64"/>
      <c r="Y1875" s="64"/>
      <c r="Z1875" s="64"/>
      <c r="AA1875" s="64"/>
      <c r="AB1875" s="64"/>
      <c r="AC1875" s="64"/>
      <c r="AD1875" s="64"/>
      <c r="AE1875" s="64"/>
      <c r="AF1875" s="64"/>
      <c r="AG1875" s="64"/>
      <c r="AH1875" s="64"/>
      <c r="AI1875" s="64"/>
      <c r="AJ1875" s="64"/>
    </row>
    <row r="1876">
      <c r="A1876" s="43">
        <v>45964.0</v>
      </c>
      <c r="B1876" s="44" t="s">
        <v>119</v>
      </c>
      <c r="C1876" s="44"/>
      <c r="D1876" s="45"/>
      <c r="E1876" s="45"/>
      <c r="F1876" s="20">
        <f t="shared" si="24"/>
        <v>0</v>
      </c>
      <c r="G1876" s="67">
        <f>IFERROR(VLOOKUP(B1876,DADOS!$A$2:$H$252,8,0),"")</f>
        <v>25</v>
      </c>
      <c r="H1876" s="47"/>
      <c r="I1876" s="23">
        <f>IFERROR(VLOOKUP(B1876,DADOS!$A$2:$H$252,4,0)*H1876,"")</f>
        <v>0</v>
      </c>
      <c r="J1876" s="46">
        <v>4.0</v>
      </c>
      <c r="K1876" s="25">
        <f>IFERROR(VLOOKUP(B1876,DADOS!$A$2:$H$252,4,0)*J1876,"")</f>
        <v>0.5207904</v>
      </c>
      <c r="L1876" s="26" t="str">
        <f t="shared" si="23"/>
        <v/>
      </c>
      <c r="M1876" s="33" t="s">
        <v>39</v>
      </c>
      <c r="N1876" s="33" t="s">
        <v>86</v>
      </c>
      <c r="O1876" s="63"/>
      <c r="P1876" s="63"/>
      <c r="Q1876" s="63"/>
      <c r="R1876" s="63"/>
      <c r="S1876" s="63"/>
      <c r="T1876" s="64"/>
      <c r="U1876" s="64"/>
      <c r="V1876" s="64"/>
      <c r="W1876" s="64"/>
      <c r="X1876" s="64"/>
      <c r="Y1876" s="64"/>
      <c r="Z1876" s="64"/>
      <c r="AA1876" s="64"/>
      <c r="AB1876" s="64"/>
      <c r="AC1876" s="64"/>
      <c r="AD1876" s="64"/>
      <c r="AE1876" s="64"/>
      <c r="AF1876" s="64"/>
      <c r="AG1876" s="64"/>
      <c r="AH1876" s="64"/>
      <c r="AI1876" s="64"/>
      <c r="AJ1876" s="64"/>
    </row>
    <row r="1877">
      <c r="A1877" s="43">
        <v>45964.0</v>
      </c>
      <c r="B1877" s="44" t="s">
        <v>188</v>
      </c>
      <c r="C1877" s="44"/>
      <c r="D1877" s="45"/>
      <c r="E1877" s="45"/>
      <c r="F1877" s="20">
        <f t="shared" si="24"/>
        <v>0</v>
      </c>
      <c r="G1877" s="67">
        <f>IFERROR(VLOOKUP(B1877,DADOS!$A$2:$H$252,8,0),"")</f>
        <v>30</v>
      </c>
      <c r="H1877" s="47"/>
      <c r="I1877" s="23">
        <f>IFERROR(VLOOKUP(B1877,DADOS!$A$2:$H$252,4,0)*H1877,"")</f>
        <v>0</v>
      </c>
      <c r="J1877" s="46">
        <v>6.0</v>
      </c>
      <c r="K1877" s="25">
        <f>IFERROR(VLOOKUP(B1877,DADOS!$A$2:$H$252,4,0)*J1877,"")</f>
        <v>0.6836016</v>
      </c>
      <c r="L1877" s="26" t="str">
        <f t="shared" si="23"/>
        <v/>
      </c>
      <c r="M1877" s="33" t="s">
        <v>83</v>
      </c>
      <c r="N1877" s="33" t="s">
        <v>85</v>
      </c>
      <c r="O1877" s="63"/>
      <c r="P1877" s="63"/>
      <c r="Q1877" s="63"/>
      <c r="R1877" s="63"/>
      <c r="S1877" s="63"/>
      <c r="T1877" s="64"/>
      <c r="U1877" s="64"/>
      <c r="V1877" s="64"/>
      <c r="W1877" s="64"/>
      <c r="X1877" s="64"/>
      <c r="Y1877" s="64"/>
      <c r="Z1877" s="64"/>
      <c r="AA1877" s="64"/>
      <c r="AB1877" s="64"/>
      <c r="AC1877" s="64"/>
      <c r="AD1877" s="64"/>
      <c r="AE1877" s="64"/>
      <c r="AF1877" s="64"/>
      <c r="AG1877" s="64"/>
      <c r="AH1877" s="64"/>
      <c r="AI1877" s="64"/>
      <c r="AJ1877" s="64"/>
    </row>
    <row r="1878">
      <c r="A1878" s="43">
        <v>45964.0</v>
      </c>
      <c r="B1878" s="44" t="s">
        <v>116</v>
      </c>
      <c r="C1878" s="44"/>
      <c r="D1878" s="45"/>
      <c r="E1878" s="45"/>
      <c r="F1878" s="20">
        <f t="shared" si="24"/>
        <v>0</v>
      </c>
      <c r="G1878" s="67">
        <f>IFERROR(VLOOKUP(B1878,DADOS!$A$2:$H$252,8,0),"")</f>
        <v>15</v>
      </c>
      <c r="H1878" s="47"/>
      <c r="I1878" s="23">
        <f>IFERROR(VLOOKUP(B1878,DADOS!$A$2:$H$252,4,0)*H1878,"")</f>
        <v>0</v>
      </c>
      <c r="J1878" s="46">
        <v>2.0</v>
      </c>
      <c r="K1878" s="25">
        <f>IFERROR(VLOOKUP(B1878,DADOS!$A$2:$H$252,4,0)*J1878,"")</f>
        <v>0.554688</v>
      </c>
      <c r="L1878" s="26" t="str">
        <f t="shared" si="23"/>
        <v/>
      </c>
      <c r="M1878" s="33" t="s">
        <v>83</v>
      </c>
      <c r="N1878" s="33" t="s">
        <v>88</v>
      </c>
      <c r="O1878" s="63"/>
      <c r="P1878" s="63"/>
      <c r="Q1878" s="63"/>
      <c r="R1878" s="63"/>
      <c r="S1878" s="63"/>
      <c r="T1878" s="64"/>
      <c r="U1878" s="64"/>
      <c r="V1878" s="64"/>
      <c r="W1878" s="64"/>
      <c r="X1878" s="64"/>
      <c r="Y1878" s="64"/>
      <c r="Z1878" s="64"/>
      <c r="AA1878" s="64"/>
      <c r="AB1878" s="64"/>
      <c r="AC1878" s="64"/>
      <c r="AD1878" s="64"/>
      <c r="AE1878" s="64"/>
      <c r="AF1878" s="64"/>
      <c r="AG1878" s="64"/>
      <c r="AH1878" s="64"/>
      <c r="AI1878" s="64"/>
      <c r="AJ1878" s="64"/>
    </row>
    <row r="1879">
      <c r="A1879" s="43">
        <v>45964.0</v>
      </c>
      <c r="B1879" s="44" t="s">
        <v>116</v>
      </c>
      <c r="C1879" s="44"/>
      <c r="D1879" s="45"/>
      <c r="E1879" s="45"/>
      <c r="F1879" s="20">
        <f t="shared" si="24"/>
        <v>0</v>
      </c>
      <c r="G1879" s="67">
        <f>IFERROR(VLOOKUP(B1879,DADOS!$A$2:$H$252,8,0),"")</f>
        <v>15</v>
      </c>
      <c r="H1879" s="47"/>
      <c r="I1879" s="23">
        <f>IFERROR(VLOOKUP(B1879,DADOS!$A$2:$H$252,4,0)*H1879,"")</f>
        <v>0</v>
      </c>
      <c r="J1879" s="46">
        <v>1.0</v>
      </c>
      <c r="K1879" s="25">
        <f>IFERROR(VLOOKUP(B1879,DADOS!$A$2:$H$252,4,0)*J1879,"")</f>
        <v>0.277344</v>
      </c>
      <c r="L1879" s="26" t="str">
        <f t="shared" si="23"/>
        <v/>
      </c>
      <c r="M1879" s="33" t="s">
        <v>39</v>
      </c>
      <c r="N1879" s="33" t="s">
        <v>120</v>
      </c>
      <c r="O1879" s="63"/>
      <c r="P1879" s="63"/>
      <c r="Q1879" s="63"/>
      <c r="R1879" s="63"/>
      <c r="S1879" s="63"/>
      <c r="T1879" s="64"/>
      <c r="U1879" s="64"/>
      <c r="V1879" s="64"/>
      <c r="W1879" s="64"/>
      <c r="X1879" s="64"/>
      <c r="Y1879" s="64"/>
      <c r="Z1879" s="64"/>
      <c r="AA1879" s="64"/>
      <c r="AB1879" s="64"/>
      <c r="AC1879" s="64"/>
      <c r="AD1879" s="64"/>
      <c r="AE1879" s="64"/>
      <c r="AF1879" s="64"/>
      <c r="AG1879" s="64"/>
      <c r="AH1879" s="64"/>
      <c r="AI1879" s="64"/>
      <c r="AJ1879" s="64"/>
    </row>
    <row r="1880">
      <c r="A1880" s="43">
        <v>45964.0</v>
      </c>
      <c r="B1880" s="44" t="s">
        <v>99</v>
      </c>
      <c r="C1880" s="44"/>
      <c r="D1880" s="45"/>
      <c r="E1880" s="45"/>
      <c r="F1880" s="20">
        <f t="shared" si="24"/>
        <v>0</v>
      </c>
      <c r="G1880" s="67">
        <f>IFERROR(VLOOKUP(B1880,DADOS!$A$2:$H$252,8,0),"")</f>
        <v>26</v>
      </c>
      <c r="H1880" s="47"/>
      <c r="I1880" s="23">
        <f>IFERROR(VLOOKUP(B1880,DADOS!$A$2:$H$252,4,0)*H1880,"")</f>
        <v>0</v>
      </c>
      <c r="J1880" s="46">
        <v>4.0</v>
      </c>
      <c r="K1880" s="25">
        <f>IFERROR(VLOOKUP(B1880,DADOS!$A$2:$H$252,4,0)*J1880,"")</f>
        <v>0.37664</v>
      </c>
      <c r="L1880" s="26" t="str">
        <f t="shared" si="23"/>
        <v/>
      </c>
      <c r="M1880" s="33" t="s">
        <v>39</v>
      </c>
      <c r="N1880" s="33" t="s">
        <v>120</v>
      </c>
      <c r="O1880" s="63"/>
      <c r="P1880" s="63"/>
      <c r="Q1880" s="63"/>
      <c r="R1880" s="63"/>
      <c r="S1880" s="63"/>
      <c r="T1880" s="64"/>
      <c r="U1880" s="64"/>
      <c r="V1880" s="64"/>
      <c r="W1880" s="64"/>
      <c r="X1880" s="64"/>
      <c r="Y1880" s="64"/>
      <c r="Z1880" s="64"/>
      <c r="AA1880" s="64"/>
      <c r="AB1880" s="64"/>
      <c r="AC1880" s="64"/>
      <c r="AD1880" s="64"/>
      <c r="AE1880" s="64"/>
      <c r="AF1880" s="64"/>
      <c r="AG1880" s="64"/>
      <c r="AH1880" s="64"/>
      <c r="AI1880" s="64"/>
      <c r="AJ1880" s="64"/>
    </row>
    <row r="1881">
      <c r="A1881" s="43">
        <v>45964.0</v>
      </c>
      <c r="B1881" s="44" t="s">
        <v>49</v>
      </c>
      <c r="C1881" s="44"/>
      <c r="D1881" s="45"/>
      <c r="E1881" s="45"/>
      <c r="F1881" s="20">
        <f t="shared" si="24"/>
        <v>0</v>
      </c>
      <c r="G1881" s="67">
        <f>IFERROR(VLOOKUP(B1881,DADOS!$A$2:$H$252,8,0),"")</f>
        <v>42</v>
      </c>
      <c r="H1881" s="47"/>
      <c r="I1881" s="23">
        <f>IFERROR(VLOOKUP(B1881,DADOS!$A$2:$H$252,4,0)*H1881,"")</f>
        <v>0</v>
      </c>
      <c r="J1881" s="46">
        <v>2.0</v>
      </c>
      <c r="K1881" s="25">
        <f>IFERROR(VLOOKUP(B1881,DADOS!$A$2:$H$252,4,0)*J1881,"")</f>
        <v>0.1360612</v>
      </c>
      <c r="L1881" s="26" t="str">
        <f t="shared" si="23"/>
        <v/>
      </c>
      <c r="M1881" s="33" t="s">
        <v>39</v>
      </c>
      <c r="N1881" s="33" t="s">
        <v>120</v>
      </c>
      <c r="O1881" s="63"/>
      <c r="P1881" s="63"/>
      <c r="Q1881" s="63"/>
      <c r="R1881" s="63"/>
      <c r="S1881" s="63"/>
      <c r="T1881" s="64"/>
      <c r="U1881" s="64"/>
      <c r="V1881" s="64"/>
      <c r="W1881" s="64"/>
      <c r="X1881" s="64"/>
      <c r="Y1881" s="64"/>
      <c r="Z1881" s="64"/>
      <c r="AA1881" s="64"/>
      <c r="AB1881" s="64"/>
      <c r="AC1881" s="64"/>
      <c r="AD1881" s="64"/>
      <c r="AE1881" s="64"/>
      <c r="AF1881" s="64"/>
      <c r="AG1881" s="64"/>
      <c r="AH1881" s="64"/>
      <c r="AI1881" s="64"/>
      <c r="AJ1881" s="64"/>
    </row>
    <row r="1882">
      <c r="A1882" s="43">
        <v>45964.0</v>
      </c>
      <c r="B1882" s="44" t="s">
        <v>49</v>
      </c>
      <c r="C1882" s="44"/>
      <c r="D1882" s="45"/>
      <c r="E1882" s="45"/>
      <c r="F1882" s="20">
        <f t="shared" si="24"/>
        <v>0</v>
      </c>
      <c r="G1882" s="67">
        <f>IFERROR(VLOOKUP(B1882,DADOS!$A$2:$H$252,8,0),"")</f>
        <v>42</v>
      </c>
      <c r="H1882" s="47"/>
      <c r="I1882" s="23">
        <f>IFERROR(VLOOKUP(B1882,DADOS!$A$2:$H$252,4,0)*H1882,"")</f>
        <v>0</v>
      </c>
      <c r="J1882" s="46">
        <v>1.0</v>
      </c>
      <c r="K1882" s="25">
        <f>IFERROR(VLOOKUP(B1882,DADOS!$A$2:$H$252,4,0)*J1882,"")</f>
        <v>0.0680306</v>
      </c>
      <c r="L1882" s="26" t="str">
        <f t="shared" si="23"/>
        <v/>
      </c>
      <c r="M1882" s="33" t="s">
        <v>83</v>
      </c>
      <c r="N1882" s="33" t="s">
        <v>88</v>
      </c>
      <c r="O1882" s="63"/>
      <c r="P1882" s="63"/>
      <c r="Q1882" s="63"/>
      <c r="R1882" s="63"/>
      <c r="S1882" s="63"/>
      <c r="T1882" s="64"/>
      <c r="U1882" s="64"/>
      <c r="V1882" s="64"/>
      <c r="W1882" s="64"/>
      <c r="X1882" s="64"/>
      <c r="Y1882" s="64"/>
      <c r="Z1882" s="64"/>
      <c r="AA1882" s="64"/>
      <c r="AB1882" s="64"/>
      <c r="AC1882" s="64"/>
      <c r="AD1882" s="64"/>
      <c r="AE1882" s="64"/>
      <c r="AF1882" s="64"/>
      <c r="AG1882" s="64"/>
      <c r="AH1882" s="64"/>
      <c r="AI1882" s="64"/>
      <c r="AJ1882" s="64"/>
    </row>
    <row r="1883">
      <c r="A1883" s="43">
        <v>45964.0</v>
      </c>
      <c r="B1883" s="44" t="s">
        <v>191</v>
      </c>
      <c r="C1883" s="44"/>
      <c r="D1883" s="45"/>
      <c r="E1883" s="45"/>
      <c r="F1883" s="20">
        <f t="shared" si="24"/>
        <v>0</v>
      </c>
      <c r="G1883" s="67" t="str">
        <f>IFERROR(VLOOKUP(B1883,DADOS!$A$2:$H$252,8,0),"")</f>
        <v/>
      </c>
      <c r="H1883" s="47"/>
      <c r="I1883" s="23">
        <f>IFERROR(VLOOKUP(B1883,DADOS!$A$2:$H$252,4,0)*H1883,"")</f>
        <v>0</v>
      </c>
      <c r="J1883" s="46">
        <v>3.0</v>
      </c>
      <c r="K1883" s="25">
        <f>IFERROR(VLOOKUP(B1883,DADOS!$A$2:$H$252,4,0)*J1883,"")</f>
        <v>0</v>
      </c>
      <c r="L1883" s="26" t="str">
        <f t="shared" si="23"/>
        <v/>
      </c>
      <c r="M1883" s="33" t="s">
        <v>83</v>
      </c>
      <c r="N1883" s="33" t="s">
        <v>177</v>
      </c>
      <c r="O1883" s="28"/>
      <c r="P1883" s="28"/>
      <c r="Q1883" s="28"/>
      <c r="R1883" s="28"/>
      <c r="S1883" s="28"/>
    </row>
    <row r="1884">
      <c r="A1884" s="43">
        <v>45964.0</v>
      </c>
      <c r="B1884" s="44" t="s">
        <v>160</v>
      </c>
      <c r="C1884" s="44"/>
      <c r="D1884" s="45"/>
      <c r="E1884" s="45"/>
      <c r="F1884" s="20">
        <f t="shared" si="24"/>
        <v>0</v>
      </c>
      <c r="G1884" s="67">
        <f>IFERROR(VLOOKUP(B1884,DADOS!$A$2:$H$252,8,0),"")</f>
        <v>18</v>
      </c>
      <c r="H1884" s="47"/>
      <c r="I1884" s="23">
        <f>IFERROR(VLOOKUP(B1884,DADOS!$A$2:$H$252,4,0)*H1884,"")</f>
        <v>0</v>
      </c>
      <c r="J1884" s="46">
        <v>1.0</v>
      </c>
      <c r="K1884" s="25">
        <f>IFERROR(VLOOKUP(B1884,DADOS!$A$2:$H$252,4,0)*J1884,"")</f>
        <v>0.277344</v>
      </c>
      <c r="L1884" s="26" t="str">
        <f t="shared" si="23"/>
        <v/>
      </c>
      <c r="M1884" s="33" t="s">
        <v>39</v>
      </c>
      <c r="N1884" s="33" t="s">
        <v>86</v>
      </c>
      <c r="O1884" s="28"/>
      <c r="P1884" s="28"/>
      <c r="Q1884" s="28"/>
      <c r="R1884" s="28"/>
      <c r="S1884" s="28"/>
    </row>
    <row r="1885">
      <c r="A1885" s="43">
        <v>45964.0</v>
      </c>
      <c r="B1885" s="44" t="s">
        <v>186</v>
      </c>
      <c r="C1885" s="44"/>
      <c r="D1885" s="45"/>
      <c r="E1885" s="45"/>
      <c r="F1885" s="20">
        <f t="shared" si="24"/>
        <v>0</v>
      </c>
      <c r="G1885" s="67">
        <f>IFERROR(VLOOKUP(B1885,DADOS!$A$2:$H$252,8,0),"")</f>
        <v>25</v>
      </c>
      <c r="H1885" s="47"/>
      <c r="I1885" s="23">
        <f>IFERROR(VLOOKUP(B1885,DADOS!$A$2:$H$252,4,0)*H1885,"")</f>
        <v>0</v>
      </c>
      <c r="J1885" s="46">
        <v>1.0</v>
      </c>
      <c r="K1885" s="25">
        <f>IFERROR(VLOOKUP(B1885,DADOS!$A$2:$H$252,4,0)*J1885,"")</f>
        <v>0.277344</v>
      </c>
      <c r="L1885" s="26" t="str">
        <f t="shared" si="23"/>
        <v/>
      </c>
      <c r="M1885" s="33" t="s">
        <v>83</v>
      </c>
      <c r="N1885" s="33" t="s">
        <v>85</v>
      </c>
      <c r="O1885" s="28"/>
      <c r="P1885" s="28"/>
      <c r="Q1885" s="28"/>
      <c r="R1885" s="28"/>
      <c r="S1885" s="28"/>
    </row>
    <row r="1886">
      <c r="A1886" s="17">
        <v>45965.0</v>
      </c>
      <c r="B1886" s="18" t="s">
        <v>57</v>
      </c>
      <c r="C1886" s="18" t="s">
        <v>65</v>
      </c>
      <c r="D1886" s="19"/>
      <c r="E1886" s="19"/>
      <c r="F1886" s="20">
        <f t="shared" si="24"/>
        <v>0</v>
      </c>
      <c r="G1886" s="67">
        <f>IFERROR(VLOOKUP(B1886,DADOS!$A$2:$H$252,8,0),"")</f>
        <v>100</v>
      </c>
      <c r="H1886" s="22">
        <v>105.0</v>
      </c>
      <c r="I1886" s="23">
        <f>IFERROR(VLOOKUP(B1886,DADOS!$A$2:$H$252,4,0)*H1886,"")</f>
        <v>1.7976</v>
      </c>
      <c r="J1886" s="24">
        <v>2.0</v>
      </c>
      <c r="K1886" s="25">
        <f>IFERROR(VLOOKUP(B1886,DADOS!$A$2:$H$252,4,0)*J1886,"")</f>
        <v>0.03424</v>
      </c>
      <c r="L1886" s="26">
        <f t="shared" si="23"/>
        <v>0</v>
      </c>
      <c r="M1886" s="27"/>
      <c r="N1886" s="30"/>
      <c r="O1886" s="28"/>
      <c r="P1886" s="28"/>
      <c r="Q1886" s="28"/>
      <c r="R1886" s="28"/>
      <c r="S1886" s="28"/>
    </row>
    <row r="1887">
      <c r="A1887" s="17">
        <v>45965.0</v>
      </c>
      <c r="B1887" s="18" t="s">
        <v>24</v>
      </c>
      <c r="C1887" s="18" t="s">
        <v>165</v>
      </c>
      <c r="D1887" s="19">
        <v>0.3333333333333333</v>
      </c>
      <c r="E1887" s="19">
        <v>0.3958333333333333</v>
      </c>
      <c r="F1887" s="20">
        <f t="shared" si="24"/>
        <v>0.0625</v>
      </c>
      <c r="G1887" s="67">
        <f>IFERROR(VLOOKUP(B1887,DADOS!$A$2:$H$252,8,0),"")</f>
        <v>37</v>
      </c>
      <c r="H1887" s="22">
        <v>18.0</v>
      </c>
      <c r="I1887" s="23">
        <f>IFERROR(VLOOKUP(B1887,DADOS!$A$2:$H$252,4,0)*H1887,"")</f>
        <v>2.0508048</v>
      </c>
      <c r="J1887" s="36"/>
      <c r="K1887" s="25">
        <f>IFERROR(VLOOKUP(B1887,DADOS!$A$2:$H$252,4,0)*J1887,"")</f>
        <v>0</v>
      </c>
      <c r="L1887" s="26">
        <f t="shared" si="23"/>
        <v>0</v>
      </c>
      <c r="M1887" s="27"/>
      <c r="N1887" s="30"/>
      <c r="O1887" s="28"/>
      <c r="P1887" s="28"/>
      <c r="Q1887" s="28"/>
      <c r="R1887" s="28"/>
      <c r="S1887" s="28"/>
    </row>
    <row r="1888">
      <c r="A1888" s="17">
        <v>45965.0</v>
      </c>
      <c r="B1888" s="18" t="s">
        <v>116</v>
      </c>
      <c r="C1888" s="18" t="s">
        <v>165</v>
      </c>
      <c r="D1888" s="19">
        <v>0.44305555555555554</v>
      </c>
      <c r="E1888" s="19">
        <v>0.6215277777777778</v>
      </c>
      <c r="F1888" s="20">
        <f t="shared" si="24"/>
        <v>0.1784722222</v>
      </c>
      <c r="G1888" s="67">
        <f>IFERROR(VLOOKUP(B1888,DADOS!$A$2:$H$252,8,0),"")</f>
        <v>15</v>
      </c>
      <c r="H1888" s="22">
        <v>28.0</v>
      </c>
      <c r="I1888" s="23">
        <f>IFERROR(VLOOKUP(B1888,DADOS!$A$2:$H$252,4,0)*H1888,"")</f>
        <v>7.765632</v>
      </c>
      <c r="J1888" s="24">
        <v>2.0</v>
      </c>
      <c r="K1888" s="25">
        <f>IFERROR(VLOOKUP(B1888,DADOS!$A$2:$H$252,4,0)*J1888,"")</f>
        <v>0.554688</v>
      </c>
      <c r="L1888" s="26">
        <f t="shared" si="23"/>
        <v>0</v>
      </c>
      <c r="M1888" s="27"/>
      <c r="N1888" s="30"/>
      <c r="O1888" s="28"/>
      <c r="P1888" s="28"/>
      <c r="Q1888" s="28"/>
      <c r="R1888" s="28"/>
      <c r="S1888" s="28"/>
    </row>
    <row r="1889">
      <c r="A1889" s="17">
        <v>45965.0</v>
      </c>
      <c r="B1889" s="18" t="s">
        <v>62</v>
      </c>
      <c r="C1889" s="18" t="s">
        <v>165</v>
      </c>
      <c r="D1889" s="19">
        <v>0.6770833333333334</v>
      </c>
      <c r="E1889" s="19">
        <v>0.7173611111111111</v>
      </c>
      <c r="F1889" s="20">
        <f t="shared" si="24"/>
        <v>0.04027777778</v>
      </c>
      <c r="G1889" s="67">
        <f>IFERROR(VLOOKUP(B1889,DADOS!$A$2:$H$252,8,0),"")</f>
        <v>14</v>
      </c>
      <c r="H1889" s="22">
        <v>8.0</v>
      </c>
      <c r="I1889" s="23">
        <f>IFERROR(VLOOKUP(B1889,DADOS!$A$2:$H$252,4,0)*H1889,"")</f>
        <v>0.6798352</v>
      </c>
      <c r="J1889" s="24">
        <v>1.0</v>
      </c>
      <c r="K1889" s="25">
        <f>IFERROR(VLOOKUP(B1889,DADOS!$A$2:$H$252,4,0)*J1889,"")</f>
        <v>0.0849794</v>
      </c>
      <c r="L1889" s="26">
        <f t="shared" si="23"/>
        <v>0</v>
      </c>
      <c r="M1889" s="27"/>
      <c r="N1889" s="30"/>
      <c r="O1889" s="28"/>
      <c r="P1889" s="28"/>
      <c r="Q1889" s="28"/>
      <c r="R1889" s="28"/>
      <c r="S1889" s="28"/>
    </row>
    <row r="1890">
      <c r="A1890" s="17">
        <v>45966.0</v>
      </c>
      <c r="B1890" s="18" t="s">
        <v>79</v>
      </c>
      <c r="C1890" s="18" t="s">
        <v>65</v>
      </c>
      <c r="D1890" s="19"/>
      <c r="E1890" s="19"/>
      <c r="F1890" s="20">
        <f t="shared" si="24"/>
        <v>0</v>
      </c>
      <c r="G1890" s="67">
        <f>IFERROR(VLOOKUP(B1890,DADOS!$A$2:$H$252,8,0),"")</f>
        <v>87</v>
      </c>
      <c r="H1890" s="22">
        <v>87.0</v>
      </c>
      <c r="I1890" s="23">
        <f>IFERROR(VLOOKUP(B1890,DADOS!$A$2:$H$252,4,0)*H1890,"")</f>
        <v>1.48944</v>
      </c>
      <c r="J1890" s="24">
        <v>6.0</v>
      </c>
      <c r="K1890" s="25">
        <f>IFERROR(VLOOKUP(B1890,DADOS!$A$2:$H$252,4,0)*J1890,"")</f>
        <v>0.10272</v>
      </c>
      <c r="L1890" s="26">
        <f t="shared" si="23"/>
        <v>0</v>
      </c>
      <c r="M1890" s="27"/>
      <c r="N1890" s="30"/>
      <c r="O1890" s="28"/>
      <c r="P1890" s="28"/>
      <c r="Q1890" s="28"/>
      <c r="R1890" s="28"/>
      <c r="S1890" s="28"/>
    </row>
    <row r="1891">
      <c r="A1891" s="17">
        <v>45966.0</v>
      </c>
      <c r="B1891" s="18" t="s">
        <v>62</v>
      </c>
      <c r="C1891" s="18" t="s">
        <v>165</v>
      </c>
      <c r="D1891" s="19"/>
      <c r="E1891" s="19"/>
      <c r="F1891" s="20">
        <f t="shared" si="24"/>
        <v>0</v>
      </c>
      <c r="G1891" s="67">
        <f>IFERROR(VLOOKUP(B1891,DADOS!$A$2:$H$252,8,0),"")</f>
        <v>14</v>
      </c>
      <c r="H1891" s="22">
        <v>80.0</v>
      </c>
      <c r="I1891" s="23">
        <f>IFERROR(VLOOKUP(B1891,DADOS!$A$2:$H$252,4,0)*H1891,"")</f>
        <v>6.798352</v>
      </c>
      <c r="J1891" s="24">
        <v>15.0</v>
      </c>
      <c r="K1891" s="25">
        <f>IFERROR(VLOOKUP(B1891,DADOS!$A$2:$H$252,4,0)*J1891,"")</f>
        <v>1.274691</v>
      </c>
      <c r="L1891" s="26">
        <f t="shared" si="23"/>
        <v>0</v>
      </c>
      <c r="M1891" s="27"/>
      <c r="N1891" s="30"/>
      <c r="O1891" s="28"/>
      <c r="P1891" s="28"/>
      <c r="Q1891" s="28"/>
      <c r="R1891" s="28"/>
      <c r="S1891" s="28"/>
    </row>
    <row r="1892">
      <c r="A1892" s="17">
        <v>45966.0</v>
      </c>
      <c r="B1892" s="18" t="s">
        <v>18</v>
      </c>
      <c r="C1892" s="18" t="s">
        <v>165</v>
      </c>
      <c r="D1892" s="19"/>
      <c r="E1892" s="19"/>
      <c r="F1892" s="20">
        <f t="shared" si="24"/>
        <v>0</v>
      </c>
      <c r="G1892" s="67">
        <f>IFERROR(VLOOKUP(B1892,DADOS!$A$2:$H$252,8,0),"")</f>
        <v>21</v>
      </c>
      <c r="H1892" s="22">
        <v>1.0</v>
      </c>
      <c r="I1892" s="23">
        <f>IFERROR(VLOOKUP(B1892,DADOS!$A$2:$H$252,4,0)*H1892,"")</f>
        <v>0.292966</v>
      </c>
      <c r="J1892" s="36"/>
      <c r="K1892" s="25">
        <f>IFERROR(VLOOKUP(B1892,DADOS!$A$2:$H$252,4,0)*J1892,"")</f>
        <v>0</v>
      </c>
      <c r="L1892" s="26">
        <f t="shared" si="23"/>
        <v>0</v>
      </c>
      <c r="M1892" s="27"/>
      <c r="N1892" s="30"/>
      <c r="O1892" s="28"/>
      <c r="P1892" s="28"/>
      <c r="Q1892" s="28"/>
      <c r="R1892" s="28"/>
      <c r="S1892" s="28"/>
    </row>
    <row r="1893">
      <c r="A1893" s="17">
        <v>45967.0</v>
      </c>
      <c r="B1893" s="18" t="s">
        <v>79</v>
      </c>
      <c r="C1893" s="18" t="s">
        <v>65</v>
      </c>
      <c r="D1893" s="19"/>
      <c r="E1893" s="19"/>
      <c r="F1893" s="20">
        <f t="shared" si="24"/>
        <v>0</v>
      </c>
      <c r="G1893" s="67">
        <f>IFERROR(VLOOKUP(B1893,DADOS!$A$2:$H$252,8,0),"")</f>
        <v>87</v>
      </c>
      <c r="H1893" s="22">
        <v>156.0</v>
      </c>
      <c r="I1893" s="23">
        <f>IFERROR(VLOOKUP(B1893,DADOS!$A$2:$H$252,4,0)*H1893,"")</f>
        <v>2.67072</v>
      </c>
      <c r="J1893" s="24">
        <v>17.0</v>
      </c>
      <c r="K1893" s="25">
        <f>IFERROR(VLOOKUP(B1893,DADOS!$A$2:$H$252,4,0)*J1893,"")</f>
        <v>0.29104</v>
      </c>
      <c r="L1893" s="26">
        <f t="shared" si="23"/>
        <v>0</v>
      </c>
      <c r="M1893" s="27"/>
      <c r="N1893" s="30"/>
      <c r="O1893" s="28"/>
      <c r="P1893" s="28"/>
      <c r="Q1893" s="28"/>
      <c r="R1893" s="28"/>
      <c r="S1893" s="28"/>
    </row>
    <row r="1894">
      <c r="A1894" s="17">
        <v>45967.0</v>
      </c>
      <c r="B1894" s="18" t="s">
        <v>18</v>
      </c>
      <c r="C1894" s="18" t="s">
        <v>165</v>
      </c>
      <c r="D1894" s="19">
        <v>0.3333333333333333</v>
      </c>
      <c r="E1894" s="19">
        <v>0.6111111111111112</v>
      </c>
      <c r="F1894" s="20">
        <f t="shared" si="24"/>
        <v>0.2777777778</v>
      </c>
      <c r="G1894" s="67">
        <f>IFERROR(VLOOKUP(B1894,DADOS!$A$2:$H$252,8,0),"")</f>
        <v>21</v>
      </c>
      <c r="H1894" s="22">
        <v>90.0</v>
      </c>
      <c r="I1894" s="23">
        <f>IFERROR(VLOOKUP(B1894,DADOS!$A$2:$H$252,4,0)*H1894,"")</f>
        <v>26.36694</v>
      </c>
      <c r="J1894" s="36"/>
      <c r="K1894" s="25">
        <f>IFERROR(VLOOKUP(B1894,DADOS!$A$2:$H$252,4,0)*J1894,"")</f>
        <v>0</v>
      </c>
      <c r="L1894" s="26">
        <f t="shared" si="23"/>
        <v>0</v>
      </c>
      <c r="M1894" s="27"/>
      <c r="N1894" s="30"/>
      <c r="O1894" s="28"/>
      <c r="P1894" s="28"/>
      <c r="Q1894" s="28"/>
      <c r="R1894" s="28"/>
      <c r="S1894" s="28"/>
    </row>
    <row r="1895">
      <c r="A1895" s="17">
        <v>45967.0</v>
      </c>
      <c r="B1895" s="18" t="s">
        <v>35</v>
      </c>
      <c r="C1895" s="18" t="s">
        <v>165</v>
      </c>
      <c r="D1895" s="19">
        <v>0.6493055555555556</v>
      </c>
      <c r="E1895" s="19">
        <v>0.71875</v>
      </c>
      <c r="F1895" s="20">
        <f t="shared" si="24"/>
        <v>0.06944444444</v>
      </c>
      <c r="G1895" s="67">
        <f>IFERROR(VLOOKUP(B1895,DADOS!$A$2:$H$252,8,0),"")</f>
        <v>30</v>
      </c>
      <c r="H1895" s="22">
        <v>24.0</v>
      </c>
      <c r="I1895" s="23">
        <f>IFERROR(VLOOKUP(B1895,DADOS!$A$2:$H$252,4,0)*H1895,"")</f>
        <v>4.1185584</v>
      </c>
      <c r="J1895" s="24">
        <v>2.0</v>
      </c>
      <c r="K1895" s="25">
        <f>IFERROR(VLOOKUP(B1895,DADOS!$A$2:$H$252,4,0)*J1895,"")</f>
        <v>0.3432132</v>
      </c>
      <c r="L1895" s="26">
        <f t="shared" si="23"/>
        <v>0</v>
      </c>
      <c r="M1895" s="27"/>
      <c r="N1895" s="30"/>
      <c r="O1895" s="28"/>
      <c r="P1895" s="28"/>
      <c r="Q1895" s="28"/>
      <c r="R1895" s="28"/>
      <c r="S1895" s="28"/>
    </row>
    <row r="1896">
      <c r="A1896" s="17">
        <v>45968.0</v>
      </c>
      <c r="B1896" s="18" t="s">
        <v>34</v>
      </c>
      <c r="C1896" s="18" t="s">
        <v>166</v>
      </c>
      <c r="D1896" s="19">
        <v>0.3333333333333333</v>
      </c>
      <c r="E1896" s="19">
        <v>0.4861111111111111</v>
      </c>
      <c r="F1896" s="20">
        <f t="shared" si="24"/>
        <v>0.1527777778</v>
      </c>
      <c r="G1896" s="67">
        <f>IFERROR(VLOOKUP(B1896,DADOS!$A$2:$H$252,8,0),"")</f>
        <v>12</v>
      </c>
      <c r="H1896" s="22">
        <v>60.0</v>
      </c>
      <c r="I1896" s="23">
        <f>IFERROR(VLOOKUP(B1896,DADOS!$A$2:$H$252,4,0)*H1896,"")</f>
        <v>23.74116</v>
      </c>
      <c r="J1896" s="36"/>
      <c r="K1896" s="25">
        <f>IFERROR(VLOOKUP(B1896,DADOS!$A$2:$H$252,4,0)*J1896,"")</f>
        <v>0</v>
      </c>
      <c r="L1896" s="26">
        <f t="shared" si="23"/>
        <v>0</v>
      </c>
      <c r="M1896" s="27"/>
      <c r="N1896" s="30"/>
      <c r="O1896" s="28"/>
      <c r="P1896" s="28"/>
      <c r="Q1896" s="28"/>
      <c r="R1896" s="28"/>
      <c r="S1896" s="28"/>
    </row>
    <row r="1897">
      <c r="A1897" s="17">
        <v>45968.0</v>
      </c>
      <c r="B1897" s="18" t="s">
        <v>79</v>
      </c>
      <c r="C1897" s="18" t="s">
        <v>65</v>
      </c>
      <c r="D1897" s="19"/>
      <c r="E1897" s="19"/>
      <c r="F1897" s="20">
        <f t="shared" si="24"/>
        <v>0</v>
      </c>
      <c r="G1897" s="67">
        <f>IFERROR(VLOOKUP(B1897,DADOS!$A$2:$H$252,8,0),"")</f>
        <v>87</v>
      </c>
      <c r="H1897" s="22">
        <v>73.0</v>
      </c>
      <c r="I1897" s="23">
        <f>IFERROR(VLOOKUP(B1897,DADOS!$A$2:$H$252,4,0)*H1897,"")</f>
        <v>1.24976</v>
      </c>
      <c r="J1897" s="24">
        <v>25.0</v>
      </c>
      <c r="K1897" s="25">
        <f>IFERROR(VLOOKUP(B1897,DADOS!$A$2:$H$252,4,0)*J1897,"")</f>
        <v>0.428</v>
      </c>
      <c r="L1897" s="26">
        <f t="shared" si="23"/>
        <v>0</v>
      </c>
      <c r="M1897" s="27"/>
      <c r="N1897" s="30"/>
      <c r="O1897" s="28"/>
      <c r="P1897" s="28"/>
      <c r="Q1897" s="28"/>
      <c r="R1897" s="28"/>
      <c r="S1897" s="28"/>
    </row>
    <row r="1898">
      <c r="A1898" s="17">
        <v>45968.0</v>
      </c>
      <c r="B1898" s="18" t="s">
        <v>35</v>
      </c>
      <c r="C1898" s="18" t="s">
        <v>165</v>
      </c>
      <c r="D1898" s="19"/>
      <c r="E1898" s="19"/>
      <c r="F1898" s="20">
        <f t="shared" si="24"/>
        <v>0</v>
      </c>
      <c r="G1898" s="67">
        <f>IFERROR(VLOOKUP(B1898,DADOS!$A$2:$H$252,8,0),"")</f>
        <v>30</v>
      </c>
      <c r="H1898" s="22">
        <v>73.0</v>
      </c>
      <c r="I1898" s="23">
        <f>IFERROR(VLOOKUP(B1898,DADOS!$A$2:$H$252,4,0)*H1898,"")</f>
        <v>12.5272818</v>
      </c>
      <c r="J1898" s="36"/>
      <c r="K1898" s="25">
        <f>IFERROR(VLOOKUP(B1898,DADOS!$A$2:$H$252,4,0)*J1898,"")</f>
        <v>0</v>
      </c>
      <c r="L1898" s="26">
        <f t="shared" si="23"/>
        <v>0</v>
      </c>
      <c r="M1898" s="27"/>
      <c r="N1898" s="30"/>
      <c r="O1898" s="28"/>
      <c r="P1898" s="28"/>
      <c r="Q1898" s="28"/>
      <c r="R1898" s="28"/>
      <c r="S1898" s="28"/>
    </row>
    <row r="1899">
      <c r="A1899" s="17">
        <v>45968.0</v>
      </c>
      <c r="B1899" s="18" t="s">
        <v>47</v>
      </c>
      <c r="C1899" s="18" t="s">
        <v>165</v>
      </c>
      <c r="D1899" s="19"/>
      <c r="E1899" s="19"/>
      <c r="F1899" s="20">
        <f t="shared" si="24"/>
        <v>0</v>
      </c>
      <c r="G1899" s="67">
        <f>IFERROR(VLOOKUP(B1899,DADOS!$A$2:$H$252,8,0),"")</f>
        <v>35</v>
      </c>
      <c r="H1899" s="22">
        <v>32.0</v>
      </c>
      <c r="I1899" s="23">
        <f>IFERROR(VLOOKUP(B1899,DADOS!$A$2:$H$252,4,0)*H1899,"")</f>
        <v>3.6458752</v>
      </c>
      <c r="J1899" s="24">
        <v>1.0</v>
      </c>
      <c r="K1899" s="25">
        <f>IFERROR(VLOOKUP(B1899,DADOS!$A$2:$H$252,4,0)*J1899,"")</f>
        <v>0.1139336</v>
      </c>
      <c r="L1899" s="26">
        <f t="shared" si="23"/>
        <v>0</v>
      </c>
      <c r="M1899" s="27"/>
      <c r="N1899" s="30"/>
      <c r="O1899" s="28"/>
      <c r="P1899" s="28"/>
      <c r="Q1899" s="28"/>
      <c r="R1899" s="28"/>
      <c r="S1899" s="28"/>
    </row>
    <row r="1900">
      <c r="A1900" s="17">
        <v>45971.0</v>
      </c>
      <c r="B1900" s="18" t="s">
        <v>79</v>
      </c>
      <c r="C1900" s="18" t="s">
        <v>65</v>
      </c>
      <c r="D1900" s="19"/>
      <c r="E1900" s="19"/>
      <c r="F1900" s="20">
        <f t="shared" si="24"/>
        <v>0</v>
      </c>
      <c r="G1900" s="67">
        <f>IFERROR(VLOOKUP(B1900,DADOS!$A$2:$H$252,8,0),"")</f>
        <v>87</v>
      </c>
      <c r="H1900" s="22">
        <v>72.0</v>
      </c>
      <c r="I1900" s="23">
        <f>IFERROR(VLOOKUP(B1900,DADOS!$A$2:$H$252,4,0)*H1900,"")</f>
        <v>1.23264</v>
      </c>
      <c r="J1900" s="36"/>
      <c r="K1900" s="25">
        <f>IFERROR(VLOOKUP(B1900,DADOS!$A$2:$H$252,4,0)*J1900,"")</f>
        <v>0</v>
      </c>
      <c r="L1900" s="26">
        <f t="shared" si="23"/>
        <v>0</v>
      </c>
      <c r="M1900" s="27"/>
      <c r="N1900" s="30"/>
      <c r="O1900" s="28"/>
      <c r="P1900" s="28"/>
      <c r="Q1900" s="28"/>
      <c r="R1900" s="28"/>
      <c r="S1900" s="28"/>
    </row>
    <row r="1901">
      <c r="A1901" s="17">
        <v>45971.0</v>
      </c>
      <c r="B1901" s="18" t="s">
        <v>47</v>
      </c>
      <c r="C1901" s="18" t="s">
        <v>165</v>
      </c>
      <c r="D1901" s="19"/>
      <c r="E1901" s="19"/>
      <c r="F1901" s="20">
        <f t="shared" si="24"/>
        <v>0</v>
      </c>
      <c r="G1901" s="67">
        <f>IFERROR(VLOOKUP(B1901,DADOS!$A$2:$H$252,8,0),"")</f>
        <v>35</v>
      </c>
      <c r="H1901" s="22">
        <v>6.0</v>
      </c>
      <c r="I1901" s="23">
        <f>IFERROR(VLOOKUP(B1901,DADOS!$A$2:$H$252,4,0)*H1901,"")</f>
        <v>0.6836016</v>
      </c>
      <c r="J1901" s="24">
        <v>1.0</v>
      </c>
      <c r="K1901" s="25">
        <f>IFERROR(VLOOKUP(B1901,DADOS!$A$2:$H$252,4,0)*J1901,"")</f>
        <v>0.1139336</v>
      </c>
      <c r="L1901" s="26">
        <f t="shared" si="23"/>
        <v>0</v>
      </c>
      <c r="M1901" s="27"/>
      <c r="N1901" s="30"/>
      <c r="O1901" s="28"/>
      <c r="P1901" s="28"/>
      <c r="Q1901" s="28"/>
      <c r="R1901" s="28"/>
      <c r="S1901" s="28"/>
    </row>
    <row r="1902">
      <c r="A1902" s="17">
        <v>45972.0</v>
      </c>
      <c r="B1902" s="18" t="s">
        <v>16</v>
      </c>
      <c r="C1902" s="18" t="s">
        <v>65</v>
      </c>
      <c r="D1902" s="19"/>
      <c r="E1902" s="19"/>
      <c r="F1902" s="20">
        <f t="shared" si="24"/>
        <v>0</v>
      </c>
      <c r="G1902" s="67">
        <f>IFERROR(VLOOKUP(B1902,DADOS!$A$2:$H$252,8,0),"")</f>
        <v>150</v>
      </c>
      <c r="H1902" s="22">
        <v>275.0</v>
      </c>
      <c r="I1902" s="23">
        <f>IFERROR(VLOOKUP(B1902,DADOS!$A$2:$H$252,4,0)*H1902,"")</f>
        <v>7.95652</v>
      </c>
      <c r="J1902" s="24">
        <v>4.0</v>
      </c>
      <c r="K1902" s="25">
        <f>IFERROR(VLOOKUP(B1902,DADOS!$A$2:$H$252,4,0)*J1902,"")</f>
        <v>0.1157312</v>
      </c>
      <c r="L1902" s="26">
        <f t="shared" si="23"/>
        <v>0</v>
      </c>
      <c r="M1902" s="27"/>
      <c r="N1902" s="30"/>
      <c r="O1902" s="28"/>
      <c r="P1902" s="28"/>
      <c r="Q1902" s="28"/>
      <c r="R1902" s="28"/>
      <c r="S1902" s="28"/>
    </row>
    <row r="1903">
      <c r="A1903" s="17">
        <v>45972.0</v>
      </c>
      <c r="B1903" s="18" t="s">
        <v>16</v>
      </c>
      <c r="C1903" s="18" t="s">
        <v>65</v>
      </c>
      <c r="D1903" s="19"/>
      <c r="E1903" s="19"/>
      <c r="F1903" s="20">
        <f t="shared" si="24"/>
        <v>0</v>
      </c>
      <c r="G1903" s="67">
        <f>IFERROR(VLOOKUP(B1903,DADOS!$A$2:$H$252,8,0),"")</f>
        <v>150</v>
      </c>
      <c r="H1903" s="22">
        <v>220.0</v>
      </c>
      <c r="I1903" s="23">
        <f>IFERROR(VLOOKUP(B1903,DADOS!$A$2:$H$252,4,0)*H1903,"")</f>
        <v>6.365216</v>
      </c>
      <c r="J1903" s="24">
        <v>3.0</v>
      </c>
      <c r="K1903" s="25">
        <f>IFERROR(VLOOKUP(B1903,DADOS!$A$2:$H$252,4,0)*J1903,"")</f>
        <v>0.0867984</v>
      </c>
      <c r="L1903" s="26">
        <f t="shared" si="23"/>
        <v>0</v>
      </c>
      <c r="M1903" s="27"/>
      <c r="N1903" s="30"/>
      <c r="O1903" s="28"/>
      <c r="P1903" s="28"/>
      <c r="Q1903" s="28"/>
      <c r="R1903" s="28"/>
      <c r="S1903" s="28"/>
    </row>
    <row r="1904">
      <c r="A1904" s="17">
        <v>45972.0</v>
      </c>
      <c r="B1904" s="18" t="s">
        <v>47</v>
      </c>
      <c r="C1904" s="18" t="s">
        <v>165</v>
      </c>
      <c r="D1904" s="19"/>
      <c r="E1904" s="19"/>
      <c r="F1904" s="20">
        <f t="shared" si="24"/>
        <v>0</v>
      </c>
      <c r="G1904" s="67">
        <f>IFERROR(VLOOKUP(B1904,DADOS!$A$2:$H$252,8,0),"")</f>
        <v>35</v>
      </c>
      <c r="H1904" s="22">
        <v>21.0</v>
      </c>
      <c r="I1904" s="23">
        <f>IFERROR(VLOOKUP(B1904,DADOS!$A$2:$H$252,4,0)*H1904,"")</f>
        <v>2.3926056</v>
      </c>
      <c r="J1904" s="24">
        <v>6.0</v>
      </c>
      <c r="K1904" s="25">
        <f>IFERROR(VLOOKUP(B1904,DADOS!$A$2:$H$252,4,0)*J1904,"")</f>
        <v>0.6836016</v>
      </c>
      <c r="L1904" s="26">
        <f t="shared" si="23"/>
        <v>0</v>
      </c>
      <c r="M1904" s="27"/>
      <c r="N1904" s="30"/>
      <c r="O1904" s="28"/>
      <c r="P1904" s="28"/>
      <c r="Q1904" s="28"/>
      <c r="R1904" s="28"/>
      <c r="S1904" s="28"/>
    </row>
    <row r="1905">
      <c r="A1905" s="17">
        <v>45972.0</v>
      </c>
      <c r="B1905" s="18" t="s">
        <v>28</v>
      </c>
      <c r="C1905" s="18" t="s">
        <v>165</v>
      </c>
      <c r="D1905" s="19"/>
      <c r="E1905" s="19"/>
      <c r="F1905" s="20">
        <f t="shared" si="24"/>
        <v>0</v>
      </c>
      <c r="G1905" s="67">
        <f>IFERROR(VLOOKUP(B1905,DADOS!$A$2:$H$252,8,0),"")</f>
        <v>25</v>
      </c>
      <c r="H1905" s="22">
        <v>74.0</v>
      </c>
      <c r="I1905" s="23">
        <f>IFERROR(VLOOKUP(B1905,DADOS!$A$2:$H$252,4,0)*H1905,"")</f>
        <v>8.4310864</v>
      </c>
      <c r="J1905" s="36"/>
      <c r="K1905" s="25">
        <f>IFERROR(VLOOKUP(B1905,DADOS!$A$2:$H$252,4,0)*J1905,"")</f>
        <v>0</v>
      </c>
      <c r="L1905" s="26">
        <f t="shared" si="23"/>
        <v>0</v>
      </c>
      <c r="M1905" s="27"/>
      <c r="N1905" s="30"/>
      <c r="O1905" s="28"/>
      <c r="P1905" s="28"/>
      <c r="Q1905" s="28"/>
      <c r="R1905" s="28"/>
      <c r="S1905" s="28"/>
    </row>
    <row r="1906">
      <c r="A1906" s="17">
        <v>45973.0</v>
      </c>
      <c r="B1906" s="18" t="s">
        <v>71</v>
      </c>
      <c r="C1906" s="18" t="s">
        <v>166</v>
      </c>
      <c r="D1906" s="19"/>
      <c r="E1906" s="19"/>
      <c r="F1906" s="20">
        <f t="shared" si="24"/>
        <v>0</v>
      </c>
      <c r="G1906" s="67">
        <f>IFERROR(VLOOKUP(B1906,DADOS!$A$2:$H$252,8,0),"")</f>
        <v>7</v>
      </c>
      <c r="H1906" s="22">
        <v>30.0</v>
      </c>
      <c r="I1906" s="23">
        <f>IFERROR(VLOOKUP(B1906,DADOS!$A$2:$H$252,4,0)*H1906,"")</f>
        <v>42.072186</v>
      </c>
      <c r="J1906" s="36"/>
      <c r="K1906" s="25">
        <f>IFERROR(VLOOKUP(B1906,DADOS!$A$2:$H$252,4,0)*J1906,"")</f>
        <v>0</v>
      </c>
      <c r="L1906" s="26">
        <f t="shared" si="23"/>
        <v>0</v>
      </c>
      <c r="M1906" s="27"/>
      <c r="N1906" s="30"/>
      <c r="O1906" s="28"/>
      <c r="P1906" s="28"/>
      <c r="Q1906" s="28"/>
      <c r="R1906" s="28"/>
      <c r="S1906" s="28"/>
    </row>
    <row r="1907">
      <c r="A1907" s="17">
        <v>45973.0</v>
      </c>
      <c r="B1907" s="18" t="s">
        <v>26</v>
      </c>
      <c r="C1907" s="18" t="s">
        <v>19</v>
      </c>
      <c r="D1907" s="19"/>
      <c r="E1907" s="19"/>
      <c r="F1907" s="20">
        <f t="shared" si="24"/>
        <v>0</v>
      </c>
      <c r="G1907" s="67">
        <f>IFERROR(VLOOKUP(B1907,DADOS!$A$2:$H$252,8,0),"")</f>
        <v>50</v>
      </c>
      <c r="H1907" s="22">
        <v>79.0</v>
      </c>
      <c r="I1907" s="23">
        <f>IFERROR(VLOOKUP(B1907,DADOS!$A$2:$H$252,4,0)*H1907,"")</f>
        <v>9.0007544</v>
      </c>
      <c r="J1907" s="36"/>
      <c r="K1907" s="25">
        <f>IFERROR(VLOOKUP(B1907,DADOS!$A$2:$H$252,4,0)*J1907,"")</f>
        <v>0</v>
      </c>
      <c r="L1907" s="26">
        <f t="shared" si="23"/>
        <v>0</v>
      </c>
      <c r="M1907" s="27"/>
      <c r="N1907" s="30"/>
      <c r="O1907" s="28"/>
      <c r="P1907" s="28"/>
      <c r="Q1907" s="28"/>
      <c r="R1907" s="28"/>
      <c r="S1907" s="28"/>
    </row>
    <row r="1908">
      <c r="A1908" s="17">
        <v>45973.0</v>
      </c>
      <c r="B1908" s="18" t="s">
        <v>16</v>
      </c>
      <c r="C1908" s="18" t="s">
        <v>65</v>
      </c>
      <c r="D1908" s="19"/>
      <c r="E1908" s="19"/>
      <c r="F1908" s="20">
        <f t="shared" si="24"/>
        <v>0</v>
      </c>
      <c r="G1908" s="67">
        <f>IFERROR(VLOOKUP(B1908,DADOS!$A$2:$H$252,8,0),"")</f>
        <v>150</v>
      </c>
      <c r="H1908" s="22">
        <v>500.0</v>
      </c>
      <c r="I1908" s="23">
        <f>IFERROR(VLOOKUP(B1908,DADOS!$A$2:$H$252,4,0)*H1908,"")</f>
        <v>14.4664</v>
      </c>
      <c r="J1908" s="24">
        <v>5.0</v>
      </c>
      <c r="K1908" s="25">
        <f>IFERROR(VLOOKUP(B1908,DADOS!$A$2:$H$252,4,0)*J1908,"")</f>
        <v>0.144664</v>
      </c>
      <c r="L1908" s="26">
        <f t="shared" si="23"/>
        <v>0</v>
      </c>
      <c r="M1908" s="27"/>
      <c r="N1908" s="30"/>
      <c r="O1908" s="28"/>
      <c r="P1908" s="28"/>
      <c r="Q1908" s="28"/>
      <c r="R1908" s="28"/>
      <c r="S1908" s="28"/>
    </row>
    <row r="1909">
      <c r="A1909" s="17">
        <v>45973.0</v>
      </c>
      <c r="B1909" s="18" t="s">
        <v>28</v>
      </c>
      <c r="C1909" s="18" t="s">
        <v>165</v>
      </c>
      <c r="D1909" s="19"/>
      <c r="E1909" s="19"/>
      <c r="F1909" s="20">
        <f t="shared" si="24"/>
        <v>0</v>
      </c>
      <c r="G1909" s="67">
        <f>IFERROR(VLOOKUP(B1909,DADOS!$A$2:$H$252,8,0),"")</f>
        <v>25</v>
      </c>
      <c r="H1909" s="22">
        <v>25.0</v>
      </c>
      <c r="I1909" s="23">
        <f>IFERROR(VLOOKUP(B1909,DADOS!$A$2:$H$252,4,0)*H1909,"")</f>
        <v>2.84834</v>
      </c>
      <c r="J1909" s="24">
        <v>1.0</v>
      </c>
      <c r="K1909" s="25">
        <f>IFERROR(VLOOKUP(B1909,DADOS!$A$2:$H$252,4,0)*J1909,"")</f>
        <v>0.1139336</v>
      </c>
      <c r="L1909" s="26">
        <f t="shared" si="23"/>
        <v>0</v>
      </c>
      <c r="M1909" s="27"/>
      <c r="N1909" s="30"/>
      <c r="O1909" s="28"/>
      <c r="P1909" s="28"/>
      <c r="Q1909" s="28"/>
      <c r="R1909" s="28"/>
      <c r="S1909" s="28"/>
    </row>
    <row r="1910">
      <c r="A1910" s="17">
        <v>45973.0</v>
      </c>
      <c r="B1910" s="18" t="s">
        <v>182</v>
      </c>
      <c r="C1910" s="18" t="s">
        <v>165</v>
      </c>
      <c r="D1910" s="19"/>
      <c r="E1910" s="19"/>
      <c r="F1910" s="20">
        <f t="shared" si="24"/>
        <v>0</v>
      </c>
      <c r="G1910" s="67">
        <f>IFERROR(VLOOKUP(B1910,DADOS!$A$2:$H$252,8,0),"")</f>
        <v>120</v>
      </c>
      <c r="H1910" s="22">
        <v>66.0</v>
      </c>
      <c r="I1910" s="23">
        <f>IFERROR(VLOOKUP(B1910,DADOS!$A$2:$H$252,4,0)*H1910,"")</f>
        <v>21.482604</v>
      </c>
      <c r="J1910" s="24">
        <v>3.0</v>
      </c>
      <c r="K1910" s="25">
        <f>IFERROR(VLOOKUP(B1910,DADOS!$A$2:$H$252,4,0)*J1910,"")</f>
        <v>0.976482</v>
      </c>
      <c r="L1910" s="26">
        <f t="shared" si="23"/>
        <v>0</v>
      </c>
      <c r="M1910" s="27"/>
      <c r="N1910" s="30"/>
      <c r="O1910" s="28"/>
      <c r="P1910" s="28"/>
      <c r="Q1910" s="28"/>
      <c r="R1910" s="28"/>
      <c r="S1910" s="28"/>
    </row>
    <row r="1911">
      <c r="A1911" s="17">
        <v>45974.0</v>
      </c>
      <c r="B1911" s="18" t="s">
        <v>71</v>
      </c>
      <c r="C1911" s="18" t="s">
        <v>166</v>
      </c>
      <c r="D1911" s="19"/>
      <c r="E1911" s="19"/>
      <c r="F1911" s="20">
        <f t="shared" si="24"/>
        <v>0</v>
      </c>
      <c r="G1911" s="67">
        <f>IFERROR(VLOOKUP(B1911,DADOS!$A$2:$H$252,8,0),"")</f>
        <v>7</v>
      </c>
      <c r="H1911" s="22">
        <v>30.0</v>
      </c>
      <c r="I1911" s="23">
        <f>IFERROR(VLOOKUP(B1911,DADOS!$A$2:$H$252,4,0)*H1911,"")</f>
        <v>42.072186</v>
      </c>
      <c r="J1911" s="36"/>
      <c r="K1911" s="25">
        <f>IFERROR(VLOOKUP(B1911,DADOS!$A$2:$H$252,4,0)*J1911,"")</f>
        <v>0</v>
      </c>
      <c r="L1911" s="26">
        <f t="shared" si="23"/>
        <v>0</v>
      </c>
      <c r="M1911" s="27"/>
      <c r="N1911" s="30"/>
      <c r="O1911" s="28"/>
      <c r="P1911" s="28"/>
      <c r="Q1911" s="28"/>
      <c r="R1911" s="28"/>
      <c r="S1911" s="28"/>
    </row>
    <row r="1912">
      <c r="A1912" s="17">
        <v>45974.0</v>
      </c>
      <c r="B1912" s="18" t="s">
        <v>16</v>
      </c>
      <c r="C1912" s="18" t="s">
        <v>19</v>
      </c>
      <c r="D1912" s="19"/>
      <c r="E1912" s="19"/>
      <c r="F1912" s="20">
        <f t="shared" si="24"/>
        <v>0</v>
      </c>
      <c r="G1912" s="67">
        <f>IFERROR(VLOOKUP(B1912,DADOS!$A$2:$H$252,8,0),"")</f>
        <v>150</v>
      </c>
      <c r="H1912" s="22">
        <v>183.0</v>
      </c>
      <c r="I1912" s="23">
        <f>IFERROR(VLOOKUP(B1912,DADOS!$A$2:$H$252,4,0)*H1912,"")</f>
        <v>5.2947024</v>
      </c>
      <c r="J1912" s="36"/>
      <c r="K1912" s="25">
        <f>IFERROR(VLOOKUP(B1912,DADOS!$A$2:$H$252,4,0)*J1912,"")</f>
        <v>0</v>
      </c>
      <c r="L1912" s="26">
        <f t="shared" si="23"/>
        <v>0</v>
      </c>
      <c r="M1912" s="27"/>
      <c r="N1912" s="30"/>
      <c r="O1912" s="28"/>
      <c r="P1912" s="28"/>
      <c r="Q1912" s="28"/>
      <c r="R1912" s="28"/>
      <c r="S1912" s="28"/>
    </row>
    <row r="1913">
      <c r="A1913" s="17">
        <v>45974.0</v>
      </c>
      <c r="B1913" s="18" t="s">
        <v>16</v>
      </c>
      <c r="C1913" s="18" t="s">
        <v>65</v>
      </c>
      <c r="D1913" s="19"/>
      <c r="E1913" s="19"/>
      <c r="F1913" s="20">
        <f t="shared" si="24"/>
        <v>0</v>
      </c>
      <c r="G1913" s="67">
        <f>IFERROR(VLOOKUP(B1913,DADOS!$A$2:$H$252,8,0),"")</f>
        <v>150</v>
      </c>
      <c r="H1913" s="22">
        <v>332.0</v>
      </c>
      <c r="I1913" s="23">
        <f>IFERROR(VLOOKUP(B1913,DADOS!$A$2:$H$252,4,0)*H1913,"")</f>
        <v>9.6056896</v>
      </c>
      <c r="J1913" s="24">
        <v>2.0</v>
      </c>
      <c r="K1913" s="25">
        <f>IFERROR(VLOOKUP(B1913,DADOS!$A$2:$H$252,4,0)*J1913,"")</f>
        <v>0.0578656</v>
      </c>
      <c r="L1913" s="26">
        <f t="shared" si="23"/>
        <v>0</v>
      </c>
      <c r="M1913" s="27"/>
      <c r="N1913" s="30"/>
      <c r="O1913" s="28"/>
      <c r="P1913" s="28"/>
      <c r="Q1913" s="28"/>
      <c r="R1913" s="28"/>
      <c r="S1913" s="28"/>
    </row>
    <row r="1914">
      <c r="A1914" s="17">
        <v>45974.0</v>
      </c>
      <c r="B1914" s="18" t="s">
        <v>122</v>
      </c>
      <c r="C1914" s="18" t="s">
        <v>165</v>
      </c>
      <c r="D1914" s="19">
        <v>0.3541666666666667</v>
      </c>
      <c r="E1914" s="19">
        <v>0.6006944444444444</v>
      </c>
      <c r="F1914" s="20">
        <f t="shared" si="24"/>
        <v>0.2465277778</v>
      </c>
      <c r="G1914" s="67">
        <f>IFERROR(VLOOKUP(B1914,DADOS!$A$2:$H$252,8,0),"")</f>
        <v>17</v>
      </c>
      <c r="H1914" s="22">
        <v>58.0</v>
      </c>
      <c r="I1914" s="23">
        <f>IFERROR(VLOOKUP(B1914,DADOS!$A$2:$H$252,4,0)*H1914,"")</f>
        <v>9.9531828</v>
      </c>
      <c r="J1914" s="24">
        <v>2.0</v>
      </c>
      <c r="K1914" s="25">
        <f>IFERROR(VLOOKUP(B1914,DADOS!$A$2:$H$252,4,0)*J1914,"")</f>
        <v>0.3432132</v>
      </c>
      <c r="L1914" s="26">
        <f t="shared" si="23"/>
        <v>0</v>
      </c>
      <c r="M1914" s="27"/>
      <c r="N1914" s="30"/>
      <c r="O1914" s="28"/>
      <c r="P1914" s="28"/>
      <c r="Q1914" s="28"/>
      <c r="R1914" s="28"/>
      <c r="S1914" s="28"/>
    </row>
    <row r="1915">
      <c r="A1915" s="17">
        <v>45974.0</v>
      </c>
      <c r="B1915" s="18" t="s">
        <v>73</v>
      </c>
      <c r="C1915" s="18" t="s">
        <v>165</v>
      </c>
      <c r="D1915" s="19">
        <v>0.6152777777777778</v>
      </c>
      <c r="E1915" s="19">
        <v>0.71875</v>
      </c>
      <c r="F1915" s="20">
        <f t="shared" si="24"/>
        <v>0.1034722222</v>
      </c>
      <c r="G1915" s="67">
        <f>IFERROR(VLOOKUP(B1915,DADOS!$A$2:$H$252,8,0),"")</f>
        <v>37</v>
      </c>
      <c r="H1915" s="22">
        <v>27.0</v>
      </c>
      <c r="I1915" s="23">
        <f>IFERROR(VLOOKUP(B1915,DADOS!$A$2:$H$252,4,0)*H1915,"")</f>
        <v>2.085858</v>
      </c>
      <c r="J1915" s="24">
        <v>2.0</v>
      </c>
      <c r="K1915" s="25">
        <f>IFERROR(VLOOKUP(B1915,DADOS!$A$2:$H$252,4,0)*J1915,"")</f>
        <v>0.154508</v>
      </c>
      <c r="L1915" s="26">
        <f t="shared" si="23"/>
        <v>0</v>
      </c>
      <c r="M1915" s="27"/>
      <c r="N1915" s="30"/>
      <c r="O1915" s="28"/>
      <c r="P1915" s="28"/>
      <c r="Q1915" s="28"/>
      <c r="R1915" s="28"/>
      <c r="S1915" s="28"/>
    </row>
    <row r="1916">
      <c r="A1916" s="17">
        <v>45975.0</v>
      </c>
      <c r="B1916" s="18" t="s">
        <v>179</v>
      </c>
      <c r="C1916" s="18" t="s">
        <v>65</v>
      </c>
      <c r="D1916" s="19"/>
      <c r="E1916" s="19"/>
      <c r="F1916" s="20">
        <f t="shared" si="24"/>
        <v>0</v>
      </c>
      <c r="G1916" s="67">
        <f>IFERROR(VLOOKUP(B1916,DADOS!$A$2:$H$252,8,0),"")</f>
        <v>15</v>
      </c>
      <c r="H1916" s="22">
        <v>53.0</v>
      </c>
      <c r="I1916" s="23">
        <f>IFERROR(VLOOKUP(B1916,DADOS!$A$2:$H$252,4,0)*H1916,"")</f>
        <v>8.892128</v>
      </c>
      <c r="J1916" s="24">
        <v>1.0</v>
      </c>
      <c r="K1916" s="25">
        <f>IFERROR(VLOOKUP(B1916,DADOS!$A$2:$H$252,4,0)*J1916,"")</f>
        <v>0.167776</v>
      </c>
      <c r="L1916" s="26">
        <f t="shared" si="23"/>
        <v>0</v>
      </c>
      <c r="M1916" s="27"/>
      <c r="N1916" s="30"/>
      <c r="O1916" s="28"/>
      <c r="P1916" s="28"/>
      <c r="Q1916" s="28"/>
      <c r="R1916" s="28"/>
      <c r="S1916" s="28"/>
    </row>
    <row r="1917">
      <c r="A1917" s="17">
        <v>45975.0</v>
      </c>
      <c r="B1917" s="18" t="s">
        <v>25</v>
      </c>
      <c r="C1917" s="18" t="s">
        <v>165</v>
      </c>
      <c r="D1917" s="19"/>
      <c r="E1917" s="19"/>
      <c r="F1917" s="20">
        <f t="shared" si="24"/>
        <v>0</v>
      </c>
      <c r="G1917" s="67">
        <f>IFERROR(VLOOKUP(B1917,DADOS!$A$2:$H$252,8,0),"")</f>
        <v>40</v>
      </c>
      <c r="H1917" s="22">
        <v>54.0</v>
      </c>
      <c r="I1917" s="23">
        <f>IFERROR(VLOOKUP(B1917,DADOS!$A$2:$H$252,4,0)*H1917,"")</f>
        <v>5.593104</v>
      </c>
      <c r="J1917" s="36"/>
      <c r="K1917" s="25">
        <f>IFERROR(VLOOKUP(B1917,DADOS!$A$2:$H$252,4,0)*J1917,"")</f>
        <v>0</v>
      </c>
      <c r="L1917" s="26">
        <f t="shared" si="23"/>
        <v>0</v>
      </c>
      <c r="M1917" s="27"/>
      <c r="N1917" s="30"/>
      <c r="O1917" s="28"/>
      <c r="P1917" s="28"/>
      <c r="Q1917" s="28"/>
      <c r="R1917" s="28"/>
      <c r="S1917" s="28"/>
    </row>
    <row r="1918">
      <c r="A1918" s="17">
        <v>45975.0</v>
      </c>
      <c r="B1918" s="18" t="s">
        <v>71</v>
      </c>
      <c r="C1918" s="18" t="s">
        <v>193</v>
      </c>
      <c r="D1918" s="19"/>
      <c r="E1918" s="19"/>
      <c r="F1918" s="20">
        <f t="shared" si="24"/>
        <v>0</v>
      </c>
      <c r="G1918" s="67">
        <f>IFERROR(VLOOKUP(B1918,DADOS!$A$2:$H$252,8,0),"")</f>
        <v>7</v>
      </c>
      <c r="H1918" s="22">
        <v>22.0</v>
      </c>
      <c r="I1918" s="23">
        <f>IFERROR(VLOOKUP(B1918,DADOS!$A$2:$H$252,4,0)*H1918,"")</f>
        <v>30.8529364</v>
      </c>
      <c r="J1918" s="36"/>
      <c r="K1918" s="25">
        <f>IFERROR(VLOOKUP(B1918,DADOS!$A$2:$H$252,4,0)*J1918,"")</f>
        <v>0</v>
      </c>
      <c r="L1918" s="26">
        <f t="shared" si="23"/>
        <v>0</v>
      </c>
      <c r="M1918" s="27"/>
      <c r="N1918" s="30"/>
      <c r="O1918" s="28"/>
      <c r="P1918" s="28"/>
      <c r="Q1918" s="28"/>
      <c r="R1918" s="28"/>
      <c r="S1918" s="28"/>
    </row>
    <row r="1919">
      <c r="A1919" s="17">
        <v>45978.0</v>
      </c>
      <c r="B1919" s="18" t="s">
        <v>16</v>
      </c>
      <c r="C1919" s="18" t="s">
        <v>65</v>
      </c>
      <c r="D1919" s="19"/>
      <c r="E1919" s="19"/>
      <c r="F1919" s="20">
        <f t="shared" si="24"/>
        <v>0</v>
      </c>
      <c r="G1919" s="67">
        <f>IFERROR(VLOOKUP(B1919,DADOS!$A$2:$H$252,8,0),"")</f>
        <v>150</v>
      </c>
      <c r="H1919" s="22">
        <v>261.0</v>
      </c>
      <c r="I1919" s="23">
        <f>IFERROR(VLOOKUP(B1919,DADOS!$A$2:$H$252,4,0)*H1919,"")</f>
        <v>7.5514608</v>
      </c>
      <c r="J1919" s="24">
        <v>2.0</v>
      </c>
      <c r="K1919" s="25">
        <f>IFERROR(VLOOKUP(B1919,DADOS!$A$2:$H$252,4,0)*J1919,"")</f>
        <v>0.0578656</v>
      </c>
      <c r="L1919" s="26">
        <f t="shared" si="23"/>
        <v>0</v>
      </c>
      <c r="M1919" s="27"/>
      <c r="N1919" s="30"/>
      <c r="O1919" s="28"/>
      <c r="P1919" s="28"/>
      <c r="Q1919" s="28"/>
      <c r="R1919" s="28"/>
      <c r="S1919" s="28"/>
    </row>
    <row r="1920">
      <c r="A1920" s="17">
        <v>45978.0</v>
      </c>
      <c r="B1920" s="18" t="s">
        <v>92</v>
      </c>
      <c r="C1920" s="18" t="s">
        <v>65</v>
      </c>
      <c r="D1920" s="19"/>
      <c r="E1920" s="19"/>
      <c r="F1920" s="20">
        <f t="shared" si="24"/>
        <v>0</v>
      </c>
      <c r="G1920" s="67">
        <f>IFERROR(VLOOKUP(B1920,DADOS!$A$2:$H$252,8,0),"")</f>
        <v>100</v>
      </c>
      <c r="H1920" s="22">
        <v>151.0</v>
      </c>
      <c r="I1920" s="23">
        <f>IFERROR(VLOOKUP(B1920,DADOS!$A$2:$H$252,4,0)*H1920,"")</f>
        <v>3.8227462</v>
      </c>
      <c r="J1920" s="36"/>
      <c r="K1920" s="25">
        <f>IFERROR(VLOOKUP(B1920,DADOS!$A$2:$H$252,4,0)*J1920,"")</f>
        <v>0</v>
      </c>
      <c r="L1920" s="26">
        <f t="shared" si="23"/>
        <v>0</v>
      </c>
      <c r="M1920" s="27"/>
      <c r="N1920" s="30"/>
      <c r="O1920" s="28"/>
      <c r="P1920" s="28"/>
      <c r="Q1920" s="28"/>
      <c r="R1920" s="28"/>
      <c r="S1920" s="28"/>
    </row>
    <row r="1921">
      <c r="A1921" s="17">
        <v>45978.0</v>
      </c>
      <c r="B1921" s="18" t="s">
        <v>25</v>
      </c>
      <c r="C1921" s="18" t="s">
        <v>165</v>
      </c>
      <c r="D1921" s="19"/>
      <c r="E1921" s="19"/>
      <c r="F1921" s="20">
        <f t="shared" si="24"/>
        <v>0</v>
      </c>
      <c r="G1921" s="67">
        <f>IFERROR(VLOOKUP(B1921,DADOS!$A$2:$H$252,8,0),"")</f>
        <v>40</v>
      </c>
      <c r="H1921" s="22">
        <v>44.0</v>
      </c>
      <c r="I1921" s="23">
        <f>IFERROR(VLOOKUP(B1921,DADOS!$A$2:$H$252,4,0)*H1921,"")</f>
        <v>4.557344</v>
      </c>
      <c r="J1921" s="36"/>
      <c r="K1921" s="25">
        <f>IFERROR(VLOOKUP(B1921,DADOS!$A$2:$H$252,4,0)*J1921,"")</f>
        <v>0</v>
      </c>
      <c r="L1921" s="26">
        <f t="shared" si="23"/>
        <v>0</v>
      </c>
      <c r="M1921" s="27"/>
      <c r="N1921" s="30"/>
      <c r="O1921" s="28"/>
      <c r="P1921" s="28"/>
      <c r="Q1921" s="28"/>
      <c r="R1921" s="28"/>
      <c r="S1921" s="28"/>
    </row>
    <row r="1922">
      <c r="A1922" s="17">
        <v>45978.0</v>
      </c>
      <c r="B1922" s="18" t="s">
        <v>73</v>
      </c>
      <c r="C1922" s="18" t="s">
        <v>165</v>
      </c>
      <c r="D1922" s="19"/>
      <c r="E1922" s="19"/>
      <c r="F1922" s="20">
        <f t="shared" si="24"/>
        <v>0</v>
      </c>
      <c r="G1922" s="67">
        <f>IFERROR(VLOOKUP(B1922,DADOS!$A$2:$H$252,8,0),"")</f>
        <v>37</v>
      </c>
      <c r="H1922" s="22">
        <v>31.0</v>
      </c>
      <c r="I1922" s="23">
        <f>IFERROR(VLOOKUP(B1922,DADOS!$A$2:$H$252,4,0)*H1922,"")</f>
        <v>2.394874</v>
      </c>
      <c r="J1922" s="36"/>
      <c r="K1922" s="25">
        <f>IFERROR(VLOOKUP(B1922,DADOS!$A$2:$H$252,4,0)*J1922,"")</f>
        <v>0</v>
      </c>
      <c r="L1922" s="26">
        <f t="shared" si="23"/>
        <v>0</v>
      </c>
      <c r="M1922" s="27"/>
      <c r="N1922" s="30"/>
      <c r="O1922" s="28"/>
      <c r="P1922" s="28"/>
      <c r="Q1922" s="28"/>
      <c r="R1922" s="28"/>
      <c r="S1922" s="28"/>
    </row>
    <row r="1923">
      <c r="A1923" s="17">
        <v>45978.0</v>
      </c>
      <c r="B1923" s="18" t="s">
        <v>41</v>
      </c>
      <c r="C1923" s="18" t="s">
        <v>165</v>
      </c>
      <c r="D1923" s="19"/>
      <c r="E1923" s="19"/>
      <c r="F1923" s="20">
        <f t="shared" si="24"/>
        <v>0</v>
      </c>
      <c r="G1923" s="67">
        <f>IFERROR(VLOOKUP(B1923,DADOS!$A$2:$H$252,8,0),"")</f>
        <v>14</v>
      </c>
      <c r="H1923" s="22">
        <v>6.0</v>
      </c>
      <c r="I1923" s="23">
        <f>IFERROR(VLOOKUP(B1923,DADOS!$A$2:$H$252,4,0)*H1923,"")</f>
        <v>1.664064</v>
      </c>
      <c r="J1923" s="36"/>
      <c r="K1923" s="25">
        <f>IFERROR(VLOOKUP(B1923,DADOS!$A$2:$H$252,4,0)*J1923,"")</f>
        <v>0</v>
      </c>
      <c r="L1923" s="26">
        <f t="shared" si="23"/>
        <v>0</v>
      </c>
      <c r="M1923" s="27"/>
      <c r="N1923" s="30"/>
      <c r="O1923" s="28"/>
      <c r="P1923" s="28"/>
      <c r="Q1923" s="28"/>
      <c r="R1923" s="28"/>
      <c r="S1923" s="28"/>
    </row>
    <row r="1924">
      <c r="A1924" s="17">
        <v>45979.0</v>
      </c>
      <c r="B1924" s="18" t="s">
        <v>212</v>
      </c>
      <c r="C1924" s="18" t="s">
        <v>166</v>
      </c>
      <c r="D1924" s="19"/>
      <c r="E1924" s="19"/>
      <c r="F1924" s="20">
        <f t="shared" si="24"/>
        <v>0</v>
      </c>
      <c r="G1924" s="67">
        <f>IFERROR(VLOOKUP(B1924,DADOS!$A$2:$H$252,8,0),"")</f>
        <v>25</v>
      </c>
      <c r="H1924" s="22">
        <v>46.0</v>
      </c>
      <c r="I1924" s="23">
        <f>IFERROR(VLOOKUP(B1924,DADOS!$A$2:$H$252,4,0)*H1924,"")</f>
        <v>2.8429472</v>
      </c>
      <c r="J1924" s="36"/>
      <c r="K1924" s="25">
        <f>IFERROR(VLOOKUP(B1924,DADOS!$A$2:$H$252,4,0)*J1924,"")</f>
        <v>0</v>
      </c>
      <c r="L1924" s="26">
        <f t="shared" si="23"/>
        <v>0</v>
      </c>
      <c r="M1924" s="27"/>
      <c r="N1924" s="30"/>
      <c r="O1924" s="28"/>
      <c r="P1924" s="28"/>
      <c r="Q1924" s="28"/>
      <c r="R1924" s="28"/>
      <c r="S1924" s="28"/>
    </row>
    <row r="1925">
      <c r="A1925" s="17">
        <v>45979.0</v>
      </c>
      <c r="B1925" s="18" t="s">
        <v>155</v>
      </c>
      <c r="C1925" s="18" t="s">
        <v>166</v>
      </c>
      <c r="D1925" s="19"/>
      <c r="E1925" s="19"/>
      <c r="F1925" s="20">
        <f t="shared" si="24"/>
        <v>0</v>
      </c>
      <c r="G1925" s="67">
        <f>IFERROR(VLOOKUP(B1925,DADOS!$A$2:$H$252,8,0),"")</f>
        <v>18</v>
      </c>
      <c r="H1925" s="22">
        <v>30.0</v>
      </c>
      <c r="I1925" s="23">
        <f>IFERROR(VLOOKUP(B1925,DADOS!$A$2:$H$252,4,0)*H1925,"")</f>
        <v>11.87058</v>
      </c>
      <c r="J1925" s="36"/>
      <c r="K1925" s="25">
        <f>IFERROR(VLOOKUP(B1925,DADOS!$A$2:$H$252,4,0)*J1925,"")</f>
        <v>0</v>
      </c>
      <c r="L1925" s="26">
        <f t="shared" si="23"/>
        <v>0</v>
      </c>
      <c r="M1925" s="27"/>
      <c r="N1925" s="30"/>
      <c r="O1925" s="28"/>
      <c r="P1925" s="28"/>
      <c r="Q1925" s="28"/>
      <c r="R1925" s="28"/>
      <c r="S1925" s="28"/>
    </row>
    <row r="1926">
      <c r="A1926" s="17">
        <v>45979.0</v>
      </c>
      <c r="B1926" s="18" t="s">
        <v>178</v>
      </c>
      <c r="C1926" s="18" t="s">
        <v>166</v>
      </c>
      <c r="D1926" s="19"/>
      <c r="E1926" s="19"/>
      <c r="F1926" s="20">
        <f t="shared" si="24"/>
        <v>0</v>
      </c>
      <c r="G1926" s="67">
        <f>IFERROR(VLOOKUP(B1926,DADOS!$A$2:$H$252,8,0),"")</f>
        <v>35</v>
      </c>
      <c r="H1926" s="22">
        <v>50.0</v>
      </c>
      <c r="I1926" s="23">
        <f>IFERROR(VLOOKUP(B1926,DADOS!$A$2:$H$252,4,0)*H1926,"")</f>
        <v>10.593</v>
      </c>
      <c r="J1926" s="36"/>
      <c r="K1926" s="25">
        <f>IFERROR(VLOOKUP(B1926,DADOS!$A$2:$H$252,4,0)*J1926,"")</f>
        <v>0</v>
      </c>
      <c r="L1926" s="26">
        <f t="shared" si="23"/>
        <v>0</v>
      </c>
      <c r="M1926" s="27"/>
      <c r="N1926" s="30"/>
      <c r="O1926" s="28"/>
      <c r="P1926" s="28"/>
      <c r="Q1926" s="28"/>
      <c r="R1926" s="28"/>
      <c r="S1926" s="28"/>
    </row>
    <row r="1927">
      <c r="A1927" s="17">
        <v>45979.0</v>
      </c>
      <c r="B1927" s="18" t="s">
        <v>72</v>
      </c>
      <c r="C1927" s="18" t="s">
        <v>65</v>
      </c>
      <c r="D1927" s="19"/>
      <c r="E1927" s="19"/>
      <c r="F1927" s="20">
        <f t="shared" si="24"/>
        <v>0</v>
      </c>
      <c r="G1927" s="67">
        <f>IFERROR(VLOOKUP(B1927,DADOS!$A$2:$H$252,8,0),"")</f>
        <v>43</v>
      </c>
      <c r="H1927" s="22">
        <v>255.0</v>
      </c>
      <c r="I1927" s="23">
        <f>IFERROR(VLOOKUP(B1927,DADOS!$A$2:$H$252,4,0)*H1927,"")</f>
        <v>4.3656</v>
      </c>
      <c r="J1927" s="24">
        <v>2.0</v>
      </c>
      <c r="K1927" s="25">
        <f>IFERROR(VLOOKUP(B1927,DADOS!$A$2:$H$252,4,0)*J1927,"")</f>
        <v>0.03424</v>
      </c>
      <c r="L1927" s="26">
        <f t="shared" si="23"/>
        <v>0</v>
      </c>
      <c r="M1927" s="27"/>
      <c r="N1927" s="30"/>
      <c r="O1927" s="28"/>
      <c r="P1927" s="28"/>
      <c r="Q1927" s="28"/>
      <c r="R1927" s="28"/>
      <c r="S1927" s="28"/>
    </row>
    <row r="1928">
      <c r="A1928" s="17">
        <v>45979.0</v>
      </c>
      <c r="B1928" s="18" t="s">
        <v>41</v>
      </c>
      <c r="C1928" s="18" t="s">
        <v>165</v>
      </c>
      <c r="D1928" s="19"/>
      <c r="E1928" s="19"/>
      <c r="F1928" s="20">
        <f t="shared" si="24"/>
        <v>0</v>
      </c>
      <c r="G1928" s="67">
        <f>IFERROR(VLOOKUP(B1928,DADOS!$A$2:$H$252,8,0),"")</f>
        <v>14</v>
      </c>
      <c r="H1928" s="22">
        <v>53.0</v>
      </c>
      <c r="I1928" s="23">
        <f>IFERROR(VLOOKUP(B1928,DADOS!$A$2:$H$252,4,0)*H1928,"")</f>
        <v>14.699232</v>
      </c>
      <c r="J1928" s="36"/>
      <c r="K1928" s="25">
        <f>IFERROR(VLOOKUP(B1928,DADOS!$A$2:$H$252,4,0)*J1928,"")</f>
        <v>0</v>
      </c>
      <c r="L1928" s="26">
        <f t="shared" si="23"/>
        <v>0</v>
      </c>
      <c r="M1928" s="27"/>
      <c r="N1928" s="30"/>
      <c r="O1928" s="28"/>
      <c r="P1928" s="28"/>
      <c r="Q1928" s="28"/>
      <c r="R1928" s="28"/>
      <c r="S1928" s="28"/>
    </row>
    <row r="1929">
      <c r="A1929" s="17">
        <v>45979.0</v>
      </c>
      <c r="B1929" s="18" t="s">
        <v>18</v>
      </c>
      <c r="C1929" s="18" t="s">
        <v>165</v>
      </c>
      <c r="D1929" s="19"/>
      <c r="E1929" s="19"/>
      <c r="F1929" s="20">
        <f t="shared" si="24"/>
        <v>0</v>
      </c>
      <c r="G1929" s="67">
        <f>IFERROR(VLOOKUP(B1929,DADOS!$A$2:$H$252,8,0),"")</f>
        <v>21</v>
      </c>
      <c r="H1929" s="22">
        <v>30.0</v>
      </c>
      <c r="I1929" s="23">
        <f>IFERROR(VLOOKUP(B1929,DADOS!$A$2:$H$252,4,0)*H1929,"")</f>
        <v>8.78898</v>
      </c>
      <c r="J1929" s="24">
        <v>1.0</v>
      </c>
      <c r="K1929" s="25">
        <f>IFERROR(VLOOKUP(B1929,DADOS!$A$2:$H$252,4,0)*J1929,"")</f>
        <v>0.292966</v>
      </c>
      <c r="L1929" s="26">
        <f t="shared" si="23"/>
        <v>0</v>
      </c>
      <c r="M1929" s="27"/>
      <c r="N1929" s="30"/>
      <c r="O1929" s="28"/>
      <c r="P1929" s="28"/>
      <c r="Q1929" s="28"/>
      <c r="R1929" s="28"/>
      <c r="S1929" s="28"/>
    </row>
    <row r="1930">
      <c r="A1930" s="17">
        <v>45980.0</v>
      </c>
      <c r="B1930" s="18" t="s">
        <v>76</v>
      </c>
      <c r="C1930" s="18" t="s">
        <v>65</v>
      </c>
      <c r="D1930" s="19"/>
      <c r="E1930" s="19"/>
      <c r="F1930" s="20">
        <f t="shared" si="24"/>
        <v>0</v>
      </c>
      <c r="G1930" s="67">
        <f>IFERROR(VLOOKUP(B1930,DADOS!$A$2:$H$252,8,0),"")</f>
        <v>120</v>
      </c>
      <c r="H1930" s="22">
        <v>115.0</v>
      </c>
      <c r="I1930" s="23">
        <f>IFERROR(VLOOKUP(B1930,DADOS!$A$2:$H$252,4,0)*H1930,"")</f>
        <v>0.2990115</v>
      </c>
      <c r="J1930" s="24">
        <v>6.0</v>
      </c>
      <c r="K1930" s="25">
        <f>IFERROR(VLOOKUP(B1930,DADOS!$A$2:$H$252,4,0)*J1930,"")</f>
        <v>0.0156006</v>
      </c>
      <c r="L1930" s="26">
        <f t="shared" si="23"/>
        <v>0</v>
      </c>
      <c r="M1930" s="27"/>
      <c r="N1930" s="30"/>
      <c r="O1930" s="28"/>
      <c r="P1930" s="28"/>
      <c r="Q1930" s="28"/>
      <c r="R1930" s="28"/>
      <c r="S1930" s="28"/>
    </row>
    <row r="1931">
      <c r="A1931" s="17">
        <v>45980.0</v>
      </c>
      <c r="B1931" s="18" t="s">
        <v>18</v>
      </c>
      <c r="C1931" s="18" t="s">
        <v>165</v>
      </c>
      <c r="D1931" s="19"/>
      <c r="E1931" s="19"/>
      <c r="F1931" s="20">
        <f t="shared" si="24"/>
        <v>0</v>
      </c>
      <c r="G1931" s="67">
        <f>IFERROR(VLOOKUP(B1931,DADOS!$A$2:$H$252,8,0),"")</f>
        <v>21</v>
      </c>
      <c r="H1931" s="22">
        <v>59.0</v>
      </c>
      <c r="I1931" s="23">
        <f>IFERROR(VLOOKUP(B1931,DADOS!$A$2:$H$252,4,0)*H1931,"")</f>
        <v>17.284994</v>
      </c>
      <c r="J1931" s="24">
        <v>1.0</v>
      </c>
      <c r="K1931" s="25">
        <f>IFERROR(VLOOKUP(B1931,DADOS!$A$2:$H$252,4,0)*J1931,"")</f>
        <v>0.292966</v>
      </c>
      <c r="L1931" s="26">
        <f t="shared" si="23"/>
        <v>0</v>
      </c>
      <c r="M1931" s="27"/>
      <c r="N1931" s="30"/>
      <c r="O1931" s="28"/>
      <c r="P1931" s="28"/>
      <c r="Q1931" s="28"/>
      <c r="R1931" s="28"/>
      <c r="S1931" s="28"/>
    </row>
    <row r="1932">
      <c r="A1932" s="17">
        <v>45981.0</v>
      </c>
      <c r="B1932" s="18" t="s">
        <v>26</v>
      </c>
      <c r="C1932" s="18" t="s">
        <v>193</v>
      </c>
      <c r="D1932" s="19"/>
      <c r="E1932" s="19"/>
      <c r="F1932" s="20">
        <f t="shared" si="24"/>
        <v>0</v>
      </c>
      <c r="G1932" s="67">
        <f>IFERROR(VLOOKUP(B1932,DADOS!$A$2:$H$252,8,0),"")</f>
        <v>50</v>
      </c>
      <c r="H1932" s="22">
        <v>98.0</v>
      </c>
      <c r="I1932" s="23">
        <f>IFERROR(VLOOKUP(B1932,DADOS!$A$2:$H$252,4,0)*H1932,"")</f>
        <v>11.1654928</v>
      </c>
      <c r="J1932" s="24">
        <v>1.0</v>
      </c>
      <c r="K1932" s="25">
        <f>IFERROR(VLOOKUP(B1932,DADOS!$A$2:$H$252,4,0)*J1932,"")</f>
        <v>0.1139336</v>
      </c>
      <c r="L1932" s="26">
        <f t="shared" si="23"/>
        <v>0</v>
      </c>
      <c r="M1932" s="27"/>
      <c r="N1932" s="30"/>
      <c r="O1932" s="28"/>
      <c r="P1932" s="28"/>
      <c r="Q1932" s="28"/>
      <c r="R1932" s="28"/>
      <c r="S1932" s="28"/>
    </row>
    <row r="1933">
      <c r="A1933" s="17">
        <v>45982.0</v>
      </c>
      <c r="B1933" s="18" t="s">
        <v>31</v>
      </c>
      <c r="C1933" s="18" t="s">
        <v>166</v>
      </c>
      <c r="D1933" s="19">
        <v>0.3333333333333333</v>
      </c>
      <c r="E1933" s="19">
        <v>0.4930555555555556</v>
      </c>
      <c r="F1933" s="20">
        <f t="shared" si="24"/>
        <v>0.1597222222</v>
      </c>
      <c r="G1933" s="67">
        <f>IFERROR(VLOOKUP(B1933,DADOS!$A$2:$H$252,8,0),"")</f>
        <v>10</v>
      </c>
      <c r="H1933" s="22">
        <v>33.0</v>
      </c>
      <c r="I1933" s="23">
        <f>IFERROR(VLOOKUP(B1933,DADOS!$A$2:$H$252,4,0)*H1933,"")</f>
        <v>4.4744832</v>
      </c>
      <c r="J1933" s="24">
        <v>1.0</v>
      </c>
      <c r="K1933" s="25">
        <f>IFERROR(VLOOKUP(B1933,DADOS!$A$2:$H$252,4,0)*J1933,"")</f>
        <v>0.1355904</v>
      </c>
      <c r="L1933" s="26">
        <f t="shared" si="23"/>
        <v>0</v>
      </c>
      <c r="M1933" s="27"/>
      <c r="N1933" s="30"/>
      <c r="O1933" s="28"/>
      <c r="P1933" s="28"/>
      <c r="Q1933" s="28"/>
      <c r="R1933" s="28"/>
      <c r="S1933" s="28"/>
    </row>
    <row r="1934">
      <c r="A1934" s="17">
        <v>45982.0</v>
      </c>
      <c r="B1934" s="18" t="s">
        <v>18</v>
      </c>
      <c r="C1934" s="18" t="s">
        <v>165</v>
      </c>
      <c r="D1934" s="19"/>
      <c r="E1934" s="19"/>
      <c r="F1934" s="20">
        <f t="shared" si="24"/>
        <v>0</v>
      </c>
      <c r="G1934" s="67">
        <f>IFERROR(VLOOKUP(B1934,DADOS!$A$2:$H$252,8,0),"")</f>
        <v>21</v>
      </c>
      <c r="H1934" s="22">
        <v>63.0</v>
      </c>
      <c r="I1934" s="23">
        <f>IFERROR(VLOOKUP(B1934,DADOS!$A$2:$H$252,4,0)*H1934,"")</f>
        <v>18.456858</v>
      </c>
      <c r="J1934" s="24"/>
      <c r="K1934" s="25">
        <f>IFERROR(VLOOKUP(B1934,DADOS!$A$2:$H$252,4,0)*J1934,"")</f>
        <v>0</v>
      </c>
      <c r="L1934" s="26">
        <f t="shared" si="23"/>
        <v>0</v>
      </c>
      <c r="M1934" s="27"/>
      <c r="N1934" s="30"/>
      <c r="O1934" s="28"/>
      <c r="P1934" s="28"/>
      <c r="Q1934" s="28"/>
      <c r="R1934" s="28"/>
      <c r="S1934" s="28"/>
    </row>
    <row r="1935">
      <c r="A1935" s="17">
        <v>45982.0</v>
      </c>
      <c r="B1935" s="18" t="s">
        <v>66</v>
      </c>
      <c r="C1935" s="18" t="s">
        <v>165</v>
      </c>
      <c r="D1935" s="19"/>
      <c r="E1935" s="19"/>
      <c r="F1935" s="20">
        <f t="shared" si="24"/>
        <v>0</v>
      </c>
      <c r="G1935" s="67" t="str">
        <f>IFERROR(VLOOKUP(B1935,DADOS!$A$2:$H$252,8,0),"")</f>
        <v/>
      </c>
      <c r="H1935" s="22">
        <v>8.0</v>
      </c>
      <c r="I1935" s="23">
        <f>IFERROR(VLOOKUP(B1935,DADOS!$A$2:$H$252,4,0)*H1935,"")</f>
        <v>1.07</v>
      </c>
      <c r="J1935" s="24">
        <v>1.0</v>
      </c>
      <c r="K1935" s="25">
        <f>IFERROR(VLOOKUP(B1935,DADOS!$A$2:$H$252,4,0)*J1935,"")</f>
        <v>0.13375</v>
      </c>
      <c r="L1935" s="26">
        <f t="shared" si="23"/>
        <v>0</v>
      </c>
      <c r="M1935" s="27"/>
      <c r="N1935" s="30"/>
      <c r="O1935" s="63"/>
      <c r="P1935" s="63"/>
      <c r="Q1935" s="63"/>
      <c r="R1935" s="63"/>
      <c r="S1935" s="63"/>
      <c r="T1935" s="64"/>
      <c r="U1935" s="64"/>
      <c r="V1935" s="64"/>
      <c r="W1935" s="64"/>
      <c r="X1935" s="64"/>
      <c r="Y1935" s="64"/>
      <c r="Z1935" s="64"/>
      <c r="AA1935" s="64"/>
      <c r="AB1935" s="64"/>
      <c r="AC1935" s="64"/>
      <c r="AD1935" s="64"/>
      <c r="AE1935" s="64"/>
      <c r="AF1935" s="64"/>
      <c r="AG1935" s="64"/>
      <c r="AH1935" s="64"/>
      <c r="AI1935" s="64"/>
      <c r="AJ1935" s="64"/>
    </row>
    <row r="1936">
      <c r="A1936" s="43">
        <v>45982.0</v>
      </c>
      <c r="B1936" s="44" t="s">
        <v>188</v>
      </c>
      <c r="C1936" s="44"/>
      <c r="D1936" s="45"/>
      <c r="E1936" s="45"/>
      <c r="F1936" s="20">
        <f t="shared" si="24"/>
        <v>0</v>
      </c>
      <c r="G1936" s="67">
        <f>IFERROR(VLOOKUP(B1936,DADOS!$A$2:$H$252,8,0),"")</f>
        <v>30</v>
      </c>
      <c r="H1936" s="47"/>
      <c r="I1936" s="23">
        <f>IFERROR(VLOOKUP(B1936,DADOS!$A$2:$H$252,4,0)*H1936,"")</f>
        <v>0</v>
      </c>
      <c r="J1936" s="46">
        <v>3.0</v>
      </c>
      <c r="K1936" s="25">
        <f>IFERROR(VLOOKUP(B1936,DADOS!$A$2:$H$252,4,0)*J1936,"")</f>
        <v>0.3418008</v>
      </c>
      <c r="L1936" s="26" t="str">
        <f t="shared" si="23"/>
        <v/>
      </c>
      <c r="M1936" s="33" t="s">
        <v>189</v>
      </c>
      <c r="N1936" s="33" t="s">
        <v>173</v>
      </c>
      <c r="O1936" s="63"/>
      <c r="P1936" s="63"/>
      <c r="Q1936" s="63"/>
      <c r="R1936" s="63"/>
      <c r="S1936" s="63"/>
      <c r="T1936" s="64"/>
      <c r="U1936" s="64"/>
      <c r="V1936" s="64"/>
      <c r="W1936" s="64"/>
      <c r="X1936" s="64"/>
      <c r="Y1936" s="64"/>
      <c r="Z1936" s="64"/>
      <c r="AA1936" s="64"/>
      <c r="AB1936" s="64"/>
      <c r="AC1936" s="64"/>
      <c r="AD1936" s="64"/>
      <c r="AE1936" s="64"/>
      <c r="AF1936" s="64"/>
      <c r="AG1936" s="64"/>
      <c r="AH1936" s="64"/>
      <c r="AI1936" s="64"/>
      <c r="AJ1936" s="64"/>
    </row>
    <row r="1937">
      <c r="A1937" s="43">
        <v>45982.0</v>
      </c>
      <c r="B1937" s="44" t="s">
        <v>75</v>
      </c>
      <c r="C1937" s="44"/>
      <c r="D1937" s="45"/>
      <c r="E1937" s="45"/>
      <c r="F1937" s="20">
        <f t="shared" si="24"/>
        <v>0</v>
      </c>
      <c r="G1937" s="67">
        <f>IFERROR(VLOOKUP(B1937,DADOS!$A$2:$H$252,8,0),"")</f>
        <v>23</v>
      </c>
      <c r="H1937" s="47"/>
      <c r="I1937" s="23">
        <f>IFERROR(VLOOKUP(B1937,DADOS!$A$2:$H$252,4,0)*H1937,"")</f>
        <v>0</v>
      </c>
      <c r="J1937" s="46">
        <v>1.0</v>
      </c>
      <c r="K1937" s="25">
        <f>IFERROR(VLOOKUP(B1937,DADOS!$A$2:$H$252,4,0)*J1937,"")</f>
        <v>0.1139336</v>
      </c>
      <c r="L1937" s="26" t="str">
        <f t="shared" si="23"/>
        <v/>
      </c>
      <c r="M1937" s="33" t="s">
        <v>189</v>
      </c>
      <c r="N1937" s="33" t="s">
        <v>104</v>
      </c>
      <c r="O1937" s="63"/>
      <c r="P1937" s="63"/>
      <c r="Q1937" s="63"/>
      <c r="R1937" s="63"/>
      <c r="S1937" s="63"/>
      <c r="T1937" s="64"/>
      <c r="U1937" s="64"/>
      <c r="V1937" s="64"/>
      <c r="W1937" s="64"/>
      <c r="X1937" s="64"/>
      <c r="Y1937" s="64"/>
      <c r="Z1937" s="64"/>
      <c r="AA1937" s="64"/>
      <c r="AB1937" s="64"/>
      <c r="AC1937" s="64"/>
      <c r="AD1937" s="64"/>
      <c r="AE1937" s="64"/>
      <c r="AF1937" s="64"/>
      <c r="AG1937" s="64"/>
      <c r="AH1937" s="64"/>
      <c r="AI1937" s="64"/>
      <c r="AJ1937" s="64"/>
    </row>
    <row r="1938">
      <c r="A1938" s="43">
        <v>45982.0</v>
      </c>
      <c r="B1938" s="44" t="s">
        <v>73</v>
      </c>
      <c r="C1938" s="44"/>
      <c r="D1938" s="45"/>
      <c r="E1938" s="45"/>
      <c r="F1938" s="20">
        <f t="shared" si="24"/>
        <v>0</v>
      </c>
      <c r="G1938" s="67">
        <f>IFERROR(VLOOKUP(B1938,DADOS!$A$2:$H$252,8,0),"")</f>
        <v>37</v>
      </c>
      <c r="H1938" s="47"/>
      <c r="I1938" s="23">
        <f>IFERROR(VLOOKUP(B1938,DADOS!$A$2:$H$252,4,0)*H1938,"")</f>
        <v>0</v>
      </c>
      <c r="J1938" s="46">
        <v>2.0</v>
      </c>
      <c r="K1938" s="25">
        <f>IFERROR(VLOOKUP(B1938,DADOS!$A$2:$H$252,4,0)*J1938,"")</f>
        <v>0.154508</v>
      </c>
      <c r="L1938" s="26" t="str">
        <f t="shared" si="23"/>
        <v/>
      </c>
      <c r="M1938" s="33" t="s">
        <v>39</v>
      </c>
      <c r="N1938" s="33" t="s">
        <v>163</v>
      </c>
      <c r="O1938" s="63"/>
      <c r="P1938" s="63"/>
      <c r="Q1938" s="63"/>
      <c r="R1938" s="63"/>
      <c r="S1938" s="63"/>
      <c r="T1938" s="64"/>
      <c r="U1938" s="64"/>
      <c r="V1938" s="64"/>
      <c r="W1938" s="64"/>
      <c r="X1938" s="64"/>
      <c r="Y1938" s="64"/>
      <c r="Z1938" s="64"/>
      <c r="AA1938" s="64"/>
      <c r="AB1938" s="64"/>
      <c r="AC1938" s="64"/>
      <c r="AD1938" s="64"/>
      <c r="AE1938" s="64"/>
      <c r="AF1938" s="64"/>
      <c r="AG1938" s="64"/>
      <c r="AH1938" s="64"/>
      <c r="AI1938" s="64"/>
      <c r="AJ1938" s="64"/>
    </row>
    <row r="1939">
      <c r="A1939" s="43">
        <v>45982.0</v>
      </c>
      <c r="B1939" s="44" t="s">
        <v>195</v>
      </c>
      <c r="C1939" s="44"/>
      <c r="D1939" s="45"/>
      <c r="E1939" s="45"/>
      <c r="F1939" s="20">
        <f t="shared" si="24"/>
        <v>0</v>
      </c>
      <c r="G1939" s="67">
        <f>IFERROR(VLOOKUP(B1939,DADOS!$A$2:$H$252,8,0),"")</f>
        <v>43</v>
      </c>
      <c r="H1939" s="47"/>
      <c r="I1939" s="23">
        <f>IFERROR(VLOOKUP(B1939,DADOS!$A$2:$H$252,4,0)*H1939,"")</f>
        <v>0</v>
      </c>
      <c r="J1939" s="46">
        <v>1.0</v>
      </c>
      <c r="K1939" s="25">
        <f>IFERROR(VLOOKUP(B1939,DADOS!$A$2:$H$252,4,0)*J1939,"")</f>
        <v>0.21186</v>
      </c>
      <c r="L1939" s="26" t="str">
        <f t="shared" si="23"/>
        <v/>
      </c>
      <c r="M1939" s="33" t="s">
        <v>39</v>
      </c>
      <c r="N1939" s="33" t="s">
        <v>163</v>
      </c>
      <c r="O1939" s="63"/>
      <c r="P1939" s="63"/>
      <c r="Q1939" s="63"/>
      <c r="R1939" s="63"/>
      <c r="S1939" s="63"/>
      <c r="T1939" s="64"/>
      <c r="U1939" s="64"/>
      <c r="V1939" s="64"/>
      <c r="W1939" s="64"/>
      <c r="X1939" s="64"/>
      <c r="Y1939" s="64"/>
      <c r="Z1939" s="64"/>
      <c r="AA1939" s="64"/>
      <c r="AB1939" s="64"/>
      <c r="AC1939" s="64"/>
      <c r="AD1939" s="64"/>
      <c r="AE1939" s="64"/>
      <c r="AF1939" s="64"/>
      <c r="AG1939" s="64"/>
      <c r="AH1939" s="64"/>
      <c r="AI1939" s="64"/>
      <c r="AJ1939" s="64"/>
    </row>
    <row r="1940">
      <c r="A1940" s="43">
        <v>45982.0</v>
      </c>
      <c r="B1940" s="44" t="s">
        <v>141</v>
      </c>
      <c r="C1940" s="44"/>
      <c r="D1940" s="45"/>
      <c r="E1940" s="45"/>
      <c r="F1940" s="20">
        <f t="shared" si="24"/>
        <v>0</v>
      </c>
      <c r="G1940" s="67" t="str">
        <f>IFERROR(VLOOKUP(B1940,DADOS!$A$2:$H$252,8,0),"")</f>
        <v/>
      </c>
      <c r="H1940" s="47"/>
      <c r="I1940" s="23">
        <f>IFERROR(VLOOKUP(B1940,DADOS!$A$2:$H$252,4,0)*H1940,"")</f>
        <v>0</v>
      </c>
      <c r="J1940" s="46">
        <v>1.0</v>
      </c>
      <c r="K1940" s="25">
        <f>IFERROR(VLOOKUP(B1940,DADOS!$A$2:$H$252,4,0)*J1940,"")</f>
        <v>0</v>
      </c>
      <c r="L1940" s="26" t="str">
        <f t="shared" si="23"/>
        <v/>
      </c>
      <c r="M1940" s="33" t="s">
        <v>83</v>
      </c>
      <c r="N1940" s="33" t="s">
        <v>88</v>
      </c>
      <c r="O1940" s="63"/>
      <c r="P1940" s="63"/>
      <c r="Q1940" s="63"/>
      <c r="R1940" s="63"/>
      <c r="S1940" s="63"/>
      <c r="T1940" s="64"/>
      <c r="U1940" s="64"/>
      <c r="V1940" s="64"/>
      <c r="W1940" s="64"/>
      <c r="X1940" s="64"/>
      <c r="Y1940" s="64"/>
      <c r="Z1940" s="64"/>
      <c r="AA1940" s="64"/>
      <c r="AB1940" s="64"/>
      <c r="AC1940" s="64"/>
      <c r="AD1940" s="64"/>
      <c r="AE1940" s="64"/>
      <c r="AF1940" s="64"/>
      <c r="AG1940" s="64"/>
      <c r="AH1940" s="64"/>
      <c r="AI1940" s="64"/>
      <c r="AJ1940" s="64"/>
    </row>
    <row r="1941">
      <c r="A1941" s="43">
        <v>45982.0</v>
      </c>
      <c r="B1941" s="44" t="s">
        <v>72</v>
      </c>
      <c r="C1941" s="44"/>
      <c r="D1941" s="45"/>
      <c r="E1941" s="45"/>
      <c r="F1941" s="20">
        <f t="shared" si="24"/>
        <v>0</v>
      </c>
      <c r="G1941" s="67">
        <f>IFERROR(VLOOKUP(B1941,DADOS!$A$2:$H$252,8,0),"")</f>
        <v>43</v>
      </c>
      <c r="H1941" s="47"/>
      <c r="I1941" s="23">
        <f>IFERROR(VLOOKUP(B1941,DADOS!$A$2:$H$252,4,0)*H1941,"")</f>
        <v>0</v>
      </c>
      <c r="J1941" s="46">
        <v>1.0</v>
      </c>
      <c r="K1941" s="25">
        <f>IFERROR(VLOOKUP(B1941,DADOS!$A$2:$H$252,4,0)*J1941,"")</f>
        <v>0.01712</v>
      </c>
      <c r="L1941" s="26" t="str">
        <f t="shared" si="23"/>
        <v/>
      </c>
      <c r="M1941" s="33" t="s">
        <v>83</v>
      </c>
      <c r="N1941" s="33" t="s">
        <v>88</v>
      </c>
      <c r="O1941" s="63"/>
      <c r="P1941" s="63"/>
      <c r="Q1941" s="63"/>
      <c r="R1941" s="63"/>
      <c r="S1941" s="63"/>
      <c r="T1941" s="64"/>
      <c r="U1941" s="64"/>
      <c r="V1941" s="64"/>
      <c r="W1941" s="64"/>
      <c r="X1941" s="64"/>
      <c r="Y1941" s="64"/>
      <c r="Z1941" s="64"/>
      <c r="AA1941" s="64"/>
      <c r="AB1941" s="64"/>
      <c r="AC1941" s="64"/>
      <c r="AD1941" s="64"/>
      <c r="AE1941" s="64"/>
      <c r="AF1941" s="64"/>
      <c r="AG1941" s="64"/>
      <c r="AH1941" s="64"/>
      <c r="AI1941" s="64"/>
      <c r="AJ1941" s="64"/>
    </row>
    <row r="1942">
      <c r="A1942" s="43">
        <v>45982.0</v>
      </c>
      <c r="B1942" s="44" t="s">
        <v>188</v>
      </c>
      <c r="C1942" s="44"/>
      <c r="D1942" s="45"/>
      <c r="E1942" s="45"/>
      <c r="F1942" s="20">
        <f t="shared" si="24"/>
        <v>0</v>
      </c>
      <c r="G1942" s="67">
        <f>IFERROR(VLOOKUP(B1942,DADOS!$A$2:$H$252,8,0),"")</f>
        <v>30</v>
      </c>
      <c r="H1942" s="47"/>
      <c r="I1942" s="23">
        <f>IFERROR(VLOOKUP(B1942,DADOS!$A$2:$H$252,4,0)*H1942,"")</f>
        <v>0</v>
      </c>
      <c r="J1942" s="46">
        <v>1.0</v>
      </c>
      <c r="K1942" s="25">
        <f>IFERROR(VLOOKUP(B1942,DADOS!$A$2:$H$252,4,0)*J1942,"")</f>
        <v>0.1139336</v>
      </c>
      <c r="L1942" s="26" t="str">
        <f t="shared" si="23"/>
        <v/>
      </c>
      <c r="M1942" s="33" t="s">
        <v>39</v>
      </c>
      <c r="N1942" s="33" t="s">
        <v>86</v>
      </c>
      <c r="O1942" s="63"/>
      <c r="P1942" s="63"/>
      <c r="Q1942" s="63"/>
      <c r="R1942" s="63"/>
      <c r="S1942" s="63"/>
      <c r="T1942" s="64"/>
      <c r="U1942" s="64"/>
      <c r="V1942" s="64"/>
      <c r="W1942" s="64"/>
      <c r="X1942" s="64"/>
      <c r="Y1942" s="64"/>
      <c r="Z1942" s="64"/>
      <c r="AA1942" s="64"/>
      <c r="AB1942" s="64"/>
      <c r="AC1942" s="64"/>
      <c r="AD1942" s="64"/>
      <c r="AE1942" s="64"/>
      <c r="AF1942" s="64"/>
      <c r="AG1942" s="64"/>
      <c r="AH1942" s="64"/>
      <c r="AI1942" s="64"/>
      <c r="AJ1942" s="64"/>
    </row>
    <row r="1943">
      <c r="A1943" s="43">
        <v>45982.0</v>
      </c>
      <c r="B1943" s="44" t="s">
        <v>188</v>
      </c>
      <c r="C1943" s="44"/>
      <c r="D1943" s="45"/>
      <c r="E1943" s="45"/>
      <c r="F1943" s="20">
        <f t="shared" si="24"/>
        <v>0</v>
      </c>
      <c r="G1943" s="67">
        <f>IFERROR(VLOOKUP(B1943,DADOS!$A$2:$H$252,8,0),"")</f>
        <v>30</v>
      </c>
      <c r="H1943" s="47"/>
      <c r="I1943" s="23">
        <f>IFERROR(VLOOKUP(B1943,DADOS!$A$2:$H$252,4,0)*H1943,"")</f>
        <v>0</v>
      </c>
      <c r="J1943" s="46">
        <v>1.0</v>
      </c>
      <c r="K1943" s="25">
        <f>IFERROR(VLOOKUP(B1943,DADOS!$A$2:$H$252,4,0)*J1943,"")</f>
        <v>0.1139336</v>
      </c>
      <c r="L1943" s="26" t="str">
        <f t="shared" si="23"/>
        <v/>
      </c>
      <c r="M1943" s="33" t="s">
        <v>189</v>
      </c>
      <c r="N1943" s="33" t="s">
        <v>104</v>
      </c>
      <c r="O1943" s="63"/>
      <c r="P1943" s="63"/>
      <c r="Q1943" s="63"/>
      <c r="R1943" s="63"/>
      <c r="S1943" s="63"/>
      <c r="T1943" s="64"/>
      <c r="U1943" s="64"/>
      <c r="V1943" s="64"/>
      <c r="W1943" s="64"/>
      <c r="X1943" s="64"/>
      <c r="Y1943" s="64"/>
      <c r="Z1943" s="64"/>
      <c r="AA1943" s="64"/>
      <c r="AB1943" s="64"/>
      <c r="AC1943" s="64"/>
      <c r="AD1943" s="64"/>
      <c r="AE1943" s="64"/>
      <c r="AF1943" s="64"/>
      <c r="AG1943" s="64"/>
      <c r="AH1943" s="64"/>
      <c r="AI1943" s="64"/>
      <c r="AJ1943" s="64"/>
    </row>
    <row r="1944">
      <c r="A1944" s="43">
        <v>45982.0</v>
      </c>
      <c r="B1944" s="44" t="s">
        <v>105</v>
      </c>
      <c r="C1944" s="44"/>
      <c r="D1944" s="45"/>
      <c r="E1944" s="45"/>
      <c r="F1944" s="20">
        <f t="shared" si="24"/>
        <v>0</v>
      </c>
      <c r="G1944" s="67">
        <f>IFERROR(VLOOKUP(B1944,DADOS!$A$2:$H$252,8,0),"")</f>
        <v>18</v>
      </c>
      <c r="H1944" s="47"/>
      <c r="I1944" s="23">
        <f>IFERROR(VLOOKUP(B1944,DADOS!$A$2:$H$252,4,0)*H1944,"")</f>
        <v>0</v>
      </c>
      <c r="J1944" s="46">
        <v>1.0</v>
      </c>
      <c r="K1944" s="25">
        <f>IFERROR(VLOOKUP(B1944,DADOS!$A$2:$H$252,4,0)*J1944,"")</f>
        <v>0.0849794</v>
      </c>
      <c r="L1944" s="26" t="str">
        <f t="shared" si="23"/>
        <v/>
      </c>
      <c r="M1944" s="33" t="s">
        <v>39</v>
      </c>
      <c r="N1944" s="33" t="s">
        <v>120</v>
      </c>
      <c r="O1944" s="63"/>
      <c r="P1944" s="63"/>
      <c r="Q1944" s="63"/>
      <c r="R1944" s="63"/>
      <c r="S1944" s="63"/>
      <c r="T1944" s="64"/>
      <c r="U1944" s="64"/>
      <c r="V1944" s="64"/>
      <c r="W1944" s="64"/>
      <c r="X1944" s="64"/>
      <c r="Y1944" s="64"/>
      <c r="Z1944" s="64"/>
      <c r="AA1944" s="64"/>
      <c r="AB1944" s="64"/>
      <c r="AC1944" s="64"/>
      <c r="AD1944" s="64"/>
      <c r="AE1944" s="64"/>
      <c r="AF1944" s="64"/>
      <c r="AG1944" s="64"/>
      <c r="AH1944" s="64"/>
      <c r="AI1944" s="64"/>
      <c r="AJ1944" s="64"/>
    </row>
    <row r="1945">
      <c r="A1945" s="43">
        <v>45982.0</v>
      </c>
      <c r="B1945" s="44" t="s">
        <v>63</v>
      </c>
      <c r="C1945" s="44"/>
      <c r="D1945" s="45"/>
      <c r="E1945" s="45"/>
      <c r="F1945" s="20">
        <f t="shared" si="24"/>
        <v>0</v>
      </c>
      <c r="G1945" s="67" t="str">
        <f>IFERROR(VLOOKUP(B1945,DADOS!$A$2:$H$252,8,0),"")</f>
        <v/>
      </c>
      <c r="H1945" s="47"/>
      <c r="I1945" s="23">
        <f>IFERROR(VLOOKUP(B1945,DADOS!$A$2:$H$252,4,0)*H1945,"")</f>
        <v>0</v>
      </c>
      <c r="J1945" s="46">
        <v>1.0</v>
      </c>
      <c r="K1945" s="25">
        <f>IFERROR(VLOOKUP(B1945,DADOS!$A$2:$H$252,4,0)*J1945,"")</f>
        <v>0</v>
      </c>
      <c r="L1945" s="26" t="str">
        <f t="shared" si="23"/>
        <v/>
      </c>
      <c r="M1945" s="33" t="s">
        <v>39</v>
      </c>
      <c r="N1945" s="33" t="s">
        <v>174</v>
      </c>
      <c r="O1945" s="63"/>
      <c r="P1945" s="63"/>
      <c r="Q1945" s="63"/>
      <c r="R1945" s="63"/>
      <c r="S1945" s="63"/>
      <c r="T1945" s="64"/>
      <c r="U1945" s="64"/>
      <c r="V1945" s="64"/>
      <c r="W1945" s="64"/>
      <c r="X1945" s="64"/>
      <c r="Y1945" s="64"/>
      <c r="Z1945" s="64"/>
      <c r="AA1945" s="64"/>
      <c r="AB1945" s="64"/>
      <c r="AC1945" s="64"/>
      <c r="AD1945" s="64"/>
      <c r="AE1945" s="64"/>
      <c r="AF1945" s="64"/>
      <c r="AG1945" s="64"/>
      <c r="AH1945" s="64"/>
      <c r="AI1945" s="64"/>
      <c r="AJ1945" s="64"/>
    </row>
    <row r="1946">
      <c r="A1946" s="43">
        <v>45982.0</v>
      </c>
      <c r="B1946" s="44" t="s">
        <v>66</v>
      </c>
      <c r="C1946" s="44"/>
      <c r="D1946" s="45"/>
      <c r="E1946" s="45"/>
      <c r="F1946" s="20">
        <f t="shared" si="24"/>
        <v>0</v>
      </c>
      <c r="G1946" s="67" t="str">
        <f>IFERROR(VLOOKUP(B1946,DADOS!$A$2:$H$252,8,0),"")</f>
        <v/>
      </c>
      <c r="H1946" s="47"/>
      <c r="I1946" s="23">
        <f>IFERROR(VLOOKUP(B1946,DADOS!$A$2:$H$252,4,0)*H1946,"")</f>
        <v>0</v>
      </c>
      <c r="J1946" s="46">
        <v>1.0</v>
      </c>
      <c r="K1946" s="25">
        <f>IFERROR(VLOOKUP(B1946,DADOS!$A$2:$H$252,4,0)*J1946,"")</f>
        <v>0.13375</v>
      </c>
      <c r="L1946" s="26" t="str">
        <f t="shared" si="23"/>
        <v/>
      </c>
      <c r="M1946" s="33" t="s">
        <v>83</v>
      </c>
      <c r="N1946" s="33" t="s">
        <v>84</v>
      </c>
      <c r="O1946" s="63"/>
      <c r="P1946" s="63"/>
      <c r="Q1946" s="63"/>
      <c r="R1946" s="63"/>
      <c r="S1946" s="63"/>
      <c r="T1946" s="64"/>
      <c r="U1946" s="64"/>
      <c r="V1946" s="64"/>
      <c r="W1946" s="64"/>
      <c r="X1946" s="64"/>
      <c r="Y1946" s="64"/>
      <c r="Z1946" s="64"/>
      <c r="AA1946" s="64"/>
      <c r="AB1946" s="64"/>
      <c r="AC1946" s="64"/>
      <c r="AD1946" s="64"/>
      <c r="AE1946" s="64"/>
      <c r="AF1946" s="64"/>
      <c r="AG1946" s="64"/>
      <c r="AH1946" s="64"/>
      <c r="AI1946" s="64"/>
      <c r="AJ1946" s="64"/>
    </row>
    <row r="1947">
      <c r="A1947" s="43">
        <v>45982.0</v>
      </c>
      <c r="B1947" s="44" t="s">
        <v>188</v>
      </c>
      <c r="C1947" s="44"/>
      <c r="D1947" s="45"/>
      <c r="E1947" s="45"/>
      <c r="F1947" s="20">
        <f t="shared" si="24"/>
        <v>0</v>
      </c>
      <c r="G1947" s="67">
        <f>IFERROR(VLOOKUP(B1947,DADOS!$A$2:$H$252,8,0),"")</f>
        <v>30</v>
      </c>
      <c r="H1947" s="47"/>
      <c r="I1947" s="23">
        <f>IFERROR(VLOOKUP(B1947,DADOS!$A$2:$H$252,4,0)*H1947,"")</f>
        <v>0</v>
      </c>
      <c r="J1947" s="47"/>
      <c r="K1947" s="25">
        <f>IFERROR(VLOOKUP(B1947,DADOS!$A$2:$H$252,4,0)*J1947,"")</f>
        <v>0</v>
      </c>
      <c r="L1947" s="26" t="str">
        <f t="shared" si="23"/>
        <v/>
      </c>
      <c r="M1947" s="33" t="s">
        <v>39</v>
      </c>
      <c r="N1947" s="33" t="s">
        <v>86</v>
      </c>
      <c r="O1947" s="28"/>
      <c r="P1947" s="28"/>
      <c r="Q1947" s="28"/>
      <c r="R1947" s="28"/>
      <c r="S1947" s="28"/>
    </row>
    <row r="1948">
      <c r="A1948" s="17">
        <v>45985.0</v>
      </c>
      <c r="B1948" s="18" t="s">
        <v>29</v>
      </c>
      <c r="C1948" s="18" t="s">
        <v>19</v>
      </c>
      <c r="D1948" s="19"/>
      <c r="E1948" s="19"/>
      <c r="F1948" s="20">
        <f t="shared" si="24"/>
        <v>0</v>
      </c>
      <c r="G1948" s="67">
        <f>IFERROR(VLOOKUP(B1948,DADOS!$A$2:$H$252,8,0),"")</f>
        <v>12</v>
      </c>
      <c r="H1948" s="22">
        <v>2.0</v>
      </c>
      <c r="I1948" s="23">
        <f>IFERROR(VLOOKUP(B1948,DADOS!$A$2:$H$252,4,0)*H1948,"")</f>
        <v>1.7472672</v>
      </c>
      <c r="J1948" s="36"/>
      <c r="K1948" s="25">
        <f>IFERROR(VLOOKUP(B1948,DADOS!$A$2:$H$252,4,0)*J1948,"")</f>
        <v>0</v>
      </c>
      <c r="L1948" s="26">
        <f t="shared" si="23"/>
        <v>0</v>
      </c>
      <c r="M1948" s="27"/>
      <c r="N1948" s="30"/>
      <c r="O1948" s="28"/>
      <c r="P1948" s="28"/>
      <c r="Q1948" s="28"/>
      <c r="R1948" s="28"/>
      <c r="S1948" s="28"/>
    </row>
    <row r="1949">
      <c r="A1949" s="17">
        <v>45985.0</v>
      </c>
      <c r="B1949" s="18" t="s">
        <v>74</v>
      </c>
      <c r="C1949" s="18" t="s">
        <v>65</v>
      </c>
      <c r="D1949" s="19"/>
      <c r="E1949" s="19"/>
      <c r="F1949" s="20">
        <f t="shared" si="24"/>
        <v>0</v>
      </c>
      <c r="G1949" s="67">
        <f>IFERROR(VLOOKUP(B1949,DADOS!$A$2:$H$252,8,0),"")</f>
        <v>60</v>
      </c>
      <c r="H1949" s="22">
        <v>55.0</v>
      </c>
      <c r="I1949" s="23">
        <f>IFERROR(VLOOKUP(B1949,DADOS!$A$2:$H$252,4,0)*H1949,"")</f>
        <v>76.2696</v>
      </c>
      <c r="J1949" s="24">
        <v>13.0</v>
      </c>
      <c r="K1949" s="25">
        <f>IFERROR(VLOOKUP(B1949,DADOS!$A$2:$H$252,4,0)*J1949,"")</f>
        <v>18.02736</v>
      </c>
      <c r="L1949" s="26">
        <f t="shared" si="23"/>
        <v>0</v>
      </c>
      <c r="M1949" s="27"/>
      <c r="N1949" s="30"/>
      <c r="O1949" s="28"/>
      <c r="P1949" s="28"/>
      <c r="Q1949" s="28"/>
      <c r="R1949" s="28"/>
      <c r="S1949" s="28"/>
    </row>
    <row r="1950">
      <c r="A1950" s="17">
        <v>45985.0</v>
      </c>
      <c r="B1950" s="18" t="s">
        <v>66</v>
      </c>
      <c r="C1950" s="18" t="s">
        <v>165</v>
      </c>
      <c r="D1950" s="19"/>
      <c r="E1950" s="19"/>
      <c r="F1950" s="20">
        <f t="shared" si="24"/>
        <v>0</v>
      </c>
      <c r="G1950" s="67" t="str">
        <f>IFERROR(VLOOKUP(B1950,DADOS!$A$2:$H$252,8,0),"")</f>
        <v/>
      </c>
      <c r="H1950" s="22">
        <v>69.0</v>
      </c>
      <c r="I1950" s="23">
        <f>IFERROR(VLOOKUP(B1950,DADOS!$A$2:$H$252,4,0)*H1950,"")</f>
        <v>9.22875</v>
      </c>
      <c r="J1950" s="24">
        <v>11.0</v>
      </c>
      <c r="K1950" s="25">
        <f>IFERROR(VLOOKUP(B1950,DADOS!$A$2:$H$252,4,0)*J1950,"")</f>
        <v>1.47125</v>
      </c>
      <c r="L1950" s="26">
        <f t="shared" si="23"/>
        <v>0</v>
      </c>
      <c r="M1950" s="27"/>
      <c r="N1950" s="30"/>
      <c r="O1950" s="28"/>
      <c r="P1950" s="28"/>
      <c r="Q1950" s="28"/>
      <c r="R1950" s="28"/>
      <c r="S1950" s="28"/>
    </row>
    <row r="1951">
      <c r="A1951" s="17">
        <v>45985.0</v>
      </c>
      <c r="B1951" s="18" t="s">
        <v>197</v>
      </c>
      <c r="C1951" s="18" t="s">
        <v>165</v>
      </c>
      <c r="D1951" s="19"/>
      <c r="E1951" s="19"/>
      <c r="F1951" s="20">
        <f t="shared" si="24"/>
        <v>0</v>
      </c>
      <c r="G1951" s="67">
        <f>IFERROR(VLOOKUP(B1951,DADOS!$A$2:$H$252,8,0),"")</f>
        <v>15</v>
      </c>
      <c r="H1951" s="22">
        <v>47.0</v>
      </c>
      <c r="I1951" s="23">
        <f>IFERROR(VLOOKUP(B1951,DADOS!$A$2:$H$252,4,0)*H1951,"")</f>
        <v>5.320682</v>
      </c>
      <c r="J1951" s="36"/>
      <c r="K1951" s="25">
        <f>IFERROR(VLOOKUP(B1951,DADOS!$A$2:$H$252,4,0)*J1951,"")</f>
        <v>0</v>
      </c>
      <c r="L1951" s="26">
        <f t="shared" si="23"/>
        <v>0</v>
      </c>
      <c r="M1951" s="27"/>
      <c r="N1951" s="30"/>
      <c r="O1951" s="28"/>
      <c r="P1951" s="28"/>
      <c r="Q1951" s="28"/>
      <c r="R1951" s="28"/>
      <c r="S1951" s="28"/>
    </row>
    <row r="1952">
      <c r="A1952" s="17">
        <v>45986.0</v>
      </c>
      <c r="B1952" s="18" t="s">
        <v>74</v>
      </c>
      <c r="C1952" s="18" t="s">
        <v>65</v>
      </c>
      <c r="D1952" s="19"/>
      <c r="E1952" s="19"/>
      <c r="F1952" s="20">
        <f t="shared" si="24"/>
        <v>0</v>
      </c>
      <c r="G1952" s="67">
        <f>IFERROR(VLOOKUP(B1952,DADOS!$A$2:$H$252,8,0),"")</f>
        <v>60</v>
      </c>
      <c r="H1952" s="22">
        <v>140.0</v>
      </c>
      <c r="I1952" s="23">
        <f>IFERROR(VLOOKUP(B1952,DADOS!$A$2:$H$252,4,0)*H1952,"")</f>
        <v>194.1408</v>
      </c>
      <c r="J1952" s="24">
        <v>6.0</v>
      </c>
      <c r="K1952" s="25">
        <f>IFERROR(VLOOKUP(B1952,DADOS!$A$2:$H$252,4,0)*J1952,"")</f>
        <v>8.32032</v>
      </c>
      <c r="L1952" s="26">
        <f t="shared" si="23"/>
        <v>0</v>
      </c>
      <c r="M1952" s="27"/>
      <c r="N1952" s="30"/>
      <c r="O1952" s="28"/>
      <c r="P1952" s="28"/>
      <c r="Q1952" s="28"/>
      <c r="R1952" s="28"/>
      <c r="S1952" s="28"/>
    </row>
    <row r="1953">
      <c r="A1953" s="17">
        <v>45986.0</v>
      </c>
      <c r="B1953" s="18" t="s">
        <v>66</v>
      </c>
      <c r="C1953" s="18" t="s">
        <v>165</v>
      </c>
      <c r="D1953" s="19"/>
      <c r="E1953" s="19"/>
      <c r="F1953" s="20">
        <f t="shared" si="24"/>
        <v>0</v>
      </c>
      <c r="G1953" s="67" t="str">
        <f>IFERROR(VLOOKUP(B1953,DADOS!$A$2:$H$252,8,0),"")</f>
        <v/>
      </c>
      <c r="H1953" s="22">
        <v>10.0</v>
      </c>
      <c r="I1953" s="23">
        <f>IFERROR(VLOOKUP(B1953,DADOS!$A$2:$H$252,4,0)*H1953,"")</f>
        <v>1.3375</v>
      </c>
      <c r="J1953" s="36"/>
      <c r="K1953" s="25">
        <f>IFERROR(VLOOKUP(B1953,DADOS!$A$2:$H$252,4,0)*J1953,"")</f>
        <v>0</v>
      </c>
      <c r="L1953" s="26">
        <f t="shared" si="23"/>
        <v>0</v>
      </c>
      <c r="M1953" s="27"/>
      <c r="N1953" s="30"/>
      <c r="O1953" s="28"/>
      <c r="P1953" s="28"/>
      <c r="Q1953" s="28"/>
      <c r="R1953" s="28"/>
      <c r="S1953" s="28"/>
    </row>
    <row r="1954">
      <c r="A1954" s="17">
        <v>45986.0</v>
      </c>
      <c r="B1954" s="18" t="s">
        <v>29</v>
      </c>
      <c r="C1954" s="18" t="s">
        <v>165</v>
      </c>
      <c r="D1954" s="19"/>
      <c r="E1954" s="19"/>
      <c r="F1954" s="20">
        <f t="shared" si="24"/>
        <v>0</v>
      </c>
      <c r="G1954" s="67">
        <f>IFERROR(VLOOKUP(B1954,DADOS!$A$2:$H$252,8,0),"")</f>
        <v>12</v>
      </c>
      <c r="H1954" s="22">
        <v>28.0</v>
      </c>
      <c r="I1954" s="23">
        <f>IFERROR(VLOOKUP(B1954,DADOS!$A$2:$H$252,4,0)*H1954,"")</f>
        <v>24.4617408</v>
      </c>
      <c r="J1954" s="36"/>
      <c r="K1954" s="25">
        <f>IFERROR(VLOOKUP(B1954,DADOS!$A$2:$H$252,4,0)*J1954,"")</f>
        <v>0</v>
      </c>
      <c r="L1954" s="26">
        <f t="shared" si="23"/>
        <v>0</v>
      </c>
      <c r="M1954" s="27"/>
      <c r="N1954" s="30"/>
      <c r="O1954" s="28"/>
      <c r="P1954" s="28"/>
      <c r="Q1954" s="28"/>
      <c r="R1954" s="28"/>
      <c r="S1954" s="28"/>
    </row>
    <row r="1955">
      <c r="A1955" s="17">
        <v>45986.0</v>
      </c>
      <c r="B1955" s="18" t="s">
        <v>99</v>
      </c>
      <c r="C1955" s="18" t="s">
        <v>165</v>
      </c>
      <c r="D1955" s="19"/>
      <c r="E1955" s="19"/>
      <c r="F1955" s="20">
        <f t="shared" si="24"/>
        <v>0</v>
      </c>
      <c r="G1955" s="67">
        <f>IFERROR(VLOOKUP(B1955,DADOS!$A$2:$H$252,8,0),"")</f>
        <v>26</v>
      </c>
      <c r="H1955" s="22">
        <v>53.0</v>
      </c>
      <c r="I1955" s="23">
        <f>IFERROR(VLOOKUP(B1955,DADOS!$A$2:$H$252,4,0)*H1955,"")</f>
        <v>4.99048</v>
      </c>
      <c r="J1955" s="24">
        <v>1.0</v>
      </c>
      <c r="K1955" s="25">
        <f>IFERROR(VLOOKUP(B1955,DADOS!$A$2:$H$252,4,0)*J1955,"")</f>
        <v>0.09416</v>
      </c>
      <c r="L1955" s="26">
        <f t="shared" si="23"/>
        <v>0</v>
      </c>
      <c r="M1955" s="27"/>
      <c r="N1955" s="30"/>
      <c r="O1955" s="28"/>
      <c r="P1955" s="28"/>
      <c r="Q1955" s="28"/>
      <c r="R1955" s="28"/>
      <c r="S1955" s="28"/>
    </row>
    <row r="1956">
      <c r="A1956" s="17">
        <v>45987.0</v>
      </c>
      <c r="B1956" s="18" t="s">
        <v>134</v>
      </c>
      <c r="C1956" s="18" t="s">
        <v>166</v>
      </c>
      <c r="D1956" s="19">
        <v>0.3333333333333333</v>
      </c>
      <c r="E1956" s="19">
        <v>0.4930555555555556</v>
      </c>
      <c r="F1956" s="20">
        <f t="shared" si="24"/>
        <v>0.1597222222</v>
      </c>
      <c r="G1956" s="67">
        <f>IFERROR(VLOOKUP(B1956,DADOS!$A$2:$H$252,8,0),"")</f>
        <v>17</v>
      </c>
      <c r="H1956" s="22">
        <v>39.0</v>
      </c>
      <c r="I1956" s="23">
        <f>IFERROR(VLOOKUP(B1956,DADOS!$A$2:$H$252,4,0)*H1956,"")</f>
        <v>3.012906</v>
      </c>
      <c r="J1956" s="24">
        <v>1.0</v>
      </c>
      <c r="K1956" s="25">
        <f>IFERROR(VLOOKUP(B1956,DADOS!$A$2:$H$252,4,0)*J1956,"")</f>
        <v>0.077254</v>
      </c>
      <c r="L1956" s="26">
        <f t="shared" si="23"/>
        <v>0</v>
      </c>
      <c r="M1956" s="27"/>
      <c r="N1956" s="30"/>
      <c r="O1956" s="28"/>
      <c r="P1956" s="28"/>
      <c r="Q1956" s="28"/>
      <c r="R1956" s="28"/>
      <c r="S1956" s="28"/>
    </row>
    <row r="1957">
      <c r="A1957" s="17">
        <v>45987.0</v>
      </c>
      <c r="B1957" s="18" t="s">
        <v>74</v>
      </c>
      <c r="C1957" s="18" t="s">
        <v>65</v>
      </c>
      <c r="D1957" s="19"/>
      <c r="E1957" s="19"/>
      <c r="F1957" s="20">
        <f t="shared" si="24"/>
        <v>0</v>
      </c>
      <c r="G1957" s="67">
        <f>IFERROR(VLOOKUP(B1957,DADOS!$A$2:$H$252,8,0),"")</f>
        <v>60</v>
      </c>
      <c r="H1957" s="22">
        <v>41.0</v>
      </c>
      <c r="I1957" s="23">
        <f>IFERROR(VLOOKUP(B1957,DADOS!$A$2:$H$252,4,0)*H1957,"")</f>
        <v>56.85552</v>
      </c>
      <c r="J1957" s="24">
        <v>7.0</v>
      </c>
      <c r="K1957" s="25">
        <f>IFERROR(VLOOKUP(B1957,DADOS!$A$2:$H$252,4,0)*J1957,"")</f>
        <v>9.70704</v>
      </c>
      <c r="L1957" s="26">
        <f t="shared" si="23"/>
        <v>0</v>
      </c>
      <c r="M1957" s="27"/>
      <c r="N1957" s="30"/>
      <c r="O1957" s="28"/>
      <c r="P1957" s="28"/>
      <c r="Q1957" s="28"/>
      <c r="R1957" s="28"/>
      <c r="S1957" s="28"/>
    </row>
    <row r="1958">
      <c r="A1958" s="17">
        <v>45987.0</v>
      </c>
      <c r="B1958" s="18" t="s">
        <v>77</v>
      </c>
      <c r="C1958" s="18" t="s">
        <v>65</v>
      </c>
      <c r="D1958" s="19"/>
      <c r="E1958" s="19"/>
      <c r="F1958" s="20">
        <f t="shared" si="24"/>
        <v>0</v>
      </c>
      <c r="G1958" s="67">
        <f>IFERROR(VLOOKUP(B1958,DADOS!$A$2:$H$252,8,0),"")</f>
        <v>120</v>
      </c>
      <c r="H1958" s="22">
        <v>58.0</v>
      </c>
      <c r="I1958" s="23">
        <f>IFERROR(VLOOKUP(B1958,DADOS!$A$2:$H$252,4,0)*H1958,"")</f>
        <v>0.55854</v>
      </c>
      <c r="J1958" s="36"/>
      <c r="K1958" s="25">
        <f>IFERROR(VLOOKUP(B1958,DADOS!$A$2:$H$252,4,0)*J1958,"")</f>
        <v>0</v>
      </c>
      <c r="L1958" s="26">
        <f t="shared" si="23"/>
        <v>0</v>
      </c>
      <c r="M1958" s="27"/>
      <c r="N1958" s="30"/>
      <c r="O1958" s="28"/>
      <c r="P1958" s="28"/>
      <c r="Q1958" s="28"/>
      <c r="R1958" s="28"/>
      <c r="S1958" s="28"/>
    </row>
    <row r="1959">
      <c r="A1959" s="17">
        <v>45987.0</v>
      </c>
      <c r="B1959" s="18" t="s">
        <v>99</v>
      </c>
      <c r="C1959" s="18" t="s">
        <v>165</v>
      </c>
      <c r="D1959" s="19">
        <v>0.3159722222222222</v>
      </c>
      <c r="E1959" s="19">
        <v>0.3819444444444444</v>
      </c>
      <c r="F1959" s="20">
        <f t="shared" si="24"/>
        <v>0.06597222222</v>
      </c>
      <c r="G1959" s="67">
        <f>IFERROR(VLOOKUP(B1959,DADOS!$A$2:$H$252,8,0),"")</f>
        <v>26</v>
      </c>
      <c r="H1959" s="22">
        <v>46.0</v>
      </c>
      <c r="I1959" s="23">
        <f>IFERROR(VLOOKUP(B1959,DADOS!$A$2:$H$252,4,0)*H1959,"")</f>
        <v>4.33136</v>
      </c>
      <c r="J1959" s="36"/>
      <c r="K1959" s="25">
        <f>IFERROR(VLOOKUP(B1959,DADOS!$A$2:$H$252,4,0)*J1959,"")</f>
        <v>0</v>
      </c>
      <c r="L1959" s="26">
        <f t="shared" si="23"/>
        <v>0</v>
      </c>
      <c r="M1959" s="27"/>
      <c r="N1959" s="30"/>
      <c r="O1959" s="28"/>
      <c r="P1959" s="28"/>
      <c r="Q1959" s="28"/>
      <c r="R1959" s="28"/>
      <c r="S1959" s="28"/>
    </row>
    <row r="1960">
      <c r="A1960" s="17">
        <v>45987.0</v>
      </c>
      <c r="B1960" s="18" t="s">
        <v>96</v>
      </c>
      <c r="C1960" s="18" t="s">
        <v>165</v>
      </c>
      <c r="D1960" s="19">
        <v>0.3854166666666667</v>
      </c>
      <c r="E1960" s="19">
        <v>0.5763888888888888</v>
      </c>
      <c r="F1960" s="20">
        <f t="shared" si="24"/>
        <v>0.1909722222</v>
      </c>
      <c r="G1960" s="67">
        <f>IFERROR(VLOOKUP(B1960,DADOS!$A$2:$H$252,8,0),"")</f>
        <v>27</v>
      </c>
      <c r="H1960" s="22">
        <v>96.0</v>
      </c>
      <c r="I1960" s="23">
        <f>IFERROR(VLOOKUP(B1960,DADOS!$A$2:$H$252,4,0)*H1960,"")</f>
        <v>9.03936</v>
      </c>
      <c r="J1960" s="24">
        <v>4.0</v>
      </c>
      <c r="K1960" s="25">
        <f>IFERROR(VLOOKUP(B1960,DADOS!$A$2:$H$252,4,0)*J1960,"")</f>
        <v>0.37664</v>
      </c>
      <c r="L1960" s="26">
        <f t="shared" si="23"/>
        <v>0</v>
      </c>
      <c r="M1960" s="27"/>
      <c r="N1960" s="30"/>
      <c r="O1960" s="28"/>
      <c r="P1960" s="28"/>
      <c r="Q1960" s="28"/>
      <c r="R1960" s="28"/>
      <c r="S1960" s="28"/>
    </row>
    <row r="1961">
      <c r="A1961" s="17">
        <v>45987.0</v>
      </c>
      <c r="B1961" s="18" t="s">
        <v>25</v>
      </c>
      <c r="C1961" s="18" t="s">
        <v>165</v>
      </c>
      <c r="D1961" s="19">
        <v>0.5902777777777778</v>
      </c>
      <c r="E1961" s="19">
        <v>0.71875</v>
      </c>
      <c r="F1961" s="20">
        <f t="shared" si="24"/>
        <v>0.1284722222</v>
      </c>
      <c r="G1961" s="67">
        <f>IFERROR(VLOOKUP(B1961,DADOS!$A$2:$H$252,8,0),"")</f>
        <v>40</v>
      </c>
      <c r="H1961" s="22">
        <v>56.0</v>
      </c>
      <c r="I1961" s="23">
        <f>IFERROR(VLOOKUP(B1961,DADOS!$A$2:$H$252,4,0)*H1961,"")</f>
        <v>5.800256</v>
      </c>
      <c r="J1961" s="36"/>
      <c r="K1961" s="25">
        <f>IFERROR(VLOOKUP(B1961,DADOS!$A$2:$H$252,4,0)*J1961,"")</f>
        <v>0</v>
      </c>
      <c r="L1961" s="26">
        <f t="shared" si="23"/>
        <v>0</v>
      </c>
      <c r="M1961" s="27"/>
      <c r="N1961" s="30"/>
      <c r="O1961" s="28"/>
      <c r="P1961" s="28"/>
      <c r="Q1961" s="28"/>
      <c r="R1961" s="28"/>
      <c r="S1961" s="28"/>
    </row>
    <row r="1962">
      <c r="A1962" s="17">
        <v>45988.0</v>
      </c>
      <c r="B1962" s="18" t="s">
        <v>22</v>
      </c>
      <c r="C1962" s="18" t="s">
        <v>166</v>
      </c>
      <c r="D1962" s="19">
        <v>0.3333333333333333</v>
      </c>
      <c r="E1962" s="19">
        <v>0.4791666666666667</v>
      </c>
      <c r="F1962" s="20">
        <f t="shared" si="24"/>
        <v>0.1458333333</v>
      </c>
      <c r="G1962" s="67">
        <f>IFERROR(VLOOKUP(B1962,DADOS!$A$2:$H$252,8,0),"")</f>
        <v>15</v>
      </c>
      <c r="H1962" s="22">
        <v>40.0</v>
      </c>
      <c r="I1962" s="23">
        <f>IFERROR(VLOOKUP(B1962,DADOS!$A$2:$H$252,4,0)*H1962,"")</f>
        <v>24.491016</v>
      </c>
      <c r="J1962" s="36"/>
      <c r="K1962" s="25">
        <f>IFERROR(VLOOKUP(B1962,DADOS!$A$2:$H$252,4,0)*J1962,"")</f>
        <v>0</v>
      </c>
      <c r="L1962" s="26">
        <f t="shared" si="23"/>
        <v>0</v>
      </c>
      <c r="M1962" s="27"/>
      <c r="N1962" s="30"/>
      <c r="O1962" s="28"/>
      <c r="P1962" s="28"/>
      <c r="Q1962" s="28"/>
      <c r="R1962" s="28"/>
      <c r="S1962" s="28"/>
    </row>
    <row r="1963">
      <c r="A1963" s="17">
        <v>45988.0</v>
      </c>
      <c r="B1963" s="18" t="s">
        <v>77</v>
      </c>
      <c r="C1963" s="18" t="s">
        <v>65</v>
      </c>
      <c r="D1963" s="19"/>
      <c r="E1963" s="19"/>
      <c r="F1963" s="20">
        <f t="shared" si="24"/>
        <v>0</v>
      </c>
      <c r="G1963" s="67">
        <f>IFERROR(VLOOKUP(B1963,DADOS!$A$2:$H$252,8,0),"")</f>
        <v>120</v>
      </c>
      <c r="H1963" s="22">
        <v>126.0</v>
      </c>
      <c r="I1963" s="23">
        <f>IFERROR(VLOOKUP(B1963,DADOS!$A$2:$H$252,4,0)*H1963,"")</f>
        <v>1.21338</v>
      </c>
      <c r="J1963" s="24">
        <v>2.0</v>
      </c>
      <c r="K1963" s="25">
        <f>IFERROR(VLOOKUP(B1963,DADOS!$A$2:$H$252,4,0)*J1963,"")</f>
        <v>0.01926</v>
      </c>
      <c r="L1963" s="26">
        <f t="shared" si="23"/>
        <v>0</v>
      </c>
      <c r="M1963" s="27"/>
      <c r="N1963" s="30"/>
      <c r="O1963" s="28"/>
      <c r="P1963" s="28"/>
      <c r="Q1963" s="28"/>
      <c r="R1963" s="28"/>
      <c r="S1963" s="28"/>
    </row>
    <row r="1964">
      <c r="A1964" s="17">
        <v>45988.0</v>
      </c>
      <c r="B1964" s="18" t="s">
        <v>56</v>
      </c>
      <c r="C1964" s="18" t="s">
        <v>65</v>
      </c>
      <c r="D1964" s="19"/>
      <c r="E1964" s="19"/>
      <c r="F1964" s="20">
        <f t="shared" si="24"/>
        <v>0</v>
      </c>
      <c r="G1964" s="67">
        <f>IFERROR(VLOOKUP(B1964,DADOS!$A$2:$H$252,8,0),"")</f>
        <v>162</v>
      </c>
      <c r="H1964" s="22">
        <v>160.0</v>
      </c>
      <c r="I1964" s="23">
        <f>IFERROR(VLOOKUP(B1964,DADOS!$A$2:$H$252,4,0)*H1964,"")</f>
        <v>1.5408</v>
      </c>
      <c r="J1964" s="24">
        <v>1.0</v>
      </c>
      <c r="K1964" s="25">
        <f>IFERROR(VLOOKUP(B1964,DADOS!$A$2:$H$252,4,0)*J1964,"")</f>
        <v>0.00963</v>
      </c>
      <c r="L1964" s="26">
        <f t="shared" si="23"/>
        <v>0</v>
      </c>
      <c r="M1964" s="27"/>
      <c r="N1964" s="30"/>
      <c r="O1964" s="28"/>
      <c r="P1964" s="28"/>
      <c r="Q1964" s="28"/>
      <c r="R1964" s="28"/>
      <c r="S1964" s="28"/>
    </row>
    <row r="1965">
      <c r="A1965" s="17">
        <v>45988.0</v>
      </c>
      <c r="B1965" s="18" t="s">
        <v>25</v>
      </c>
      <c r="C1965" s="18" t="s">
        <v>165</v>
      </c>
      <c r="D1965" s="19">
        <v>0.3402777777777778</v>
      </c>
      <c r="E1965" s="19">
        <v>0.4583333333333333</v>
      </c>
      <c r="F1965" s="20">
        <f t="shared" si="24"/>
        <v>0.1180555556</v>
      </c>
      <c r="G1965" s="67">
        <f>IFERROR(VLOOKUP(B1965,DADOS!$A$2:$H$252,8,0),"")</f>
        <v>40</v>
      </c>
      <c r="H1965" s="22">
        <v>42.0</v>
      </c>
      <c r="I1965" s="23">
        <f>IFERROR(VLOOKUP(B1965,DADOS!$A$2:$H$252,4,0)*H1965,"")</f>
        <v>4.350192</v>
      </c>
      <c r="J1965" s="36"/>
      <c r="K1965" s="25">
        <f>IFERROR(VLOOKUP(B1965,DADOS!$A$2:$H$252,4,0)*J1965,"")</f>
        <v>0</v>
      </c>
      <c r="L1965" s="26">
        <f t="shared" si="23"/>
        <v>0</v>
      </c>
      <c r="M1965" s="27"/>
      <c r="N1965" s="30"/>
      <c r="O1965" s="28"/>
      <c r="P1965" s="28"/>
      <c r="Q1965" s="28"/>
      <c r="R1965" s="28"/>
      <c r="S1965" s="28"/>
    </row>
    <row r="1966">
      <c r="A1966" s="17">
        <v>45988.0</v>
      </c>
      <c r="B1966" s="18" t="s">
        <v>182</v>
      </c>
      <c r="C1966" s="18" t="s">
        <v>165</v>
      </c>
      <c r="D1966" s="19">
        <v>0.6041666666666666</v>
      </c>
      <c r="E1966" s="19">
        <v>0.7166666666666667</v>
      </c>
      <c r="F1966" s="20">
        <f t="shared" si="24"/>
        <v>0.1125</v>
      </c>
      <c r="G1966" s="67">
        <f>IFERROR(VLOOKUP(B1966,DADOS!$A$2:$H$252,8,0),"")</f>
        <v>120</v>
      </c>
      <c r="H1966" s="22">
        <v>33.0</v>
      </c>
      <c r="I1966" s="23">
        <f>IFERROR(VLOOKUP(B1966,DADOS!$A$2:$H$252,4,0)*H1966,"")</f>
        <v>10.741302</v>
      </c>
      <c r="J1966" s="36"/>
      <c r="K1966" s="25">
        <f>IFERROR(VLOOKUP(B1966,DADOS!$A$2:$H$252,4,0)*J1966,"")</f>
        <v>0</v>
      </c>
      <c r="L1966" s="26">
        <f t="shared" si="23"/>
        <v>0</v>
      </c>
      <c r="M1966" s="27"/>
      <c r="N1966" s="30"/>
      <c r="O1966" s="28"/>
      <c r="P1966" s="28"/>
      <c r="Q1966" s="28"/>
      <c r="R1966" s="28"/>
      <c r="S1966" s="28"/>
    </row>
    <row r="1967">
      <c r="A1967" s="17">
        <v>45989.0</v>
      </c>
      <c r="B1967" s="18" t="s">
        <v>56</v>
      </c>
      <c r="C1967" s="18" t="s">
        <v>65</v>
      </c>
      <c r="D1967" s="19"/>
      <c r="E1967" s="19"/>
      <c r="F1967" s="20">
        <f t="shared" si="24"/>
        <v>0</v>
      </c>
      <c r="G1967" s="67">
        <f>IFERROR(VLOOKUP(B1967,DADOS!$A$2:$H$252,8,0),"")</f>
        <v>162</v>
      </c>
      <c r="H1967" s="22">
        <v>37.0</v>
      </c>
      <c r="I1967" s="23">
        <f>IFERROR(VLOOKUP(B1967,DADOS!$A$2:$H$252,4,0)*H1967,"")</f>
        <v>0.35631</v>
      </c>
      <c r="J1967" s="36"/>
      <c r="K1967" s="25">
        <f>IFERROR(VLOOKUP(B1967,DADOS!$A$2:$H$252,4,0)*J1967,"")</f>
        <v>0</v>
      </c>
      <c r="L1967" s="26">
        <f t="shared" si="23"/>
        <v>0</v>
      </c>
      <c r="M1967" s="27"/>
      <c r="N1967" s="30"/>
      <c r="O1967" s="28"/>
      <c r="P1967" s="28"/>
      <c r="Q1967" s="28"/>
      <c r="R1967" s="28"/>
      <c r="S1967" s="28"/>
    </row>
    <row r="1968">
      <c r="A1968" s="17">
        <v>45989.0</v>
      </c>
      <c r="B1968" s="18" t="s">
        <v>53</v>
      </c>
      <c r="C1968" s="18" t="s">
        <v>65</v>
      </c>
      <c r="D1968" s="19"/>
      <c r="E1968" s="19"/>
      <c r="F1968" s="20">
        <f t="shared" si="24"/>
        <v>0</v>
      </c>
      <c r="G1968" s="67">
        <f>IFERROR(VLOOKUP(B1968,DADOS!$A$2:$H$252,8,0),"")</f>
        <v>120</v>
      </c>
      <c r="H1968" s="22">
        <v>154.0</v>
      </c>
      <c r="I1968" s="23">
        <f>IFERROR(VLOOKUP(B1968,DADOS!$A$2:$H$252,4,0)*H1968,"")</f>
        <v>1.48302</v>
      </c>
      <c r="J1968" s="36"/>
      <c r="K1968" s="25">
        <f>IFERROR(VLOOKUP(B1968,DADOS!$A$2:$H$252,4,0)*J1968,"")</f>
        <v>0</v>
      </c>
      <c r="L1968" s="26">
        <f t="shared" si="23"/>
        <v>0</v>
      </c>
      <c r="M1968" s="27"/>
      <c r="N1968" s="30"/>
      <c r="O1968" s="28"/>
      <c r="P1968" s="28"/>
      <c r="Q1968" s="28"/>
      <c r="R1968" s="28"/>
      <c r="S1968" s="28"/>
    </row>
    <row r="1969">
      <c r="A1969" s="17">
        <v>45989.0</v>
      </c>
      <c r="B1969" s="18" t="s">
        <v>182</v>
      </c>
      <c r="C1969" s="18" t="s">
        <v>165</v>
      </c>
      <c r="D1969" s="19">
        <v>0.3194444444444444</v>
      </c>
      <c r="E1969" s="19">
        <v>0.375</v>
      </c>
      <c r="F1969" s="20">
        <f t="shared" si="24"/>
        <v>0.05555555556</v>
      </c>
      <c r="G1969" s="67">
        <f>IFERROR(VLOOKUP(B1969,DADOS!$A$2:$H$252,8,0),"")</f>
        <v>120</v>
      </c>
      <c r="H1969" s="22">
        <v>27.0</v>
      </c>
      <c r="I1969" s="23">
        <f>IFERROR(VLOOKUP(B1969,DADOS!$A$2:$H$252,4,0)*H1969,"")</f>
        <v>8.788338</v>
      </c>
      <c r="J1969" s="36"/>
      <c r="K1969" s="25">
        <f>IFERROR(VLOOKUP(B1969,DADOS!$A$2:$H$252,4,0)*J1969,"")</f>
        <v>0</v>
      </c>
      <c r="L1969" s="26">
        <f t="shared" si="23"/>
        <v>0</v>
      </c>
      <c r="M1969" s="27"/>
      <c r="N1969" s="30"/>
      <c r="O1969" s="28"/>
      <c r="P1969" s="28"/>
      <c r="Q1969" s="28"/>
      <c r="R1969" s="28"/>
      <c r="S1969" s="28"/>
    </row>
    <row r="1970">
      <c r="A1970" s="17">
        <v>45989.0</v>
      </c>
      <c r="B1970" s="18" t="s">
        <v>195</v>
      </c>
      <c r="C1970" s="18" t="s">
        <v>165</v>
      </c>
      <c r="D1970" s="19">
        <v>0.3958333333333333</v>
      </c>
      <c r="E1970" s="19">
        <v>0.6388888888888888</v>
      </c>
      <c r="F1970" s="20">
        <f t="shared" si="24"/>
        <v>0.2430555556</v>
      </c>
      <c r="G1970" s="67">
        <f>IFERROR(VLOOKUP(B1970,DADOS!$A$2:$H$252,8,0),"")</f>
        <v>43</v>
      </c>
      <c r="H1970" s="22">
        <v>45.0</v>
      </c>
      <c r="I1970" s="23">
        <f>IFERROR(VLOOKUP(B1970,DADOS!$A$2:$H$252,4,0)*H1970,"")</f>
        <v>9.5337</v>
      </c>
      <c r="J1970" s="36"/>
      <c r="K1970" s="25">
        <f>IFERROR(VLOOKUP(B1970,DADOS!$A$2:$H$252,4,0)*J1970,"")</f>
        <v>0</v>
      </c>
      <c r="L1970" s="26">
        <f t="shared" si="23"/>
        <v>0</v>
      </c>
      <c r="M1970" s="27"/>
      <c r="N1970" s="30"/>
      <c r="O1970" s="28"/>
      <c r="P1970" s="28"/>
      <c r="Q1970" s="28"/>
      <c r="R1970" s="28"/>
      <c r="S1970" s="28"/>
    </row>
    <row r="1971">
      <c r="A1971" s="17">
        <v>45990.0</v>
      </c>
      <c r="B1971" s="18" t="s">
        <v>71</v>
      </c>
      <c r="C1971" s="18" t="s">
        <v>193</v>
      </c>
      <c r="D1971" s="19"/>
      <c r="E1971" s="19"/>
      <c r="F1971" s="20">
        <f t="shared" si="24"/>
        <v>0</v>
      </c>
      <c r="G1971" s="67">
        <f>IFERROR(VLOOKUP(B1971,DADOS!$A$2:$H$252,8,0),"")</f>
        <v>7</v>
      </c>
      <c r="H1971" s="22">
        <v>40.0</v>
      </c>
      <c r="I1971" s="23">
        <f>IFERROR(VLOOKUP(B1971,DADOS!$A$2:$H$252,4,0)*H1971,"")</f>
        <v>56.096248</v>
      </c>
      <c r="J1971" s="36"/>
      <c r="K1971" s="25">
        <f>IFERROR(VLOOKUP(B1971,DADOS!$A$2:$H$252,4,0)*J1971,"")</f>
        <v>0</v>
      </c>
      <c r="L1971" s="26">
        <f t="shared" si="23"/>
        <v>0</v>
      </c>
      <c r="M1971" s="27"/>
      <c r="N1971" s="30"/>
      <c r="O1971" s="28"/>
      <c r="P1971" s="28"/>
      <c r="Q1971" s="28"/>
      <c r="R1971" s="28"/>
      <c r="S1971" s="28"/>
    </row>
    <row r="1972">
      <c r="A1972" s="17">
        <v>45990.0</v>
      </c>
      <c r="B1972" s="18" t="s">
        <v>26</v>
      </c>
      <c r="C1972" s="18" t="s">
        <v>193</v>
      </c>
      <c r="D1972" s="19"/>
      <c r="E1972" s="19"/>
      <c r="F1972" s="20">
        <f t="shared" si="24"/>
        <v>0</v>
      </c>
      <c r="G1972" s="67">
        <f>IFERROR(VLOOKUP(B1972,DADOS!$A$2:$H$252,8,0),"")</f>
        <v>50</v>
      </c>
      <c r="H1972" s="22">
        <v>108.0</v>
      </c>
      <c r="I1972" s="23">
        <f>IFERROR(VLOOKUP(B1972,DADOS!$A$2:$H$252,4,0)*H1972,"")</f>
        <v>12.3048288</v>
      </c>
      <c r="J1972" s="36"/>
      <c r="K1972" s="25">
        <f>IFERROR(VLOOKUP(B1972,DADOS!$A$2:$H$252,4,0)*J1972,"")</f>
        <v>0</v>
      </c>
      <c r="L1972" s="26">
        <f t="shared" si="23"/>
        <v>0</v>
      </c>
      <c r="M1972" s="27"/>
      <c r="N1972" s="30"/>
      <c r="O1972" s="28"/>
      <c r="P1972" s="28"/>
      <c r="Q1972" s="28"/>
      <c r="R1972" s="28"/>
      <c r="S1972" s="28"/>
    </row>
    <row r="1973">
      <c r="A1973" s="17">
        <v>45992.0</v>
      </c>
      <c r="B1973" s="18" t="s">
        <v>48</v>
      </c>
      <c r="C1973" s="18" t="s">
        <v>166</v>
      </c>
      <c r="D1973" s="19">
        <v>0.3333333333333333</v>
      </c>
      <c r="E1973" s="19">
        <v>0.4930555555555556</v>
      </c>
      <c r="F1973" s="20">
        <f t="shared" si="24"/>
        <v>0.1597222222</v>
      </c>
      <c r="G1973" s="67">
        <f>IFERROR(VLOOKUP(B1973,DADOS!$A$2:$H$252,8,0),"")</f>
        <v>6</v>
      </c>
      <c r="H1973" s="22">
        <v>26.0</v>
      </c>
      <c r="I1973" s="23">
        <f>IFERROR(VLOOKUP(B1973,DADOS!$A$2:$H$252,4,0)*H1973,"")</f>
        <v>2.9622736</v>
      </c>
      <c r="J1973" s="24">
        <v>1.0</v>
      </c>
      <c r="K1973" s="25">
        <f>IFERROR(VLOOKUP(B1973,DADOS!$A$2:$H$252,4,0)*J1973,"")</f>
        <v>0.1139336</v>
      </c>
      <c r="L1973" s="26">
        <f t="shared" si="23"/>
        <v>0</v>
      </c>
      <c r="M1973" s="27"/>
      <c r="N1973" s="30"/>
      <c r="O1973" s="28"/>
      <c r="P1973" s="28"/>
      <c r="Q1973" s="28"/>
      <c r="R1973" s="28"/>
      <c r="S1973" s="28"/>
    </row>
    <row r="1974">
      <c r="A1974" s="17">
        <v>45992.0</v>
      </c>
      <c r="B1974" s="18" t="s">
        <v>195</v>
      </c>
      <c r="C1974" s="18" t="s">
        <v>165</v>
      </c>
      <c r="D1974" s="19">
        <v>0.3263888888888889</v>
      </c>
      <c r="E1974" s="19">
        <v>0.6215277777777778</v>
      </c>
      <c r="F1974" s="20">
        <f t="shared" si="24"/>
        <v>0.2951388889</v>
      </c>
      <c r="G1974" s="67">
        <f>IFERROR(VLOOKUP(B1974,DADOS!$A$2:$H$252,8,0),"")</f>
        <v>43</v>
      </c>
      <c r="H1974" s="22">
        <v>55.0</v>
      </c>
      <c r="I1974" s="23">
        <f>IFERROR(VLOOKUP(B1974,DADOS!$A$2:$H$252,4,0)*H1974,"")</f>
        <v>11.6523</v>
      </c>
      <c r="J1974" s="36"/>
      <c r="K1974" s="25">
        <f>IFERROR(VLOOKUP(B1974,DADOS!$A$2:$H$252,4,0)*J1974,"")</f>
        <v>0</v>
      </c>
      <c r="L1974" s="26">
        <f t="shared" si="23"/>
        <v>0</v>
      </c>
      <c r="M1974" s="27"/>
      <c r="N1974" s="30"/>
      <c r="O1974" s="28"/>
      <c r="P1974" s="28"/>
      <c r="Q1974" s="28"/>
      <c r="R1974" s="28"/>
      <c r="S1974" s="28"/>
    </row>
    <row r="1975">
      <c r="A1975" s="17">
        <v>45992.0</v>
      </c>
      <c r="B1975" s="18" t="s">
        <v>49</v>
      </c>
      <c r="C1975" s="18" t="s">
        <v>165</v>
      </c>
      <c r="D1975" s="19">
        <v>0.6527777777777778</v>
      </c>
      <c r="E1975" s="19">
        <v>0.71875</v>
      </c>
      <c r="F1975" s="20">
        <f t="shared" si="24"/>
        <v>0.06597222222</v>
      </c>
      <c r="G1975" s="67">
        <f>IFERROR(VLOOKUP(B1975,DADOS!$A$2:$H$252,8,0),"")</f>
        <v>42</v>
      </c>
      <c r="H1975" s="22">
        <v>15.0</v>
      </c>
      <c r="I1975" s="23">
        <f>IFERROR(VLOOKUP(B1975,DADOS!$A$2:$H$252,4,0)*H1975,"")</f>
        <v>1.020459</v>
      </c>
      <c r="J1975" s="36"/>
      <c r="K1975" s="25">
        <f>IFERROR(VLOOKUP(B1975,DADOS!$A$2:$H$252,4,0)*J1975,"")</f>
        <v>0</v>
      </c>
      <c r="L1975" s="26">
        <f t="shared" si="23"/>
        <v>0</v>
      </c>
      <c r="M1975" s="27"/>
      <c r="N1975" s="30"/>
      <c r="O1975" s="28"/>
      <c r="P1975" s="28"/>
      <c r="Q1975" s="28"/>
      <c r="R1975" s="28"/>
      <c r="S1975" s="28"/>
    </row>
    <row r="1976">
      <c r="A1976" s="17">
        <v>45993.0</v>
      </c>
      <c r="B1976" s="18" t="s">
        <v>49</v>
      </c>
      <c r="C1976" s="18" t="s">
        <v>165</v>
      </c>
      <c r="D1976" s="19"/>
      <c r="E1976" s="19"/>
      <c r="F1976" s="20">
        <f t="shared" si="24"/>
        <v>0</v>
      </c>
      <c r="G1976" s="67">
        <f>IFERROR(VLOOKUP(B1976,DADOS!$A$2:$H$252,8,0),"")</f>
        <v>42</v>
      </c>
      <c r="H1976" s="22"/>
      <c r="I1976" s="23">
        <f>IFERROR(VLOOKUP(B1976,DADOS!$A$2:$H$252,4,0)*H1976,"")</f>
        <v>0</v>
      </c>
      <c r="J1976" s="36"/>
      <c r="K1976" s="25">
        <f>IFERROR(VLOOKUP(B1976,DADOS!$A$2:$H$252,4,0)*J1976,"")</f>
        <v>0</v>
      </c>
      <c r="L1976" s="26" t="str">
        <f t="shared" si="23"/>
        <v/>
      </c>
      <c r="M1976" s="27"/>
      <c r="N1976" s="30"/>
      <c r="O1976" s="28"/>
      <c r="P1976" s="28"/>
      <c r="Q1976" s="28"/>
      <c r="R1976" s="28"/>
      <c r="S1976" s="28"/>
    </row>
    <row r="1977">
      <c r="A1977" s="17">
        <v>45993.0</v>
      </c>
      <c r="B1977" s="18" t="s">
        <v>18</v>
      </c>
      <c r="C1977" s="18" t="s">
        <v>165</v>
      </c>
      <c r="D1977" s="19"/>
      <c r="E1977" s="19"/>
      <c r="F1977" s="20">
        <f t="shared" si="24"/>
        <v>0</v>
      </c>
      <c r="G1977" s="67">
        <f>IFERROR(VLOOKUP(B1977,DADOS!$A$2:$H$252,8,0),"")</f>
        <v>21</v>
      </c>
      <c r="H1977" s="22"/>
      <c r="I1977" s="23">
        <f>IFERROR(VLOOKUP(B1977,DADOS!$A$2:$H$252,4,0)*H1977,"")</f>
        <v>0</v>
      </c>
      <c r="J1977" s="36"/>
      <c r="K1977" s="25">
        <f>IFERROR(VLOOKUP(B1977,DADOS!$A$2:$H$252,4,0)*J1977,"")</f>
        <v>0</v>
      </c>
      <c r="L1977" s="26" t="str">
        <f t="shared" si="23"/>
        <v/>
      </c>
      <c r="M1977" s="27"/>
      <c r="N1977" s="30"/>
      <c r="O1977" s="28"/>
      <c r="P1977" s="28"/>
      <c r="Q1977" s="28"/>
      <c r="R1977" s="28"/>
      <c r="S1977" s="28"/>
    </row>
    <row r="1978">
      <c r="A1978" s="17">
        <v>45994.0</v>
      </c>
      <c r="B1978" s="18" t="s">
        <v>48</v>
      </c>
      <c r="C1978" s="18" t="s">
        <v>166</v>
      </c>
      <c r="D1978" s="19"/>
      <c r="E1978" s="19"/>
      <c r="F1978" s="20">
        <f t="shared" si="24"/>
        <v>0</v>
      </c>
      <c r="G1978" s="67">
        <f>IFERROR(VLOOKUP(B1978,DADOS!$A$2:$H$252,8,0),"")</f>
        <v>6</v>
      </c>
      <c r="H1978" s="22">
        <v>27.0</v>
      </c>
      <c r="I1978" s="23">
        <f>IFERROR(VLOOKUP(B1978,DADOS!$A$2:$H$252,4,0)*H1978,"")</f>
        <v>3.0762072</v>
      </c>
      <c r="J1978" s="24">
        <v>1.0</v>
      </c>
      <c r="K1978" s="25">
        <f>IFERROR(VLOOKUP(B1978,DADOS!$A$2:$H$252,4,0)*J1978,"")</f>
        <v>0.1139336</v>
      </c>
      <c r="L1978" s="26">
        <f t="shared" si="23"/>
        <v>0</v>
      </c>
      <c r="M1978" s="27"/>
      <c r="N1978" s="30"/>
      <c r="O1978" s="28"/>
      <c r="P1978" s="28"/>
      <c r="Q1978" s="28"/>
      <c r="R1978" s="28"/>
      <c r="S1978" s="28"/>
    </row>
    <row r="1979">
      <c r="A1979" s="17">
        <v>45994.0</v>
      </c>
      <c r="B1979" s="18" t="s">
        <v>18</v>
      </c>
      <c r="C1979" s="18" t="s">
        <v>165</v>
      </c>
      <c r="D1979" s="19"/>
      <c r="E1979" s="19"/>
      <c r="F1979" s="20">
        <f t="shared" si="24"/>
        <v>0</v>
      </c>
      <c r="G1979" s="67">
        <f>IFERROR(VLOOKUP(B1979,DADOS!$A$2:$H$252,8,0),"")</f>
        <v>21</v>
      </c>
      <c r="H1979" s="22">
        <v>65.0</v>
      </c>
      <c r="I1979" s="23">
        <f>IFERROR(VLOOKUP(B1979,DADOS!$A$2:$H$252,4,0)*H1979,"")</f>
        <v>19.04279</v>
      </c>
      <c r="J1979" s="24"/>
      <c r="K1979" s="25">
        <f>IFERROR(VLOOKUP(B1979,DADOS!$A$2:$H$252,4,0)*J1979,"")</f>
        <v>0</v>
      </c>
      <c r="L1979" s="26">
        <f t="shared" si="23"/>
        <v>0</v>
      </c>
      <c r="M1979" s="27"/>
      <c r="N1979" s="30"/>
      <c r="O1979" s="28"/>
      <c r="P1979" s="28"/>
      <c r="Q1979" s="28"/>
      <c r="R1979" s="28"/>
      <c r="S1979" s="28"/>
    </row>
    <row r="1980">
      <c r="A1980" s="17">
        <v>45994.0</v>
      </c>
      <c r="B1980" s="18" t="s">
        <v>49</v>
      </c>
      <c r="C1980" s="18" t="s">
        <v>165</v>
      </c>
      <c r="D1980" s="19"/>
      <c r="E1980" s="19"/>
      <c r="F1980" s="20">
        <f t="shared" si="24"/>
        <v>0</v>
      </c>
      <c r="G1980" s="67">
        <f>IFERROR(VLOOKUP(B1980,DADOS!$A$2:$H$252,8,0),"")</f>
        <v>42</v>
      </c>
      <c r="H1980" s="22">
        <v>33.0</v>
      </c>
      <c r="I1980" s="23">
        <f>IFERROR(VLOOKUP(B1980,DADOS!$A$2:$H$252,4,0)*H1980,"")</f>
        <v>2.2450098</v>
      </c>
      <c r="J1980" s="24">
        <v>1.0</v>
      </c>
      <c r="K1980" s="25">
        <f>IFERROR(VLOOKUP(B1980,DADOS!$A$2:$H$252,4,0)*J1980,"")</f>
        <v>0.0680306</v>
      </c>
      <c r="L1980" s="26">
        <f t="shared" si="23"/>
        <v>0</v>
      </c>
      <c r="M1980" s="27"/>
      <c r="N1980" s="30"/>
      <c r="O1980" s="28"/>
      <c r="P1980" s="28"/>
      <c r="Q1980" s="28"/>
      <c r="R1980" s="28"/>
      <c r="S1980" s="28"/>
    </row>
    <row r="1981">
      <c r="A1981" s="17">
        <v>45995.0</v>
      </c>
      <c r="B1981" s="18" t="s">
        <v>60</v>
      </c>
      <c r="C1981" s="18" t="s">
        <v>166</v>
      </c>
      <c r="D1981" s="19"/>
      <c r="E1981" s="19"/>
      <c r="F1981" s="20">
        <f t="shared" si="24"/>
        <v>0</v>
      </c>
      <c r="G1981" s="67">
        <f>IFERROR(VLOOKUP(B1981,DADOS!$A$2:$H$252,8,0),"")</f>
        <v>15</v>
      </c>
      <c r="H1981" s="22">
        <v>56.0</v>
      </c>
      <c r="I1981" s="23">
        <f>IFERROR(VLOOKUP(B1981,DADOS!$A$2:$H$252,4,0)*H1981,"")</f>
        <v>18.227664</v>
      </c>
      <c r="J1981" s="36"/>
      <c r="K1981" s="25">
        <f>IFERROR(VLOOKUP(B1981,DADOS!$A$2:$H$252,4,0)*J1981,"")</f>
        <v>0</v>
      </c>
      <c r="L1981" s="26">
        <f t="shared" si="23"/>
        <v>0</v>
      </c>
      <c r="M1981" s="27"/>
      <c r="N1981" s="30"/>
      <c r="O1981" s="28"/>
      <c r="P1981" s="28"/>
      <c r="Q1981" s="28"/>
      <c r="R1981" s="28"/>
      <c r="S1981" s="28"/>
    </row>
    <row r="1982">
      <c r="A1982" s="17">
        <v>45995.0</v>
      </c>
      <c r="B1982" s="18" t="s">
        <v>58</v>
      </c>
      <c r="C1982" s="18" t="s">
        <v>165</v>
      </c>
      <c r="D1982" s="19"/>
      <c r="E1982" s="19"/>
      <c r="F1982" s="20">
        <f t="shared" si="24"/>
        <v>0</v>
      </c>
      <c r="G1982" s="67">
        <f>IFERROR(VLOOKUP(B1982,DADOS!$A$2:$H$252,8,0),"")</f>
        <v>31</v>
      </c>
      <c r="H1982" s="22">
        <v>48.0</v>
      </c>
      <c r="I1982" s="23">
        <f>IFERROR(VLOOKUP(B1982,DADOS!$A$2:$H$252,4,0)*H1982,"")</f>
        <v>5.4688128</v>
      </c>
      <c r="J1982" s="36"/>
      <c r="K1982" s="25">
        <f>IFERROR(VLOOKUP(B1982,DADOS!$A$2:$H$252,4,0)*J1982,"")</f>
        <v>0</v>
      </c>
      <c r="L1982" s="26">
        <f t="shared" si="23"/>
        <v>0</v>
      </c>
      <c r="M1982" s="27"/>
      <c r="N1982" s="30"/>
      <c r="O1982" s="28"/>
      <c r="P1982" s="28"/>
      <c r="Q1982" s="28"/>
      <c r="R1982" s="28"/>
      <c r="S1982" s="28"/>
    </row>
    <row r="1983">
      <c r="A1983" s="17">
        <v>45995.0</v>
      </c>
      <c r="B1983" s="18" t="s">
        <v>49</v>
      </c>
      <c r="C1983" s="18" t="s">
        <v>165</v>
      </c>
      <c r="D1983" s="19"/>
      <c r="E1983" s="19"/>
      <c r="F1983" s="20">
        <f t="shared" si="24"/>
        <v>0</v>
      </c>
      <c r="G1983" s="67">
        <f>IFERROR(VLOOKUP(B1983,DADOS!$A$2:$H$252,8,0),"")</f>
        <v>42</v>
      </c>
      <c r="H1983" s="22">
        <v>35.0</v>
      </c>
      <c r="I1983" s="23">
        <f>IFERROR(VLOOKUP(B1983,DADOS!$A$2:$H$252,4,0)*H1983,"")</f>
        <v>2.381071</v>
      </c>
      <c r="J1983" s="36"/>
      <c r="K1983" s="25">
        <f>IFERROR(VLOOKUP(B1983,DADOS!$A$2:$H$252,4,0)*J1983,"")</f>
        <v>0</v>
      </c>
      <c r="L1983" s="26">
        <f t="shared" si="23"/>
        <v>0</v>
      </c>
      <c r="M1983" s="27"/>
      <c r="N1983" s="30"/>
      <c r="O1983" s="28"/>
      <c r="P1983" s="28"/>
      <c r="Q1983" s="28"/>
      <c r="R1983" s="28"/>
      <c r="S1983" s="28"/>
    </row>
    <row r="1984">
      <c r="A1984" s="17">
        <v>45996.0</v>
      </c>
      <c r="B1984" s="18" t="s">
        <v>58</v>
      </c>
      <c r="C1984" s="18" t="s">
        <v>166</v>
      </c>
      <c r="D1984" s="19">
        <v>0.3402777777777778</v>
      </c>
      <c r="E1984" s="19">
        <v>0.4930555555555556</v>
      </c>
      <c r="F1984" s="20">
        <f t="shared" si="24"/>
        <v>0.1527777778</v>
      </c>
      <c r="G1984" s="67">
        <f>IFERROR(VLOOKUP(B1984,DADOS!$A$2:$H$252,8,0),"")</f>
        <v>31</v>
      </c>
      <c r="H1984" s="22">
        <v>60.0</v>
      </c>
      <c r="I1984" s="23">
        <f>IFERROR(VLOOKUP(B1984,DADOS!$A$2:$H$252,4,0)*H1984,"")</f>
        <v>6.836016</v>
      </c>
      <c r="J1984" s="36"/>
      <c r="K1984" s="25">
        <f>IFERROR(VLOOKUP(B1984,DADOS!$A$2:$H$252,4,0)*J1984,"")</f>
        <v>0</v>
      </c>
      <c r="L1984" s="26">
        <f t="shared" si="23"/>
        <v>0</v>
      </c>
      <c r="M1984" s="27"/>
      <c r="N1984" s="30"/>
      <c r="O1984" s="28"/>
      <c r="P1984" s="28"/>
      <c r="Q1984" s="28"/>
      <c r="R1984" s="28"/>
      <c r="S1984" s="28"/>
    </row>
    <row r="1985">
      <c r="A1985" s="17">
        <v>45996.0</v>
      </c>
      <c r="B1985" s="18" t="s">
        <v>119</v>
      </c>
      <c r="C1985" s="18" t="s">
        <v>165</v>
      </c>
      <c r="D1985" s="19"/>
      <c r="E1985" s="19"/>
      <c r="F1985" s="20">
        <f t="shared" si="24"/>
        <v>0</v>
      </c>
      <c r="G1985" s="67">
        <f>IFERROR(VLOOKUP(B1985,DADOS!$A$2:$H$252,8,0),"")</f>
        <v>25</v>
      </c>
      <c r="H1985" s="22">
        <v>40.0</v>
      </c>
      <c r="I1985" s="23">
        <f>IFERROR(VLOOKUP(B1985,DADOS!$A$2:$H$252,4,0)*H1985,"")</f>
        <v>5.207904</v>
      </c>
      <c r="J1985" s="24">
        <v>3.0</v>
      </c>
      <c r="K1985" s="25">
        <f>IFERROR(VLOOKUP(B1985,DADOS!$A$2:$H$252,4,0)*J1985,"")</f>
        <v>0.3905928</v>
      </c>
      <c r="L1985" s="26">
        <f t="shared" si="23"/>
        <v>0</v>
      </c>
      <c r="M1985" s="27"/>
      <c r="N1985" s="30"/>
      <c r="O1985" s="28"/>
      <c r="P1985" s="28"/>
      <c r="Q1985" s="28"/>
      <c r="R1985" s="28"/>
      <c r="S1985" s="28"/>
    </row>
    <row r="1986">
      <c r="A1986" s="17">
        <v>45997.0</v>
      </c>
      <c r="B1986" s="18" t="s">
        <v>71</v>
      </c>
      <c r="C1986" s="18" t="s">
        <v>193</v>
      </c>
      <c r="D1986" s="19"/>
      <c r="E1986" s="19"/>
      <c r="F1986" s="20">
        <f t="shared" si="24"/>
        <v>0</v>
      </c>
      <c r="G1986" s="67">
        <f>IFERROR(VLOOKUP(B1986,DADOS!$A$2:$H$252,8,0),"")</f>
        <v>7</v>
      </c>
      <c r="H1986" s="22">
        <v>40.0</v>
      </c>
      <c r="I1986" s="23">
        <f>IFERROR(VLOOKUP(B1986,DADOS!$A$2:$H$252,4,0)*H1986,"")</f>
        <v>56.096248</v>
      </c>
      <c r="J1986" s="36"/>
      <c r="K1986" s="25">
        <f>IFERROR(VLOOKUP(B1986,DADOS!$A$2:$H$252,4,0)*J1986,"")</f>
        <v>0</v>
      </c>
      <c r="L1986" s="26">
        <f t="shared" si="23"/>
        <v>0</v>
      </c>
      <c r="M1986" s="27"/>
      <c r="N1986" s="30"/>
      <c r="O1986" s="28"/>
      <c r="P1986" s="28"/>
      <c r="Q1986" s="28"/>
      <c r="R1986" s="28"/>
      <c r="S1986" s="28"/>
    </row>
    <row r="1987">
      <c r="A1987" s="17">
        <v>45999.0</v>
      </c>
      <c r="B1987" s="18" t="s">
        <v>119</v>
      </c>
      <c r="C1987" s="18" t="s">
        <v>165</v>
      </c>
      <c r="D1987" s="19">
        <v>0.3159722222222222</v>
      </c>
      <c r="E1987" s="19">
        <v>0.38680555555555557</v>
      </c>
      <c r="F1987" s="20">
        <f t="shared" si="24"/>
        <v>0.07083333333</v>
      </c>
      <c r="G1987" s="67">
        <f>IFERROR(VLOOKUP(B1987,DADOS!$A$2:$H$252,8,0),"")</f>
        <v>25</v>
      </c>
      <c r="H1987" s="22">
        <v>17.0</v>
      </c>
      <c r="I1987" s="23">
        <f>IFERROR(VLOOKUP(B1987,DADOS!$A$2:$H$252,4,0)*H1987,"")</f>
        <v>2.2133592</v>
      </c>
      <c r="J1987" s="36"/>
      <c r="K1987" s="25">
        <f>IFERROR(VLOOKUP(B1987,DADOS!$A$2:$H$252,4,0)*J1987,"")</f>
        <v>0</v>
      </c>
      <c r="L1987" s="26">
        <f t="shared" si="23"/>
        <v>0</v>
      </c>
      <c r="M1987" s="27"/>
      <c r="N1987" s="30"/>
      <c r="O1987" s="28"/>
      <c r="P1987" s="28"/>
      <c r="Q1987" s="28"/>
      <c r="R1987" s="28"/>
      <c r="S1987" s="28"/>
    </row>
    <row r="1988">
      <c r="A1988" s="17">
        <v>45999.0</v>
      </c>
      <c r="B1988" s="18" t="s">
        <v>213</v>
      </c>
      <c r="C1988" s="18" t="s">
        <v>165</v>
      </c>
      <c r="D1988" s="19">
        <v>0.4166666666666667</v>
      </c>
      <c r="E1988" s="19">
        <v>0.4965277777777778</v>
      </c>
      <c r="F1988" s="20">
        <f t="shared" si="24"/>
        <v>0.07986111111</v>
      </c>
      <c r="G1988" s="67">
        <f>IFERROR(VLOOKUP(B1988,DADOS!$A$2:$H$252,8,0),"")</f>
        <v>15</v>
      </c>
      <c r="H1988" s="22">
        <v>56.0</v>
      </c>
      <c r="I1988" s="23">
        <f>IFERROR(VLOOKUP(B1988,DADOS!$A$2:$H$252,4,0)*H1988,"")</f>
        <v>13.050576</v>
      </c>
      <c r="J1988" s="24">
        <v>2.0</v>
      </c>
      <c r="K1988" s="25">
        <f>IFERROR(VLOOKUP(B1988,DADOS!$A$2:$H$252,4,0)*J1988,"")</f>
        <v>0.466092</v>
      </c>
      <c r="L1988" s="26">
        <f t="shared" si="23"/>
        <v>0</v>
      </c>
      <c r="M1988" s="27"/>
      <c r="N1988" s="30"/>
      <c r="O1988" s="28"/>
      <c r="P1988" s="28"/>
      <c r="Q1988" s="28"/>
      <c r="R1988" s="28"/>
      <c r="S1988" s="28"/>
    </row>
    <row r="1989">
      <c r="A1989" s="17">
        <v>45999.0</v>
      </c>
      <c r="B1989" s="18" t="s">
        <v>186</v>
      </c>
      <c r="C1989" s="18" t="s">
        <v>165</v>
      </c>
      <c r="D1989" s="19">
        <v>0.5486111111111112</v>
      </c>
      <c r="E1989" s="19">
        <v>0.6875</v>
      </c>
      <c r="F1989" s="20">
        <f t="shared" si="24"/>
        <v>0.1388888889</v>
      </c>
      <c r="G1989" s="67">
        <f>IFERROR(VLOOKUP(B1989,DADOS!$A$2:$H$252,8,0),"")</f>
        <v>25</v>
      </c>
      <c r="H1989" s="22">
        <v>17.0</v>
      </c>
      <c r="I1989" s="23">
        <f>IFERROR(VLOOKUP(B1989,DADOS!$A$2:$H$252,4,0)*H1989,"")</f>
        <v>4.714848</v>
      </c>
      <c r="J1989" s="24">
        <v>8.0</v>
      </c>
      <c r="K1989" s="25">
        <f>IFERROR(VLOOKUP(B1989,DADOS!$A$2:$H$252,4,0)*J1989,"")</f>
        <v>2.218752</v>
      </c>
      <c r="L1989" s="26">
        <f t="shared" si="23"/>
        <v>0</v>
      </c>
      <c r="M1989" s="27"/>
      <c r="N1989" s="30"/>
      <c r="O1989" s="28"/>
      <c r="P1989" s="28"/>
      <c r="Q1989" s="28"/>
      <c r="R1989" s="28"/>
      <c r="S1989" s="28"/>
    </row>
    <row r="1990">
      <c r="A1990" s="17">
        <v>46000.0</v>
      </c>
      <c r="B1990" s="18" t="s">
        <v>113</v>
      </c>
      <c r="C1990" s="18" t="s">
        <v>166</v>
      </c>
      <c r="D1990" s="19"/>
      <c r="E1990" s="19"/>
      <c r="F1990" s="20">
        <f t="shared" si="24"/>
        <v>0</v>
      </c>
      <c r="G1990" s="67">
        <f>IFERROR(VLOOKUP(B1990,DADOS!$A$2:$H$252,8,0),"")</f>
        <v>8</v>
      </c>
      <c r="H1990" s="22">
        <v>30.0</v>
      </c>
      <c r="I1990" s="23">
        <f>IFERROR(VLOOKUP(B1990,DADOS!$A$2:$H$252,4,0)*H1990,"")</f>
        <v>19.095648</v>
      </c>
      <c r="J1990" s="36"/>
      <c r="K1990" s="25">
        <f>IFERROR(VLOOKUP(B1990,DADOS!$A$2:$H$252,4,0)*J1990,"")</f>
        <v>0</v>
      </c>
      <c r="L1990" s="26">
        <f t="shared" si="23"/>
        <v>0</v>
      </c>
      <c r="M1990" s="27"/>
      <c r="N1990" s="30"/>
      <c r="O1990" s="28"/>
      <c r="P1990" s="28"/>
      <c r="Q1990" s="28"/>
      <c r="R1990" s="28"/>
      <c r="S1990" s="28"/>
    </row>
    <row r="1991">
      <c r="A1991" s="17">
        <v>46000.0</v>
      </c>
      <c r="B1991" s="18" t="s">
        <v>50</v>
      </c>
      <c r="C1991" s="18" t="s">
        <v>166</v>
      </c>
      <c r="D1991" s="19"/>
      <c r="E1991" s="19"/>
      <c r="F1991" s="20">
        <f t="shared" si="24"/>
        <v>0</v>
      </c>
      <c r="G1991" s="67">
        <f>IFERROR(VLOOKUP(B1991,DADOS!$A$2:$H$252,8,0),"")</f>
        <v>8</v>
      </c>
      <c r="H1991" s="22">
        <v>8.0</v>
      </c>
      <c r="I1991" s="23">
        <f>IFERROR(VLOOKUP(B1991,DADOS!$A$2:$H$252,4,0)*H1991,"")</f>
        <v>5.7708096</v>
      </c>
      <c r="J1991" s="36"/>
      <c r="K1991" s="25">
        <f>IFERROR(VLOOKUP(B1991,DADOS!$A$2:$H$252,4,0)*J1991,"")</f>
        <v>0</v>
      </c>
      <c r="L1991" s="26">
        <f t="shared" si="23"/>
        <v>0</v>
      </c>
      <c r="M1991" s="27"/>
      <c r="N1991" s="30"/>
      <c r="O1991" s="28"/>
      <c r="P1991" s="28"/>
      <c r="Q1991" s="28"/>
      <c r="R1991" s="28"/>
      <c r="S1991" s="28"/>
    </row>
    <row r="1992">
      <c r="A1992" s="17">
        <v>46000.0</v>
      </c>
      <c r="B1992" s="18" t="s">
        <v>59</v>
      </c>
      <c r="C1992" s="18" t="s">
        <v>19</v>
      </c>
      <c r="D1992" s="19"/>
      <c r="E1992" s="19"/>
      <c r="F1992" s="20">
        <f t="shared" si="24"/>
        <v>0</v>
      </c>
      <c r="G1992" s="67">
        <f>IFERROR(VLOOKUP(B1992,DADOS!$A$2:$H$252,8,0),"")</f>
        <v>50</v>
      </c>
      <c r="H1992" s="22">
        <v>120.0</v>
      </c>
      <c r="I1992" s="23">
        <f>IFERROR(VLOOKUP(B1992,DADOS!$A$2:$H$252,4,0)*H1992,"")</f>
        <v>2.0544</v>
      </c>
      <c r="J1992" s="24">
        <v>2.0</v>
      </c>
      <c r="K1992" s="25">
        <f>IFERROR(VLOOKUP(B1992,DADOS!$A$2:$H$252,4,0)*J1992,"")</f>
        <v>0.03424</v>
      </c>
      <c r="L1992" s="26">
        <f t="shared" si="23"/>
        <v>0</v>
      </c>
      <c r="M1992" s="27"/>
      <c r="N1992" s="30"/>
      <c r="O1992" s="28"/>
      <c r="P1992" s="28"/>
      <c r="Q1992" s="28"/>
      <c r="R1992" s="28"/>
      <c r="S1992" s="28"/>
    </row>
    <row r="1993">
      <c r="A1993" s="17">
        <v>46000.0</v>
      </c>
      <c r="B1993" s="18" t="s">
        <v>75</v>
      </c>
      <c r="C1993" s="18" t="s">
        <v>165</v>
      </c>
      <c r="D1993" s="19"/>
      <c r="E1993" s="19"/>
      <c r="F1993" s="20">
        <f t="shared" si="24"/>
        <v>0</v>
      </c>
      <c r="G1993" s="67">
        <f>IFERROR(VLOOKUP(B1993,DADOS!$A$2:$H$252,8,0),"")</f>
        <v>23</v>
      </c>
      <c r="H1993" s="22">
        <v>30.0</v>
      </c>
      <c r="I1993" s="23">
        <f>IFERROR(VLOOKUP(B1993,DADOS!$A$2:$H$252,4,0)*H1993,"")</f>
        <v>3.418008</v>
      </c>
      <c r="J1993" s="24">
        <v>4.0</v>
      </c>
      <c r="K1993" s="25">
        <f>IFERROR(VLOOKUP(B1993,DADOS!$A$2:$H$252,4,0)*J1993,"")</f>
        <v>0.4557344</v>
      </c>
      <c r="L1993" s="26">
        <f t="shared" si="23"/>
        <v>0</v>
      </c>
      <c r="M1993" s="27"/>
      <c r="N1993" s="30"/>
      <c r="O1993" s="28"/>
      <c r="P1993" s="28"/>
      <c r="Q1993" s="28"/>
      <c r="R1993" s="28"/>
      <c r="S1993" s="28"/>
    </row>
    <row r="1994">
      <c r="A1994" s="17">
        <v>46001.0</v>
      </c>
      <c r="B1994" s="18" t="s">
        <v>50</v>
      </c>
      <c r="C1994" s="18" t="s">
        <v>166</v>
      </c>
      <c r="D1994" s="19"/>
      <c r="E1994" s="19"/>
      <c r="F1994" s="20">
        <f t="shared" si="24"/>
        <v>0</v>
      </c>
      <c r="G1994" s="67">
        <f>IFERROR(VLOOKUP(B1994,DADOS!$A$2:$H$252,8,0),"")</f>
        <v>8</v>
      </c>
      <c r="H1994" s="22">
        <v>21.0</v>
      </c>
      <c r="I1994" s="23">
        <f>IFERROR(VLOOKUP(B1994,DADOS!$A$2:$H$252,4,0)*H1994,"")</f>
        <v>15.1483752</v>
      </c>
      <c r="J1994" s="36"/>
      <c r="K1994" s="25">
        <f>IFERROR(VLOOKUP(B1994,DADOS!$A$2:$H$252,4,0)*J1994,"")</f>
        <v>0</v>
      </c>
      <c r="L1994" s="26">
        <f t="shared" si="23"/>
        <v>0</v>
      </c>
      <c r="M1994" s="27"/>
      <c r="N1994" s="30"/>
      <c r="O1994" s="28"/>
      <c r="P1994" s="28"/>
      <c r="Q1994" s="28"/>
      <c r="R1994" s="28"/>
      <c r="S1994" s="28"/>
    </row>
    <row r="1995">
      <c r="A1995" s="17">
        <v>46001.0</v>
      </c>
      <c r="B1995" s="18" t="s">
        <v>114</v>
      </c>
      <c r="C1995" s="18" t="s">
        <v>166</v>
      </c>
      <c r="D1995" s="19"/>
      <c r="E1995" s="19"/>
      <c r="F1995" s="20">
        <f t="shared" si="24"/>
        <v>0</v>
      </c>
      <c r="G1995" s="67">
        <f>IFERROR(VLOOKUP(B1995,DADOS!$A$2:$H$252,8,0),"")</f>
        <v>17</v>
      </c>
      <c r="H1995" s="22">
        <v>9.0</v>
      </c>
      <c r="I1995" s="23">
        <f>IFERROR(VLOOKUP(B1995,DADOS!$A$2:$H$252,4,0)*H1995,"")</f>
        <v>5.5104786</v>
      </c>
      <c r="J1995" s="24">
        <v>1.0</v>
      </c>
      <c r="K1995" s="25">
        <f>IFERROR(VLOOKUP(B1995,DADOS!$A$2:$H$252,4,0)*J1995,"")</f>
        <v>0.6122754</v>
      </c>
      <c r="L1995" s="26">
        <f t="shared" si="23"/>
        <v>0</v>
      </c>
      <c r="M1995" s="27"/>
      <c r="N1995" s="30"/>
      <c r="O1995" s="28"/>
      <c r="P1995" s="28"/>
      <c r="Q1995" s="28"/>
      <c r="R1995" s="28"/>
      <c r="S1995" s="28"/>
    </row>
    <row r="1996">
      <c r="A1996" s="17">
        <v>46001.0</v>
      </c>
      <c r="B1996" s="18" t="s">
        <v>59</v>
      </c>
      <c r="C1996" s="18" t="s">
        <v>19</v>
      </c>
      <c r="D1996" s="19"/>
      <c r="E1996" s="19"/>
      <c r="F1996" s="20">
        <f t="shared" si="24"/>
        <v>0</v>
      </c>
      <c r="G1996" s="67">
        <f>IFERROR(VLOOKUP(B1996,DADOS!$A$2:$H$252,8,0),"")</f>
        <v>50</v>
      </c>
      <c r="H1996" s="22">
        <v>280.0</v>
      </c>
      <c r="I1996" s="23">
        <f>IFERROR(VLOOKUP(B1996,DADOS!$A$2:$H$252,4,0)*H1996,"")</f>
        <v>4.7936</v>
      </c>
      <c r="J1996" s="24">
        <v>16.0</v>
      </c>
      <c r="K1996" s="25">
        <f>IFERROR(VLOOKUP(B1996,DADOS!$A$2:$H$252,4,0)*J1996,"")</f>
        <v>0.27392</v>
      </c>
      <c r="L1996" s="26">
        <f t="shared" si="23"/>
        <v>0</v>
      </c>
      <c r="M1996" s="27"/>
      <c r="N1996" s="30"/>
      <c r="O1996" s="28"/>
      <c r="P1996" s="28"/>
      <c r="Q1996" s="28"/>
      <c r="R1996" s="28"/>
      <c r="S1996" s="28"/>
    </row>
    <row r="1997">
      <c r="A1997" s="17">
        <v>46001.0</v>
      </c>
      <c r="B1997" s="18" t="s">
        <v>75</v>
      </c>
      <c r="C1997" s="18" t="s">
        <v>165</v>
      </c>
      <c r="D1997" s="19"/>
      <c r="E1997" s="19"/>
      <c r="F1997" s="20">
        <f t="shared" si="24"/>
        <v>0</v>
      </c>
      <c r="G1997" s="67">
        <f>IFERROR(VLOOKUP(B1997,DADOS!$A$2:$H$252,8,0),"")</f>
        <v>23</v>
      </c>
      <c r="H1997" s="22">
        <v>21.0</v>
      </c>
      <c r="I1997" s="23">
        <f>IFERROR(VLOOKUP(B1997,DADOS!$A$2:$H$252,4,0)*H1997,"")</f>
        <v>2.3926056</v>
      </c>
      <c r="J1997" s="36"/>
      <c r="K1997" s="25">
        <f>IFERROR(VLOOKUP(B1997,DADOS!$A$2:$H$252,4,0)*J1997,"")</f>
        <v>0</v>
      </c>
      <c r="L1997" s="26">
        <f t="shared" si="23"/>
        <v>0</v>
      </c>
      <c r="M1997" s="27"/>
      <c r="N1997" s="30"/>
      <c r="O1997" s="28"/>
      <c r="P1997" s="28"/>
      <c r="Q1997" s="28"/>
      <c r="R1997" s="28"/>
      <c r="S1997" s="28"/>
    </row>
    <row r="1998">
      <c r="A1998" s="17">
        <v>46002.0</v>
      </c>
      <c r="B1998" s="18" t="s">
        <v>190</v>
      </c>
      <c r="C1998" s="18" t="s">
        <v>166</v>
      </c>
      <c r="D1998" s="19"/>
      <c r="E1998" s="19"/>
      <c r="F1998" s="20">
        <f t="shared" si="24"/>
        <v>0</v>
      </c>
      <c r="G1998" s="67">
        <f>IFERROR(VLOOKUP(B1998,DADOS!$A$2:$H$252,8,0),"")</f>
        <v>12</v>
      </c>
      <c r="H1998" s="22">
        <v>60.0</v>
      </c>
      <c r="I1998" s="23">
        <f>IFERROR(VLOOKUP(B1998,DADOS!$A$2:$H$252,4,0)*H1998,"")</f>
        <v>23.74116</v>
      </c>
      <c r="J1998" s="36"/>
      <c r="K1998" s="25">
        <f>IFERROR(VLOOKUP(B1998,DADOS!$A$2:$H$252,4,0)*J1998,"")</f>
        <v>0</v>
      </c>
      <c r="L1998" s="26">
        <f t="shared" si="23"/>
        <v>0</v>
      </c>
      <c r="M1998" s="27"/>
      <c r="N1998" s="30"/>
      <c r="O1998" s="28"/>
      <c r="P1998" s="28"/>
      <c r="Q1998" s="28"/>
      <c r="R1998" s="28"/>
      <c r="S1998" s="28"/>
    </row>
    <row r="1999">
      <c r="A1999" s="17">
        <v>46002.0</v>
      </c>
      <c r="B1999" s="18" t="s">
        <v>22</v>
      </c>
      <c r="C1999" s="18" t="s">
        <v>166</v>
      </c>
      <c r="D1999" s="19"/>
      <c r="E1999" s="19"/>
      <c r="F1999" s="20">
        <f t="shared" si="24"/>
        <v>0</v>
      </c>
      <c r="G1999" s="67">
        <f>IFERROR(VLOOKUP(B1999,DADOS!$A$2:$H$252,8,0),"")</f>
        <v>15</v>
      </c>
      <c r="H1999" s="22">
        <v>14.0</v>
      </c>
      <c r="I1999" s="23">
        <f>IFERROR(VLOOKUP(B1999,DADOS!$A$2:$H$252,4,0)*H1999,"")</f>
        <v>8.5718556</v>
      </c>
      <c r="J1999" s="36"/>
      <c r="K1999" s="25">
        <f>IFERROR(VLOOKUP(B1999,DADOS!$A$2:$H$252,4,0)*J1999,"")</f>
        <v>0</v>
      </c>
      <c r="L1999" s="26">
        <f t="shared" si="23"/>
        <v>0</v>
      </c>
      <c r="M1999" s="27"/>
      <c r="N1999" s="30"/>
      <c r="O1999" s="28"/>
      <c r="P1999" s="28"/>
      <c r="Q1999" s="28"/>
      <c r="R1999" s="28"/>
      <c r="S1999" s="28"/>
    </row>
    <row r="2000">
      <c r="A2000" s="17">
        <v>46002.0</v>
      </c>
      <c r="B2000" s="18" t="s">
        <v>72</v>
      </c>
      <c r="C2000" s="18" t="s">
        <v>19</v>
      </c>
      <c r="D2000" s="19"/>
      <c r="E2000" s="19"/>
      <c r="F2000" s="20">
        <f t="shared" si="24"/>
        <v>0</v>
      </c>
      <c r="G2000" s="67">
        <f>IFERROR(VLOOKUP(B2000,DADOS!$A$2:$H$252,8,0),"")</f>
        <v>43</v>
      </c>
      <c r="H2000" s="22">
        <v>56.0</v>
      </c>
      <c r="I2000" s="23">
        <f>IFERROR(VLOOKUP(B2000,DADOS!$A$2:$H$252,4,0)*H2000,"")</f>
        <v>0.95872</v>
      </c>
      <c r="J2000" s="36"/>
      <c r="K2000" s="25">
        <f>IFERROR(VLOOKUP(B2000,DADOS!$A$2:$H$252,4,0)*J2000,"")</f>
        <v>0</v>
      </c>
      <c r="L2000" s="26">
        <f t="shared" si="23"/>
        <v>0</v>
      </c>
      <c r="M2000" s="27"/>
      <c r="N2000" s="30"/>
      <c r="O2000" s="28"/>
      <c r="P2000" s="28"/>
      <c r="Q2000" s="28"/>
      <c r="R2000" s="28"/>
      <c r="S2000" s="28"/>
    </row>
    <row r="2001">
      <c r="A2001" s="17">
        <v>46002.0</v>
      </c>
      <c r="B2001" s="18" t="s">
        <v>26</v>
      </c>
      <c r="C2001" s="18" t="s">
        <v>19</v>
      </c>
      <c r="D2001" s="19"/>
      <c r="E2001" s="19"/>
      <c r="F2001" s="20">
        <f t="shared" si="24"/>
        <v>0</v>
      </c>
      <c r="G2001" s="67">
        <f>IFERROR(VLOOKUP(B2001,DADOS!$A$2:$H$252,8,0),"")</f>
        <v>50</v>
      </c>
      <c r="H2001" s="22">
        <v>41.0</v>
      </c>
      <c r="I2001" s="23">
        <f>IFERROR(VLOOKUP(B2001,DADOS!$A$2:$H$252,4,0)*H2001,"")</f>
        <v>4.6712776</v>
      </c>
      <c r="J2001" s="36"/>
      <c r="K2001" s="25">
        <f>IFERROR(VLOOKUP(B2001,DADOS!$A$2:$H$252,4,0)*J2001,"")</f>
        <v>0</v>
      </c>
      <c r="L2001" s="26">
        <f t="shared" si="23"/>
        <v>0</v>
      </c>
      <c r="M2001" s="27"/>
      <c r="N2001" s="30"/>
      <c r="O2001" s="28"/>
      <c r="P2001" s="28"/>
      <c r="Q2001" s="28"/>
      <c r="R2001" s="28"/>
      <c r="S2001" s="28"/>
    </row>
    <row r="2002">
      <c r="A2002" s="17">
        <v>46002.0</v>
      </c>
      <c r="B2002" s="18" t="s">
        <v>179</v>
      </c>
      <c r="C2002" s="18" t="s">
        <v>19</v>
      </c>
      <c r="D2002" s="19"/>
      <c r="E2002" s="19"/>
      <c r="F2002" s="20">
        <f t="shared" si="24"/>
        <v>0</v>
      </c>
      <c r="G2002" s="67">
        <f>IFERROR(VLOOKUP(B2002,DADOS!$A$2:$H$252,8,0),"")</f>
        <v>15</v>
      </c>
      <c r="H2002" s="22">
        <v>20.0</v>
      </c>
      <c r="I2002" s="23">
        <f>IFERROR(VLOOKUP(B2002,DADOS!$A$2:$H$252,4,0)*H2002,"")</f>
        <v>3.35552</v>
      </c>
      <c r="J2002" s="24">
        <v>3.0</v>
      </c>
      <c r="K2002" s="25">
        <f>IFERROR(VLOOKUP(B2002,DADOS!$A$2:$H$252,4,0)*J2002,"")</f>
        <v>0.503328</v>
      </c>
      <c r="L2002" s="26">
        <f t="shared" si="23"/>
        <v>0</v>
      </c>
      <c r="M2002" s="27"/>
      <c r="N2002" s="30"/>
      <c r="O2002" s="28"/>
      <c r="P2002" s="28"/>
      <c r="Q2002" s="28"/>
      <c r="R2002" s="28"/>
      <c r="S2002" s="28"/>
    </row>
    <row r="2003">
      <c r="A2003" s="17">
        <v>46002.0</v>
      </c>
      <c r="B2003" s="18" t="s">
        <v>25</v>
      </c>
      <c r="C2003" s="18" t="s">
        <v>165</v>
      </c>
      <c r="D2003" s="19">
        <v>0.34375</v>
      </c>
      <c r="E2003" s="19">
        <v>0.6993055555555555</v>
      </c>
      <c r="F2003" s="20">
        <f t="shared" si="24"/>
        <v>0.3555555556</v>
      </c>
      <c r="G2003" s="67">
        <f>IFERROR(VLOOKUP(B2003,DADOS!$A$2:$H$252,8,0),"")</f>
        <v>40</v>
      </c>
      <c r="H2003" s="22">
        <v>149.0</v>
      </c>
      <c r="I2003" s="23">
        <f>IFERROR(VLOOKUP(B2003,DADOS!$A$2:$H$252,4,0)*H2003,"")</f>
        <v>15.432824</v>
      </c>
      <c r="J2003" s="24">
        <v>1.0</v>
      </c>
      <c r="K2003" s="25">
        <f>IFERROR(VLOOKUP(B2003,DADOS!$A$2:$H$252,4,0)*J2003,"")</f>
        <v>0.103576</v>
      </c>
      <c r="L2003" s="26">
        <f t="shared" si="23"/>
        <v>0</v>
      </c>
      <c r="M2003" s="27"/>
      <c r="N2003" s="30"/>
      <c r="O2003" s="28"/>
      <c r="P2003" s="28"/>
      <c r="Q2003" s="28"/>
      <c r="R2003" s="28"/>
      <c r="S2003" s="28"/>
    </row>
    <row r="2004">
      <c r="A2004" s="17">
        <v>46002.0</v>
      </c>
      <c r="B2004" s="18" t="s">
        <v>179</v>
      </c>
      <c r="C2004" s="18" t="s">
        <v>165</v>
      </c>
      <c r="D2004" s="29">
        <v>0.7013888888888888</v>
      </c>
      <c r="E2004" s="19">
        <v>0.71875</v>
      </c>
      <c r="F2004" s="20">
        <f t="shared" si="24"/>
        <v>0.01736111111</v>
      </c>
      <c r="G2004" s="67">
        <f>IFERROR(VLOOKUP(B2004,DADOS!$A$2:$H$252,8,0),"")</f>
        <v>15</v>
      </c>
      <c r="H2004" s="22">
        <v>7.0</v>
      </c>
      <c r="I2004" s="23">
        <f>IFERROR(VLOOKUP(B2004,DADOS!$A$2:$H$252,4,0)*H2004,"")</f>
        <v>1.174432</v>
      </c>
      <c r="J2004" s="36"/>
      <c r="K2004" s="25">
        <f>IFERROR(VLOOKUP(B2004,DADOS!$A$2:$H$252,4,0)*J2004,"")</f>
        <v>0</v>
      </c>
      <c r="L2004" s="26">
        <f t="shared" si="23"/>
        <v>0</v>
      </c>
      <c r="M2004" s="27"/>
      <c r="N2004" s="30"/>
      <c r="O2004" s="28"/>
      <c r="P2004" s="28"/>
      <c r="Q2004" s="28"/>
      <c r="R2004" s="28"/>
      <c r="S2004" s="28"/>
    </row>
    <row r="2005">
      <c r="A2005" s="17">
        <v>46003.0</v>
      </c>
      <c r="B2005" s="18" t="s">
        <v>22</v>
      </c>
      <c r="C2005" s="18" t="s">
        <v>166</v>
      </c>
      <c r="D2005" s="19">
        <v>0.3472222222222222</v>
      </c>
      <c r="E2005" s="19"/>
      <c r="F2005" s="20">
        <f t="shared" si="24"/>
        <v>-0.3472222222</v>
      </c>
      <c r="G2005" s="67">
        <f>IFERROR(VLOOKUP(B2005,DADOS!$A$2:$H$252,8,0),"")</f>
        <v>15</v>
      </c>
      <c r="H2005" s="22">
        <v>16.0</v>
      </c>
      <c r="I2005" s="23">
        <f>IFERROR(VLOOKUP(B2005,DADOS!$A$2:$H$252,4,0)*H2005,"")</f>
        <v>9.7964064</v>
      </c>
      <c r="J2005" s="36"/>
      <c r="K2005" s="25">
        <f>IFERROR(VLOOKUP(B2005,DADOS!$A$2:$H$252,4,0)*J2005,"")</f>
        <v>0</v>
      </c>
      <c r="L2005" s="26">
        <f t="shared" si="23"/>
        <v>0</v>
      </c>
      <c r="M2005" s="27"/>
      <c r="N2005" s="30"/>
      <c r="O2005" s="28"/>
      <c r="P2005" s="28"/>
      <c r="Q2005" s="28"/>
      <c r="R2005" s="28"/>
      <c r="S2005" s="28"/>
    </row>
    <row r="2006">
      <c r="A2006" s="17">
        <v>46003.0</v>
      </c>
      <c r="B2006" s="18" t="s">
        <v>185</v>
      </c>
      <c r="C2006" s="18" t="s">
        <v>166</v>
      </c>
      <c r="D2006" s="19"/>
      <c r="E2006" s="19">
        <v>0.4652777777777778</v>
      </c>
      <c r="F2006" s="20">
        <f t="shared" si="24"/>
        <v>0.4652777778</v>
      </c>
      <c r="G2006" s="67">
        <f>IFERROR(VLOOKUP(B2006,DADOS!$A$2:$H$252,8,0),"")</f>
        <v>35</v>
      </c>
      <c r="H2006" s="22">
        <v>60.0</v>
      </c>
      <c r="I2006" s="23">
        <f>IFERROR(VLOOKUP(B2006,DADOS!$A$2:$H$252,4,0)*H2006,"")</f>
        <v>12.7116</v>
      </c>
      <c r="J2006" s="36"/>
      <c r="K2006" s="25">
        <f>IFERROR(VLOOKUP(B2006,DADOS!$A$2:$H$252,4,0)*J2006,"")</f>
        <v>0</v>
      </c>
      <c r="L2006" s="26">
        <f t="shared" si="23"/>
        <v>0</v>
      </c>
      <c r="M2006" s="27"/>
      <c r="N2006" s="30"/>
      <c r="O2006" s="28"/>
      <c r="P2006" s="28"/>
      <c r="Q2006" s="28"/>
      <c r="R2006" s="28"/>
      <c r="S2006" s="28"/>
    </row>
    <row r="2007">
      <c r="A2007" s="17">
        <v>46003.0</v>
      </c>
      <c r="B2007" s="18" t="s">
        <v>72</v>
      </c>
      <c r="C2007" s="18" t="s">
        <v>19</v>
      </c>
      <c r="D2007" s="19"/>
      <c r="E2007" s="19"/>
      <c r="F2007" s="20">
        <f t="shared" si="24"/>
        <v>0</v>
      </c>
      <c r="G2007" s="67">
        <f>IFERROR(VLOOKUP(B2007,DADOS!$A$2:$H$252,8,0),"")</f>
        <v>43</v>
      </c>
      <c r="H2007" s="22">
        <v>231.0</v>
      </c>
      <c r="I2007" s="23">
        <f>IFERROR(VLOOKUP(B2007,DADOS!$A$2:$H$252,4,0)*H2007,"")</f>
        <v>3.95472</v>
      </c>
      <c r="J2007" s="24">
        <v>9.0</v>
      </c>
      <c r="K2007" s="25">
        <f>IFERROR(VLOOKUP(B2007,DADOS!$A$2:$H$252,4,0)*J2007,"")</f>
        <v>0.15408</v>
      </c>
      <c r="L2007" s="26">
        <f t="shared" si="23"/>
        <v>0</v>
      </c>
      <c r="M2007" s="27"/>
      <c r="N2007" s="30"/>
      <c r="O2007" s="28"/>
      <c r="P2007" s="28"/>
      <c r="Q2007" s="28"/>
      <c r="R2007" s="28"/>
      <c r="S2007" s="28"/>
    </row>
    <row r="2008">
      <c r="A2008" s="17">
        <v>46004.0</v>
      </c>
      <c r="B2008" s="18" t="s">
        <v>71</v>
      </c>
      <c r="C2008" s="18" t="s">
        <v>193</v>
      </c>
      <c r="D2008" s="19"/>
      <c r="E2008" s="19"/>
      <c r="F2008" s="20">
        <f t="shared" si="24"/>
        <v>0</v>
      </c>
      <c r="G2008" s="67">
        <f>IFERROR(VLOOKUP(B2008,DADOS!$A$2:$H$252,8,0),"")</f>
        <v>7</v>
      </c>
      <c r="H2008" s="22">
        <v>30.0</v>
      </c>
      <c r="I2008" s="23">
        <f>IFERROR(VLOOKUP(B2008,DADOS!$A$2:$H$252,4,0)*H2008,"")</f>
        <v>42.072186</v>
      </c>
      <c r="J2008" s="36"/>
      <c r="K2008" s="25">
        <f>IFERROR(VLOOKUP(B2008,DADOS!$A$2:$H$252,4,0)*J2008,"")</f>
        <v>0</v>
      </c>
      <c r="L2008" s="26">
        <f t="shared" si="23"/>
        <v>0</v>
      </c>
      <c r="M2008" s="27"/>
      <c r="N2008" s="30"/>
      <c r="O2008" s="28"/>
      <c r="P2008" s="28"/>
      <c r="Q2008" s="28"/>
      <c r="R2008" s="28"/>
      <c r="S2008" s="28"/>
    </row>
    <row r="2009">
      <c r="A2009" s="17">
        <v>46006.0</v>
      </c>
      <c r="B2009" s="18" t="s">
        <v>75</v>
      </c>
      <c r="C2009" s="18" t="s">
        <v>166</v>
      </c>
      <c r="D2009" s="19"/>
      <c r="E2009" s="19"/>
      <c r="F2009" s="20">
        <f t="shared" si="24"/>
        <v>0</v>
      </c>
      <c r="G2009" s="67">
        <f>IFERROR(VLOOKUP(B2009,DADOS!$A$2:$H$252,8,0),"")</f>
        <v>23</v>
      </c>
      <c r="H2009" s="22">
        <v>73.0</v>
      </c>
      <c r="I2009" s="23">
        <f>IFERROR(VLOOKUP(B2009,DADOS!$A$2:$H$252,4,0)*H2009,"")</f>
        <v>8.3171528</v>
      </c>
      <c r="J2009" s="36"/>
      <c r="K2009" s="25">
        <f>IFERROR(VLOOKUP(B2009,DADOS!$A$2:$H$252,4,0)*J2009,"")</f>
        <v>0</v>
      </c>
      <c r="L2009" s="26">
        <f t="shared" si="23"/>
        <v>0</v>
      </c>
      <c r="M2009" s="27"/>
      <c r="N2009" s="30"/>
      <c r="O2009" s="28"/>
      <c r="P2009" s="28"/>
      <c r="Q2009" s="28"/>
      <c r="R2009" s="28"/>
      <c r="S2009" s="28"/>
    </row>
    <row r="2010">
      <c r="A2010" s="17">
        <v>46006.0</v>
      </c>
      <c r="B2010" s="18" t="s">
        <v>16</v>
      </c>
      <c r="C2010" s="18" t="s">
        <v>65</v>
      </c>
      <c r="D2010" s="19"/>
      <c r="E2010" s="19"/>
      <c r="F2010" s="20">
        <f t="shared" si="24"/>
        <v>0</v>
      </c>
      <c r="G2010" s="67">
        <f>IFERROR(VLOOKUP(B2010,DADOS!$A$2:$H$252,8,0),"")</f>
        <v>150</v>
      </c>
      <c r="H2010" s="22">
        <v>605.0</v>
      </c>
      <c r="I2010" s="23">
        <f>IFERROR(VLOOKUP(B2010,DADOS!$A$2:$H$252,4,0)*H2010,"")</f>
        <v>17.504344</v>
      </c>
      <c r="J2010" s="24">
        <v>5.0</v>
      </c>
      <c r="K2010" s="25">
        <f>IFERROR(VLOOKUP(B2010,DADOS!$A$2:$H$252,4,0)*J2010,"")</f>
        <v>0.144664</v>
      </c>
      <c r="L2010" s="26">
        <f t="shared" si="23"/>
        <v>0</v>
      </c>
      <c r="M2010" s="27"/>
      <c r="N2010" s="30"/>
      <c r="O2010" s="28"/>
      <c r="P2010" s="28"/>
      <c r="Q2010" s="28"/>
      <c r="R2010" s="28"/>
      <c r="S2010" s="28"/>
    </row>
    <row r="2011">
      <c r="A2011" s="17">
        <v>46006.0</v>
      </c>
      <c r="B2011" s="18" t="s">
        <v>18</v>
      </c>
      <c r="C2011" s="18" t="s">
        <v>165</v>
      </c>
      <c r="D2011" s="19"/>
      <c r="E2011" s="19"/>
      <c r="F2011" s="20">
        <f t="shared" si="24"/>
        <v>0</v>
      </c>
      <c r="G2011" s="67">
        <f>IFERROR(VLOOKUP(B2011,DADOS!$A$2:$H$252,8,0),"")</f>
        <v>21</v>
      </c>
      <c r="H2011" s="22">
        <v>29.0</v>
      </c>
      <c r="I2011" s="23">
        <f>IFERROR(VLOOKUP(B2011,DADOS!$A$2:$H$252,4,0)*H2011,"")</f>
        <v>8.496014</v>
      </c>
      <c r="J2011" s="36"/>
      <c r="K2011" s="25">
        <f>IFERROR(VLOOKUP(B2011,DADOS!$A$2:$H$252,4,0)*J2011,"")</f>
        <v>0</v>
      </c>
      <c r="L2011" s="26">
        <f t="shared" si="23"/>
        <v>0</v>
      </c>
      <c r="M2011" s="27"/>
      <c r="N2011" s="30"/>
      <c r="O2011" s="28"/>
      <c r="P2011" s="28"/>
      <c r="Q2011" s="28"/>
      <c r="R2011" s="28"/>
      <c r="S2011" s="28"/>
    </row>
    <row r="2012">
      <c r="A2012" s="17">
        <v>46006.0</v>
      </c>
      <c r="B2012" s="18" t="s">
        <v>161</v>
      </c>
      <c r="C2012" s="18" t="s">
        <v>165</v>
      </c>
      <c r="D2012" s="19"/>
      <c r="E2012" s="19"/>
      <c r="F2012" s="20">
        <f t="shared" si="24"/>
        <v>0</v>
      </c>
      <c r="G2012" s="67">
        <f>IFERROR(VLOOKUP(B2012,DADOS!$A$2:$H$252,8,0),"")</f>
        <v>22</v>
      </c>
      <c r="H2012" s="22">
        <v>30.0</v>
      </c>
      <c r="I2012" s="23">
        <f>IFERROR(VLOOKUP(B2012,DADOS!$A$2:$H$252,4,0)*H2012,"")</f>
        <v>2.31762</v>
      </c>
      <c r="J2012" s="36"/>
      <c r="K2012" s="25">
        <f>IFERROR(VLOOKUP(B2012,DADOS!$A$2:$H$252,4,0)*J2012,"")</f>
        <v>0</v>
      </c>
      <c r="L2012" s="26">
        <f t="shared" si="23"/>
        <v>0</v>
      </c>
      <c r="M2012" s="27"/>
      <c r="N2012" s="30"/>
      <c r="O2012" s="28"/>
      <c r="P2012" s="28"/>
      <c r="Q2012" s="28"/>
      <c r="R2012" s="28"/>
      <c r="S2012" s="28"/>
    </row>
    <row r="2013">
      <c r="A2013" s="17">
        <v>46007.0</v>
      </c>
      <c r="B2013" s="18" t="s">
        <v>214</v>
      </c>
      <c r="C2013" s="18" t="s">
        <v>166</v>
      </c>
      <c r="D2013" s="19"/>
      <c r="E2013" s="19"/>
      <c r="F2013" s="20">
        <f t="shared" si="24"/>
        <v>0</v>
      </c>
      <c r="G2013" s="67" t="str">
        <f>IFERROR(VLOOKUP(B2013,DADOS!$A$2:$H$252,8,0),"")</f>
        <v/>
      </c>
      <c r="H2013" s="22">
        <v>27.0</v>
      </c>
      <c r="I2013" s="23">
        <f>IFERROR(VLOOKUP(B2013,DADOS!$A$2:$H$252,4,0)*H2013,"")</f>
        <v>3.328128</v>
      </c>
      <c r="J2013" s="36"/>
      <c r="K2013" s="25">
        <f>IFERROR(VLOOKUP(B2013,DADOS!$A$2:$H$252,4,0)*J2013,"")</f>
        <v>0</v>
      </c>
      <c r="L2013" s="26">
        <f t="shared" si="23"/>
        <v>0</v>
      </c>
      <c r="M2013" s="27"/>
      <c r="N2013" s="30"/>
      <c r="O2013" s="28"/>
      <c r="P2013" s="28"/>
      <c r="Q2013" s="28"/>
      <c r="R2013" s="28"/>
      <c r="S2013" s="28"/>
    </row>
    <row r="2014">
      <c r="A2014" s="17">
        <v>46007.0</v>
      </c>
      <c r="B2014" s="18" t="s">
        <v>26</v>
      </c>
      <c r="C2014" s="18" t="s">
        <v>166</v>
      </c>
      <c r="D2014" s="19"/>
      <c r="E2014" s="19"/>
      <c r="F2014" s="20">
        <f t="shared" si="24"/>
        <v>0</v>
      </c>
      <c r="G2014" s="67">
        <f>IFERROR(VLOOKUP(B2014,DADOS!$A$2:$H$252,8,0),"")</f>
        <v>50</v>
      </c>
      <c r="H2014" s="22">
        <v>42.0</v>
      </c>
      <c r="I2014" s="23">
        <f>IFERROR(VLOOKUP(B2014,DADOS!$A$2:$H$252,4,0)*H2014,"")</f>
        <v>4.7852112</v>
      </c>
      <c r="J2014" s="24">
        <v>2.0</v>
      </c>
      <c r="K2014" s="25">
        <f>IFERROR(VLOOKUP(B2014,DADOS!$A$2:$H$252,4,0)*J2014,"")</f>
        <v>0.2278672</v>
      </c>
      <c r="L2014" s="26">
        <f t="shared" si="23"/>
        <v>0</v>
      </c>
      <c r="M2014" s="27"/>
      <c r="N2014" s="30"/>
      <c r="O2014" s="28"/>
      <c r="P2014" s="28"/>
      <c r="Q2014" s="28"/>
      <c r="R2014" s="28"/>
      <c r="S2014" s="28"/>
    </row>
    <row r="2015">
      <c r="A2015" s="17">
        <v>46007.0</v>
      </c>
      <c r="B2015" s="18" t="s">
        <v>179</v>
      </c>
      <c r="C2015" s="18" t="s">
        <v>19</v>
      </c>
      <c r="D2015" s="19"/>
      <c r="E2015" s="19"/>
      <c r="F2015" s="20">
        <f t="shared" si="24"/>
        <v>0</v>
      </c>
      <c r="G2015" s="67">
        <f>IFERROR(VLOOKUP(B2015,DADOS!$A$2:$H$252,8,0),"")</f>
        <v>15</v>
      </c>
      <c r="H2015" s="22">
        <v>62.0</v>
      </c>
      <c r="I2015" s="23">
        <f>IFERROR(VLOOKUP(B2015,DADOS!$A$2:$H$252,4,0)*H2015,"")</f>
        <v>10.402112</v>
      </c>
      <c r="J2015" s="24">
        <v>1.0</v>
      </c>
      <c r="K2015" s="25">
        <f>IFERROR(VLOOKUP(B2015,DADOS!$A$2:$H$252,4,0)*J2015,"")</f>
        <v>0.167776</v>
      </c>
      <c r="L2015" s="26">
        <f t="shared" si="23"/>
        <v>0</v>
      </c>
      <c r="M2015" s="27"/>
      <c r="N2015" s="30"/>
      <c r="O2015" s="28"/>
      <c r="P2015" s="28"/>
      <c r="Q2015" s="28"/>
      <c r="R2015" s="28"/>
      <c r="S2015" s="28"/>
    </row>
    <row r="2016">
      <c r="A2016" s="17">
        <v>46008.0</v>
      </c>
      <c r="B2016" s="18" t="s">
        <v>21</v>
      </c>
      <c r="C2016" s="18" t="s">
        <v>166</v>
      </c>
      <c r="D2016" s="19"/>
      <c r="E2016" s="19"/>
      <c r="F2016" s="20">
        <f t="shared" si="24"/>
        <v>0</v>
      </c>
      <c r="G2016" s="67">
        <f>IFERROR(VLOOKUP(B2016,DADOS!$A$2:$H$252,8,0),"")</f>
        <v>33</v>
      </c>
      <c r="H2016" s="22">
        <v>60.0</v>
      </c>
      <c r="I2016" s="23">
        <f>IFERROR(VLOOKUP(B2016,DADOS!$A$2:$H$252,4,0)*H2016,"")</f>
        <v>6.836016</v>
      </c>
      <c r="J2016" s="36"/>
      <c r="K2016" s="25">
        <f>IFERROR(VLOOKUP(B2016,DADOS!$A$2:$H$252,4,0)*J2016,"")</f>
        <v>0</v>
      </c>
      <c r="L2016" s="26">
        <f t="shared" si="23"/>
        <v>0</v>
      </c>
      <c r="M2016" s="27"/>
      <c r="N2016" s="30"/>
      <c r="O2016" s="28"/>
      <c r="P2016" s="28"/>
      <c r="Q2016" s="28"/>
      <c r="R2016" s="28"/>
      <c r="S2016" s="28"/>
    </row>
    <row r="2017">
      <c r="A2017" s="17">
        <v>46008.0</v>
      </c>
      <c r="B2017" s="18" t="s">
        <v>16</v>
      </c>
      <c r="C2017" s="18" t="s">
        <v>65</v>
      </c>
      <c r="D2017" s="19"/>
      <c r="E2017" s="19"/>
      <c r="F2017" s="20">
        <f t="shared" si="24"/>
        <v>0</v>
      </c>
      <c r="G2017" s="67">
        <f>IFERROR(VLOOKUP(B2017,DADOS!$A$2:$H$252,8,0),"")</f>
        <v>150</v>
      </c>
      <c r="H2017" s="22">
        <v>229.0</v>
      </c>
      <c r="I2017" s="23">
        <f>IFERROR(VLOOKUP(B2017,DADOS!$A$2:$H$252,4,0)*H2017,"")</f>
        <v>6.6256112</v>
      </c>
      <c r="J2017" s="24">
        <v>4.0</v>
      </c>
      <c r="K2017" s="25">
        <f>IFERROR(VLOOKUP(B2017,DADOS!$A$2:$H$252,4,0)*J2017,"")</f>
        <v>0.1157312</v>
      </c>
      <c r="L2017" s="26">
        <f t="shared" si="23"/>
        <v>0</v>
      </c>
      <c r="M2017" s="27"/>
      <c r="N2017" s="30"/>
      <c r="O2017" s="28"/>
      <c r="P2017" s="28"/>
      <c r="Q2017" s="28"/>
      <c r="R2017" s="28"/>
      <c r="S2017" s="28"/>
    </row>
    <row r="2018">
      <c r="A2018" s="17">
        <v>46008.0</v>
      </c>
      <c r="B2018" s="18" t="s">
        <v>18</v>
      </c>
      <c r="C2018" s="18" t="s">
        <v>165</v>
      </c>
      <c r="D2018" s="19"/>
      <c r="E2018" s="19"/>
      <c r="F2018" s="20">
        <f t="shared" si="24"/>
        <v>0</v>
      </c>
      <c r="G2018" s="67">
        <f>IFERROR(VLOOKUP(B2018,DADOS!$A$2:$H$252,8,0),"")</f>
        <v>21</v>
      </c>
      <c r="H2018" s="22">
        <v>64.0</v>
      </c>
      <c r="I2018" s="23">
        <f>IFERROR(VLOOKUP(B2018,DADOS!$A$2:$H$252,4,0)*H2018,"")</f>
        <v>18.749824</v>
      </c>
      <c r="J2018" s="36"/>
      <c r="K2018" s="25">
        <f>IFERROR(VLOOKUP(B2018,DADOS!$A$2:$H$252,4,0)*J2018,"")</f>
        <v>0</v>
      </c>
      <c r="L2018" s="26">
        <f t="shared" si="23"/>
        <v>0</v>
      </c>
      <c r="M2018" s="27"/>
      <c r="N2018" s="30"/>
      <c r="O2018" s="28"/>
      <c r="P2018" s="28"/>
      <c r="Q2018" s="28"/>
      <c r="R2018" s="28"/>
      <c r="S2018" s="28"/>
    </row>
    <row r="2019">
      <c r="A2019" s="17">
        <v>46010.0</v>
      </c>
      <c r="B2019" s="18" t="s">
        <v>61</v>
      </c>
      <c r="C2019" s="18" t="s">
        <v>65</v>
      </c>
      <c r="D2019" s="19"/>
      <c r="E2019" s="19"/>
      <c r="F2019" s="20">
        <f t="shared" si="24"/>
        <v>0</v>
      </c>
      <c r="G2019" s="67">
        <f>IFERROR(VLOOKUP(B2019,DADOS!$A$2:$H$252,8,0),"")</f>
        <v>112</v>
      </c>
      <c r="H2019" s="22">
        <v>122.0</v>
      </c>
      <c r="I2019" s="23">
        <f>IFERROR(VLOOKUP(B2019,DADOS!$A$2:$H$252,4,0)*H2019,"")</f>
        <v>1.82756</v>
      </c>
      <c r="J2019" s="24">
        <v>1.0</v>
      </c>
      <c r="K2019" s="25">
        <f>IFERROR(VLOOKUP(B2019,DADOS!$A$2:$H$252,4,0)*J2019,"")</f>
        <v>0.01498</v>
      </c>
      <c r="L2019" s="26">
        <f t="shared" si="23"/>
        <v>0</v>
      </c>
      <c r="M2019" s="27"/>
      <c r="N2019" s="30"/>
      <c r="O2019" s="28"/>
      <c r="P2019" s="28"/>
      <c r="Q2019" s="28"/>
      <c r="R2019" s="28"/>
      <c r="S2019" s="28"/>
    </row>
    <row r="2020">
      <c r="A2020" s="17">
        <v>46010.0</v>
      </c>
      <c r="B2020" s="18" t="s">
        <v>126</v>
      </c>
      <c r="C2020" s="18" t="s">
        <v>65</v>
      </c>
      <c r="D2020" s="19"/>
      <c r="E2020" s="19"/>
      <c r="F2020" s="20">
        <f t="shared" si="24"/>
        <v>0</v>
      </c>
      <c r="G2020" s="67">
        <f>IFERROR(VLOOKUP(B2020,DADOS!$A$2:$H$252,8,0),"")</f>
        <v>100</v>
      </c>
      <c r="H2020" s="22">
        <v>60.0</v>
      </c>
      <c r="I2020" s="23">
        <f>IFERROR(VLOOKUP(B2020,DADOS!$A$2:$H$252,4,0)*H2020,"")</f>
        <v>3.1779</v>
      </c>
      <c r="J2020" s="36"/>
      <c r="K2020" s="25">
        <f>IFERROR(VLOOKUP(B2020,DADOS!$A$2:$H$252,4,0)*J2020,"")</f>
        <v>0</v>
      </c>
      <c r="L2020" s="26">
        <f t="shared" si="23"/>
        <v>0</v>
      </c>
      <c r="M2020" s="27"/>
      <c r="N2020" s="30"/>
      <c r="O2020" s="28"/>
      <c r="P2020" s="28"/>
      <c r="Q2020" s="28"/>
      <c r="R2020" s="28"/>
      <c r="S2020" s="28"/>
    </row>
    <row r="2021">
      <c r="A2021" s="17">
        <v>46010.0</v>
      </c>
      <c r="B2021" s="18" t="s">
        <v>18</v>
      </c>
      <c r="C2021" s="18" t="s">
        <v>165</v>
      </c>
      <c r="D2021" s="19"/>
      <c r="E2021" s="19"/>
      <c r="F2021" s="20">
        <f t="shared" si="24"/>
        <v>0</v>
      </c>
      <c r="G2021" s="67">
        <f>IFERROR(VLOOKUP(B2021,DADOS!$A$2:$H$252,8,0),"")</f>
        <v>21</v>
      </c>
      <c r="H2021" s="22">
        <v>43.0</v>
      </c>
      <c r="I2021" s="23">
        <f>IFERROR(VLOOKUP(B2021,DADOS!$A$2:$H$252,4,0)*H2021,"")</f>
        <v>12.597538</v>
      </c>
      <c r="J2021" s="36"/>
      <c r="K2021" s="25">
        <f>IFERROR(VLOOKUP(B2021,DADOS!$A$2:$H$252,4,0)*J2021,"")</f>
        <v>0</v>
      </c>
      <c r="L2021" s="26">
        <f t="shared" si="23"/>
        <v>0</v>
      </c>
      <c r="M2021" s="27"/>
      <c r="N2021" s="30"/>
      <c r="O2021" s="28"/>
      <c r="P2021" s="28"/>
      <c r="Q2021" s="28"/>
      <c r="R2021" s="28"/>
      <c r="S2021" s="28"/>
    </row>
    <row r="2022">
      <c r="A2022" s="17">
        <v>46011.0</v>
      </c>
      <c r="B2022" s="18" t="s">
        <v>71</v>
      </c>
      <c r="C2022" s="18" t="s">
        <v>193</v>
      </c>
      <c r="D2022" s="19"/>
      <c r="E2022" s="19"/>
      <c r="F2022" s="20">
        <f t="shared" si="24"/>
        <v>0</v>
      </c>
      <c r="G2022" s="67">
        <f>IFERROR(VLOOKUP(B2022,DADOS!$A$2:$H$252,8,0),"")</f>
        <v>7</v>
      </c>
      <c r="H2022" s="22">
        <v>7.0</v>
      </c>
      <c r="I2022" s="23">
        <f>IFERROR(VLOOKUP(B2022,DADOS!$A$2:$H$252,4,0)*H2022,"")</f>
        <v>9.8168434</v>
      </c>
      <c r="J2022" s="24">
        <v>1.0</v>
      </c>
      <c r="K2022" s="25">
        <f>IFERROR(VLOOKUP(B2022,DADOS!$A$2:$H$252,4,0)*J2022,"")</f>
        <v>1.4024062</v>
      </c>
      <c r="L2022" s="26">
        <f t="shared" si="23"/>
        <v>0</v>
      </c>
      <c r="M2022" s="27"/>
      <c r="N2022" s="30"/>
      <c r="O2022" s="28"/>
      <c r="P2022" s="28"/>
      <c r="Q2022" s="28"/>
      <c r="R2022" s="28"/>
      <c r="S2022" s="28"/>
    </row>
    <row r="2023">
      <c r="A2023" s="17">
        <v>46013.0</v>
      </c>
      <c r="B2023" s="18" t="s">
        <v>71</v>
      </c>
      <c r="C2023" s="18" t="s">
        <v>166</v>
      </c>
      <c r="D2023" s="19"/>
      <c r="E2023" s="19"/>
      <c r="F2023" s="20">
        <f t="shared" si="24"/>
        <v>0</v>
      </c>
      <c r="G2023" s="67">
        <f>IFERROR(VLOOKUP(B2023,DADOS!$A$2:$H$252,8,0),"")</f>
        <v>7</v>
      </c>
      <c r="H2023" s="22">
        <v>23.0</v>
      </c>
      <c r="I2023" s="23">
        <f>IFERROR(VLOOKUP(B2023,DADOS!$A$2:$H$252,4,0)*H2023,"")</f>
        <v>32.2553426</v>
      </c>
      <c r="J2023" s="36"/>
      <c r="K2023" s="25">
        <f>IFERROR(VLOOKUP(B2023,DADOS!$A$2:$H$252,4,0)*J2023,"")</f>
        <v>0</v>
      </c>
      <c r="L2023" s="26">
        <f t="shared" si="23"/>
        <v>0</v>
      </c>
      <c r="M2023" s="27"/>
      <c r="N2023" s="30"/>
      <c r="O2023" s="28"/>
      <c r="P2023" s="28"/>
      <c r="Q2023" s="28"/>
      <c r="R2023" s="28"/>
      <c r="S2023" s="28"/>
    </row>
    <row r="2024">
      <c r="A2024" s="17">
        <v>46013.0</v>
      </c>
      <c r="B2024" s="18" t="s">
        <v>215</v>
      </c>
      <c r="C2024" s="18" t="s">
        <v>19</v>
      </c>
      <c r="D2024" s="19"/>
      <c r="E2024" s="19"/>
      <c r="F2024" s="20">
        <f t="shared" si="24"/>
        <v>0</v>
      </c>
      <c r="G2024" s="67">
        <f>IFERROR(VLOOKUP(B2024,DADOS!$A$2:$H$252,8,0),"")</f>
        <v>43</v>
      </c>
      <c r="H2024" s="22">
        <v>5.0</v>
      </c>
      <c r="I2024" s="23">
        <f>IFERROR(VLOOKUP(B2024,DADOS!$A$2:$H$252,4,0)*H2024,"")</f>
        <v>0.191744</v>
      </c>
      <c r="J2024" s="36"/>
      <c r="K2024" s="25">
        <f>IFERROR(VLOOKUP(B2024,DADOS!$A$2:$H$252,4,0)*J2024,"")</f>
        <v>0</v>
      </c>
      <c r="L2024" s="26">
        <f t="shared" si="23"/>
        <v>0</v>
      </c>
      <c r="M2024" s="27"/>
      <c r="N2024" s="30"/>
      <c r="O2024" s="28"/>
      <c r="P2024" s="28"/>
      <c r="Q2024" s="28"/>
      <c r="R2024" s="28"/>
      <c r="S2024" s="28"/>
    </row>
    <row r="2025">
      <c r="A2025" s="17">
        <v>46013.0</v>
      </c>
      <c r="B2025" s="18" t="s">
        <v>16</v>
      </c>
      <c r="C2025" s="18" t="s">
        <v>65</v>
      </c>
      <c r="D2025" s="19"/>
      <c r="E2025" s="19"/>
      <c r="F2025" s="20">
        <f t="shared" si="24"/>
        <v>0</v>
      </c>
      <c r="G2025" s="67">
        <f>IFERROR(VLOOKUP(B2025,DADOS!$A$2:$H$252,8,0),"")</f>
        <v>150</v>
      </c>
      <c r="H2025" s="22">
        <v>190.0</v>
      </c>
      <c r="I2025" s="23">
        <f>IFERROR(VLOOKUP(B2025,DADOS!$A$2:$H$252,4,0)*H2025,"")</f>
        <v>5.497232</v>
      </c>
      <c r="J2025" s="24">
        <v>1.0</v>
      </c>
      <c r="K2025" s="25">
        <f>IFERROR(VLOOKUP(B2025,DADOS!$A$2:$H$252,4,0)*J2025,"")</f>
        <v>0.0289328</v>
      </c>
      <c r="L2025" s="26">
        <f t="shared" si="23"/>
        <v>0</v>
      </c>
      <c r="M2025" s="27"/>
      <c r="N2025" s="30"/>
      <c r="O2025" s="28"/>
      <c r="P2025" s="28"/>
      <c r="Q2025" s="28"/>
      <c r="R2025" s="28"/>
      <c r="S2025" s="28"/>
    </row>
    <row r="2026">
      <c r="A2026" s="17">
        <v>46013.0</v>
      </c>
      <c r="B2026" s="18" t="s">
        <v>61</v>
      </c>
      <c r="C2026" s="18" t="s">
        <v>65</v>
      </c>
      <c r="D2026" s="19"/>
      <c r="E2026" s="19"/>
      <c r="F2026" s="20">
        <f t="shared" si="24"/>
        <v>0</v>
      </c>
      <c r="G2026" s="67">
        <f>IFERROR(VLOOKUP(B2026,DADOS!$A$2:$H$252,8,0),"")</f>
        <v>112</v>
      </c>
      <c r="H2026" s="22">
        <v>26.0</v>
      </c>
      <c r="I2026" s="23">
        <f>IFERROR(VLOOKUP(B2026,DADOS!$A$2:$H$252,4,0)*H2026,"")</f>
        <v>0.38948</v>
      </c>
      <c r="J2026" s="24">
        <v>1.0</v>
      </c>
      <c r="K2026" s="25">
        <f>IFERROR(VLOOKUP(B2026,DADOS!$A$2:$H$252,4,0)*J2026,"")</f>
        <v>0.01498</v>
      </c>
      <c r="L2026" s="26">
        <f t="shared" si="23"/>
        <v>0</v>
      </c>
      <c r="M2026" s="27"/>
      <c r="N2026" s="30"/>
      <c r="O2026" s="28"/>
      <c r="P2026" s="28"/>
      <c r="Q2026" s="28"/>
      <c r="R2026" s="28"/>
      <c r="S2026" s="28"/>
    </row>
    <row r="2027">
      <c r="A2027" s="17">
        <v>46013.0</v>
      </c>
      <c r="B2027" s="18" t="s">
        <v>24</v>
      </c>
      <c r="C2027" s="18" t="s">
        <v>165</v>
      </c>
      <c r="D2027" s="19"/>
      <c r="E2027" s="19"/>
      <c r="F2027" s="20">
        <f t="shared" si="24"/>
        <v>0</v>
      </c>
      <c r="G2027" s="67">
        <f>IFERROR(VLOOKUP(B2027,DADOS!$A$2:$H$252,8,0),"")</f>
        <v>37</v>
      </c>
      <c r="H2027" s="22">
        <v>45.0</v>
      </c>
      <c r="I2027" s="23">
        <f>IFERROR(VLOOKUP(B2027,DADOS!$A$2:$H$252,4,0)*H2027,"")</f>
        <v>5.127012</v>
      </c>
      <c r="J2027" s="24">
        <v>5.0</v>
      </c>
      <c r="K2027" s="25">
        <f>IFERROR(VLOOKUP(B2027,DADOS!$A$2:$H$252,4,0)*J2027,"")</f>
        <v>0.569668</v>
      </c>
      <c r="L2027" s="26">
        <f t="shared" si="23"/>
        <v>0</v>
      </c>
      <c r="M2027" s="27"/>
      <c r="N2027" s="30"/>
      <c r="O2027" s="28"/>
      <c r="P2027" s="28"/>
      <c r="Q2027" s="28"/>
      <c r="R2027" s="28"/>
      <c r="S2027" s="28"/>
    </row>
    <row r="2028">
      <c r="A2028" s="17">
        <v>46013.0</v>
      </c>
      <c r="B2028" s="18" t="s">
        <v>25</v>
      </c>
      <c r="C2028" s="18" t="s">
        <v>165</v>
      </c>
      <c r="D2028" s="19"/>
      <c r="E2028" s="19"/>
      <c r="F2028" s="20">
        <f t="shared" si="24"/>
        <v>0</v>
      </c>
      <c r="G2028" s="67">
        <f>IFERROR(VLOOKUP(B2028,DADOS!$A$2:$H$252,8,0),"")</f>
        <v>40</v>
      </c>
      <c r="H2028" s="22">
        <v>6.0</v>
      </c>
      <c r="I2028" s="23">
        <f>IFERROR(VLOOKUP(B2028,DADOS!$A$2:$H$252,4,0)*H2028,"")</f>
        <v>0.621456</v>
      </c>
      <c r="J2028" s="36"/>
      <c r="K2028" s="25">
        <f>IFERROR(VLOOKUP(B2028,DADOS!$A$2:$H$252,4,0)*J2028,"")</f>
        <v>0</v>
      </c>
      <c r="L2028" s="26">
        <f t="shared" si="23"/>
        <v>0</v>
      </c>
      <c r="M2028" s="27"/>
      <c r="N2028" s="30"/>
      <c r="O2028" s="28"/>
      <c r="P2028" s="28"/>
      <c r="Q2028" s="28"/>
      <c r="R2028" s="28"/>
      <c r="S2028" s="28"/>
    </row>
    <row r="2029">
      <c r="A2029" s="17">
        <v>46014.0</v>
      </c>
      <c r="B2029" s="18" t="s">
        <v>26</v>
      </c>
      <c r="C2029" s="18" t="s">
        <v>166</v>
      </c>
      <c r="D2029" s="19"/>
      <c r="E2029" s="19"/>
      <c r="F2029" s="20">
        <f t="shared" si="24"/>
        <v>0</v>
      </c>
      <c r="G2029" s="67">
        <f>IFERROR(VLOOKUP(B2029,DADOS!$A$2:$H$252,8,0),"")</f>
        <v>50</v>
      </c>
      <c r="H2029" s="22">
        <v>116.0</v>
      </c>
      <c r="I2029" s="23">
        <f>IFERROR(VLOOKUP(B2029,DADOS!$A$2:$H$252,4,0)*H2029,"")</f>
        <v>13.2162976</v>
      </c>
      <c r="J2029" s="36"/>
      <c r="K2029" s="25">
        <f>IFERROR(VLOOKUP(B2029,DADOS!$A$2:$H$252,4,0)*J2029,"")</f>
        <v>0</v>
      </c>
      <c r="L2029" s="26">
        <f t="shared" si="23"/>
        <v>0</v>
      </c>
      <c r="M2029" s="27"/>
      <c r="N2029" s="30"/>
      <c r="O2029" s="28"/>
      <c r="P2029" s="28"/>
      <c r="Q2029" s="28"/>
      <c r="R2029" s="28"/>
      <c r="S2029" s="28"/>
    </row>
    <row r="2030">
      <c r="A2030" s="17">
        <v>46014.0</v>
      </c>
      <c r="B2030" s="18" t="s">
        <v>25</v>
      </c>
      <c r="C2030" s="18" t="s">
        <v>165</v>
      </c>
      <c r="D2030" s="19"/>
      <c r="E2030" s="19"/>
      <c r="F2030" s="20">
        <f t="shared" si="24"/>
        <v>0</v>
      </c>
      <c r="G2030" s="67">
        <f>IFERROR(VLOOKUP(B2030,DADOS!$A$2:$H$252,8,0),"")</f>
        <v>40</v>
      </c>
      <c r="H2030" s="22">
        <v>93.0</v>
      </c>
      <c r="I2030" s="23">
        <f>IFERROR(VLOOKUP(B2030,DADOS!$A$2:$H$252,4,0)*H2030,"")</f>
        <v>9.632568</v>
      </c>
      <c r="J2030" s="24">
        <v>1.0</v>
      </c>
      <c r="K2030" s="25">
        <f>IFERROR(VLOOKUP(B2030,DADOS!$A$2:$H$252,4,0)*J2030,"")</f>
        <v>0.103576</v>
      </c>
      <c r="L2030" s="26">
        <f t="shared" si="23"/>
        <v>0</v>
      </c>
      <c r="M2030" s="27"/>
      <c r="N2030" s="30"/>
      <c r="O2030" s="28"/>
      <c r="P2030" s="28"/>
      <c r="Q2030" s="28"/>
      <c r="R2030" s="28"/>
      <c r="S2030" s="28"/>
    </row>
    <row r="2031">
      <c r="A2031" s="17">
        <v>46014.0</v>
      </c>
      <c r="B2031" s="18" t="s">
        <v>35</v>
      </c>
      <c r="C2031" s="18" t="s">
        <v>165</v>
      </c>
      <c r="D2031" s="19"/>
      <c r="E2031" s="19"/>
      <c r="F2031" s="20">
        <f t="shared" si="24"/>
        <v>0</v>
      </c>
      <c r="G2031" s="67">
        <f>IFERROR(VLOOKUP(B2031,DADOS!$A$2:$H$252,8,0),"")</f>
        <v>30</v>
      </c>
      <c r="H2031" s="22">
        <v>6.0</v>
      </c>
      <c r="I2031" s="23">
        <f>IFERROR(VLOOKUP(B2031,DADOS!$A$2:$H$252,4,0)*H2031,"")</f>
        <v>1.0296396</v>
      </c>
      <c r="J2031" s="24">
        <v>2.0</v>
      </c>
      <c r="K2031" s="25">
        <f>IFERROR(VLOOKUP(B2031,DADOS!$A$2:$H$252,4,0)*J2031,"")</f>
        <v>0.3432132</v>
      </c>
      <c r="L2031" s="26">
        <f t="shared" si="23"/>
        <v>0</v>
      </c>
      <c r="M2031" s="27"/>
      <c r="N2031" s="30"/>
      <c r="O2031" s="28"/>
      <c r="P2031" s="28"/>
      <c r="Q2031" s="28"/>
      <c r="R2031" s="28"/>
      <c r="S2031" s="28"/>
    </row>
    <row r="2032">
      <c r="A2032" s="17">
        <v>46020.0</v>
      </c>
      <c r="B2032" s="18" t="s">
        <v>35</v>
      </c>
      <c r="C2032" s="18" t="s">
        <v>165</v>
      </c>
      <c r="D2032" s="19"/>
      <c r="E2032" s="19"/>
      <c r="F2032" s="20">
        <f t="shared" si="24"/>
        <v>0</v>
      </c>
      <c r="G2032" s="67">
        <f>IFERROR(VLOOKUP(B2032,DADOS!$A$2:$H$252,8,0),"")</f>
        <v>30</v>
      </c>
      <c r="H2032" s="22">
        <v>19.0</v>
      </c>
      <c r="I2032" s="23">
        <f>IFERROR(VLOOKUP(B2032,DADOS!$A$2:$H$252,4,0)*H2032,"")</f>
        <v>3.2605254</v>
      </c>
      <c r="J2032" s="36"/>
      <c r="K2032" s="25">
        <f>IFERROR(VLOOKUP(B2032,DADOS!$A$2:$H$252,4,0)*J2032,"")</f>
        <v>0</v>
      </c>
      <c r="L2032" s="26">
        <f t="shared" si="23"/>
        <v>0</v>
      </c>
      <c r="M2032" s="27"/>
      <c r="N2032" s="30"/>
      <c r="O2032" s="28"/>
      <c r="P2032" s="28"/>
      <c r="Q2032" s="28"/>
      <c r="R2032" s="28"/>
      <c r="S2032" s="28"/>
    </row>
    <row r="2033">
      <c r="A2033" s="17">
        <v>46027.0</v>
      </c>
      <c r="B2033" s="18" t="s">
        <v>35</v>
      </c>
      <c r="C2033" s="18" t="s">
        <v>165</v>
      </c>
      <c r="D2033" s="19"/>
      <c r="E2033" s="19"/>
      <c r="F2033" s="20">
        <f t="shared" si="24"/>
        <v>0</v>
      </c>
      <c r="G2033" s="67">
        <f>IFERROR(VLOOKUP(B2033,DADOS!$A$2:$H$252,8,0),"")</f>
        <v>30</v>
      </c>
      <c r="H2033" s="22">
        <v>72.0</v>
      </c>
      <c r="I2033" s="23">
        <f>IFERROR(VLOOKUP(B2033,DADOS!$A$2:$H$252,4,0)*H2033,"")</f>
        <v>12.3556752</v>
      </c>
      <c r="J2033" s="36"/>
      <c r="K2033" s="25">
        <f>IFERROR(VLOOKUP(B2033,DADOS!$A$2:$H$252,4,0)*J2033,"")</f>
        <v>0</v>
      </c>
      <c r="L2033" s="26">
        <f t="shared" si="23"/>
        <v>0</v>
      </c>
      <c r="M2033" s="27"/>
      <c r="N2033" s="30"/>
      <c r="O2033" s="28"/>
      <c r="P2033" s="28"/>
      <c r="Q2033" s="28"/>
      <c r="R2033" s="28"/>
      <c r="S2033" s="28"/>
    </row>
    <row r="2034">
      <c r="A2034" s="17">
        <v>46027.0</v>
      </c>
      <c r="B2034" s="18" t="s">
        <v>182</v>
      </c>
      <c r="C2034" s="18" t="s">
        <v>165</v>
      </c>
      <c r="D2034" s="19"/>
      <c r="E2034" s="19"/>
      <c r="F2034" s="20">
        <f t="shared" si="24"/>
        <v>0</v>
      </c>
      <c r="G2034" s="67">
        <f>IFERROR(VLOOKUP(B2034,DADOS!$A$2:$H$252,8,0),"")</f>
        <v>120</v>
      </c>
      <c r="H2034" s="22">
        <v>13.0</v>
      </c>
      <c r="I2034" s="23">
        <f>IFERROR(VLOOKUP(B2034,DADOS!$A$2:$H$252,4,0)*H2034,"")</f>
        <v>4.231422</v>
      </c>
      <c r="J2034" s="36"/>
      <c r="K2034" s="25">
        <f>IFERROR(VLOOKUP(B2034,DADOS!$A$2:$H$252,4,0)*J2034,"")</f>
        <v>0</v>
      </c>
      <c r="L2034" s="26">
        <f t="shared" si="23"/>
        <v>0</v>
      </c>
      <c r="M2034" s="27"/>
      <c r="N2034" s="30"/>
      <c r="O2034" s="28"/>
      <c r="P2034" s="28"/>
      <c r="Q2034" s="28"/>
      <c r="R2034" s="28"/>
      <c r="S2034" s="28"/>
    </row>
    <row r="2035">
      <c r="A2035" s="17">
        <v>46028.0</v>
      </c>
      <c r="B2035" s="18" t="s">
        <v>35</v>
      </c>
      <c r="C2035" s="18" t="s">
        <v>165</v>
      </c>
      <c r="D2035" s="19"/>
      <c r="E2035" s="19"/>
      <c r="F2035" s="20">
        <f t="shared" si="24"/>
        <v>0</v>
      </c>
      <c r="G2035" s="67">
        <f>IFERROR(VLOOKUP(B2035,DADOS!$A$2:$H$252,8,0),"")</f>
        <v>30</v>
      </c>
      <c r="H2035" s="22">
        <v>46.0</v>
      </c>
      <c r="I2035" s="23">
        <f>IFERROR(VLOOKUP(B2035,DADOS!$A$2:$H$252,4,0)*H2035,"")</f>
        <v>7.8939036</v>
      </c>
      <c r="J2035" s="36"/>
      <c r="K2035" s="25">
        <f>IFERROR(VLOOKUP(B2035,DADOS!$A$2:$H$252,4,0)*J2035,"")</f>
        <v>0</v>
      </c>
      <c r="L2035" s="26">
        <f t="shared" si="23"/>
        <v>0</v>
      </c>
      <c r="M2035" s="27"/>
      <c r="N2035" s="30"/>
      <c r="O2035" s="99"/>
      <c r="P2035" s="99"/>
      <c r="Q2035" s="99"/>
      <c r="R2035" s="99"/>
      <c r="S2035" s="99"/>
      <c r="T2035" s="100"/>
      <c r="U2035" s="100"/>
      <c r="V2035" s="100"/>
      <c r="W2035" s="100"/>
      <c r="X2035" s="100"/>
      <c r="Y2035" s="100"/>
      <c r="Z2035" s="100"/>
      <c r="AA2035" s="100"/>
      <c r="AB2035" s="100"/>
      <c r="AC2035" s="100"/>
      <c r="AD2035" s="100"/>
      <c r="AE2035" s="100"/>
      <c r="AF2035" s="100"/>
      <c r="AG2035" s="100"/>
      <c r="AH2035" s="100"/>
      <c r="AI2035" s="100"/>
      <c r="AJ2035" s="100"/>
    </row>
    <row r="2036">
      <c r="A2036" s="17">
        <v>46028.0</v>
      </c>
      <c r="B2036" s="18" t="s">
        <v>137</v>
      </c>
      <c r="C2036" s="18" t="s">
        <v>165</v>
      </c>
      <c r="D2036" s="19"/>
      <c r="E2036" s="19"/>
      <c r="F2036" s="20">
        <f t="shared" si="24"/>
        <v>0</v>
      </c>
      <c r="G2036" s="67">
        <f>IFERROR(VLOOKUP(B2036,DADOS!$A$2:$H$252,8,0),"")</f>
        <v>12</v>
      </c>
      <c r="H2036" s="22">
        <v>13.0</v>
      </c>
      <c r="I2036" s="23">
        <f>IFERROR(VLOOKUP(B2036,DADOS!$A$2:$H$252,4,0)*H2036,"")</f>
        <v>1.4811368</v>
      </c>
      <c r="J2036" s="24">
        <v>1.0</v>
      </c>
      <c r="K2036" s="25">
        <f>IFERROR(VLOOKUP(B2036,DADOS!$A$2:$H$252,4,0)*J2036,"")</f>
        <v>0.1139336</v>
      </c>
      <c r="L2036" s="26">
        <f t="shared" si="23"/>
        <v>0</v>
      </c>
      <c r="M2036" s="27"/>
      <c r="N2036" s="30"/>
      <c r="O2036" s="28"/>
      <c r="P2036" s="28"/>
      <c r="Q2036" s="28"/>
      <c r="R2036" s="28"/>
      <c r="S2036" s="28"/>
    </row>
    <row r="2037">
      <c r="A2037" s="17">
        <v>46029.0</v>
      </c>
      <c r="B2037" s="18" t="s">
        <v>137</v>
      </c>
      <c r="C2037" s="18" t="s">
        <v>165</v>
      </c>
      <c r="D2037" s="19"/>
      <c r="E2037" s="19"/>
      <c r="F2037" s="20">
        <f t="shared" si="24"/>
        <v>0</v>
      </c>
      <c r="G2037" s="67">
        <f>IFERROR(VLOOKUP(B2037,DADOS!$A$2:$H$252,8,0),"")</f>
        <v>12</v>
      </c>
      <c r="H2037" s="22">
        <v>33.0</v>
      </c>
      <c r="I2037" s="23">
        <f>IFERROR(VLOOKUP(B2037,DADOS!$A$2:$H$252,4,0)*H2037,"")</f>
        <v>3.7598088</v>
      </c>
      <c r="J2037" s="24">
        <v>4.0</v>
      </c>
      <c r="K2037" s="25">
        <f>IFERROR(VLOOKUP(B2037,DADOS!$A$2:$H$252,4,0)*J2037,"")</f>
        <v>0.4557344</v>
      </c>
      <c r="L2037" s="26">
        <f t="shared" si="23"/>
        <v>0</v>
      </c>
      <c r="M2037" s="27"/>
      <c r="N2037" s="30"/>
      <c r="O2037" s="28"/>
      <c r="P2037" s="28"/>
      <c r="Q2037" s="28"/>
      <c r="R2037" s="28"/>
      <c r="S2037" s="28"/>
    </row>
    <row r="2038">
      <c r="A2038" s="17">
        <v>46029.0</v>
      </c>
      <c r="B2038" s="18" t="s">
        <v>18</v>
      </c>
      <c r="C2038" s="18" t="s">
        <v>165</v>
      </c>
      <c r="D2038" s="19"/>
      <c r="E2038" s="19"/>
      <c r="F2038" s="20">
        <f t="shared" si="24"/>
        <v>0</v>
      </c>
      <c r="G2038" s="67">
        <f>IFERROR(VLOOKUP(B2038,DADOS!$A$2:$H$252,8,0),"")</f>
        <v>21</v>
      </c>
      <c r="H2038" s="22">
        <v>23.0</v>
      </c>
      <c r="I2038" s="23">
        <f>IFERROR(VLOOKUP(B2038,DADOS!$A$2:$H$252,4,0)*H2038,"")</f>
        <v>6.738218</v>
      </c>
      <c r="J2038" s="36"/>
      <c r="K2038" s="25">
        <f>IFERROR(VLOOKUP(B2038,DADOS!$A$2:$H$252,4,0)*J2038,"")</f>
        <v>0</v>
      </c>
      <c r="L2038" s="26">
        <f t="shared" si="23"/>
        <v>0</v>
      </c>
      <c r="M2038" s="27"/>
      <c r="N2038" s="30"/>
      <c r="O2038" s="28"/>
      <c r="P2038" s="28"/>
      <c r="Q2038" s="28"/>
      <c r="R2038" s="28"/>
      <c r="S2038" s="28"/>
    </row>
    <row r="2039">
      <c r="A2039" s="17">
        <v>46030.0</v>
      </c>
      <c r="B2039" s="18" t="s">
        <v>18</v>
      </c>
      <c r="C2039" s="18" t="s">
        <v>165</v>
      </c>
      <c r="D2039" s="19"/>
      <c r="E2039" s="19"/>
      <c r="F2039" s="20">
        <f t="shared" si="24"/>
        <v>0</v>
      </c>
      <c r="G2039" s="67">
        <f>IFERROR(VLOOKUP(B2039,DADOS!$A$2:$H$252,8,0),"")</f>
        <v>21</v>
      </c>
      <c r="H2039" s="22">
        <v>77.0</v>
      </c>
      <c r="I2039" s="23">
        <f>IFERROR(VLOOKUP(B2039,DADOS!$A$2:$H$252,4,0)*H2039,"")</f>
        <v>22.558382</v>
      </c>
      <c r="J2039" s="36"/>
      <c r="K2039" s="25">
        <f>IFERROR(VLOOKUP(B2039,DADOS!$A$2:$H$252,4,0)*J2039,"")</f>
        <v>0</v>
      </c>
      <c r="L2039" s="26">
        <f t="shared" si="23"/>
        <v>0</v>
      </c>
      <c r="M2039" s="27"/>
      <c r="N2039" s="30"/>
      <c r="O2039" s="28"/>
      <c r="P2039" s="28"/>
      <c r="Q2039" s="28"/>
      <c r="R2039" s="28"/>
      <c r="S2039" s="28"/>
    </row>
    <row r="2040">
      <c r="A2040" s="17">
        <v>46031.0</v>
      </c>
      <c r="B2040" s="18" t="s">
        <v>47</v>
      </c>
      <c r="C2040" s="18" t="s">
        <v>165</v>
      </c>
      <c r="D2040" s="19"/>
      <c r="E2040" s="19"/>
      <c r="F2040" s="20">
        <f t="shared" si="24"/>
        <v>0</v>
      </c>
      <c r="G2040" s="67">
        <f>IFERROR(VLOOKUP(B2040,DADOS!$A$2:$H$252,8,0),"")</f>
        <v>35</v>
      </c>
      <c r="H2040" s="22">
        <v>24.0</v>
      </c>
      <c r="I2040" s="23">
        <f>IFERROR(VLOOKUP(B2040,DADOS!$A$2:$H$252,4,0)*H2040,"")</f>
        <v>2.7344064</v>
      </c>
      <c r="J2040" s="24">
        <v>6.0</v>
      </c>
      <c r="K2040" s="25">
        <f>IFERROR(VLOOKUP(B2040,DADOS!$A$2:$H$252,4,0)*J2040,"")</f>
        <v>0.6836016</v>
      </c>
      <c r="L2040" s="26">
        <f t="shared" si="23"/>
        <v>0</v>
      </c>
      <c r="M2040" s="27"/>
      <c r="N2040" s="30"/>
      <c r="O2040" s="28"/>
      <c r="P2040" s="28"/>
      <c r="Q2040" s="28"/>
      <c r="R2040" s="28"/>
      <c r="S2040" s="28"/>
    </row>
    <row r="2041">
      <c r="A2041" s="17">
        <v>46031.0</v>
      </c>
      <c r="B2041" s="18" t="s">
        <v>122</v>
      </c>
      <c r="C2041" s="18" t="s">
        <v>165</v>
      </c>
      <c r="D2041" s="19"/>
      <c r="E2041" s="19"/>
      <c r="F2041" s="20">
        <f t="shared" si="24"/>
        <v>0</v>
      </c>
      <c r="G2041" s="67">
        <f>IFERROR(VLOOKUP(B2041,DADOS!$A$2:$H$252,8,0),"")</f>
        <v>17</v>
      </c>
      <c r="H2041" s="22">
        <v>50.0</v>
      </c>
      <c r="I2041" s="23">
        <f>IFERROR(VLOOKUP(B2041,DADOS!$A$2:$H$252,4,0)*H2041,"")</f>
        <v>8.58033</v>
      </c>
      <c r="J2041" s="36"/>
      <c r="K2041" s="25">
        <f>IFERROR(VLOOKUP(B2041,DADOS!$A$2:$H$252,4,0)*J2041,"")</f>
        <v>0</v>
      </c>
      <c r="L2041" s="26">
        <f t="shared" si="23"/>
        <v>0</v>
      </c>
      <c r="M2041" s="27"/>
      <c r="N2041" s="30"/>
      <c r="O2041" s="28"/>
      <c r="P2041" s="28"/>
      <c r="Q2041" s="28"/>
      <c r="R2041" s="28"/>
      <c r="S2041" s="28"/>
    </row>
    <row r="2042">
      <c r="A2042" s="17">
        <v>46032.0</v>
      </c>
      <c r="B2042" s="18" t="s">
        <v>71</v>
      </c>
      <c r="C2042" s="18" t="s">
        <v>193</v>
      </c>
      <c r="D2042" s="19"/>
      <c r="E2042" s="19"/>
      <c r="F2042" s="20">
        <f t="shared" si="24"/>
        <v>0</v>
      </c>
      <c r="G2042" s="67">
        <f>IFERROR(VLOOKUP(B2042,DADOS!$A$2:$H$252,8,0),"")</f>
        <v>7</v>
      </c>
      <c r="H2042" s="22">
        <v>30.0</v>
      </c>
      <c r="I2042" s="23">
        <f>IFERROR(VLOOKUP(B2042,DADOS!$A$2:$H$252,4,0)*H2042,"")</f>
        <v>42.072186</v>
      </c>
      <c r="J2042" s="36"/>
      <c r="K2042" s="25">
        <f>IFERROR(VLOOKUP(B2042,DADOS!$A$2:$H$252,4,0)*J2042,"")</f>
        <v>0</v>
      </c>
      <c r="L2042" s="26">
        <f t="shared" si="23"/>
        <v>0</v>
      </c>
      <c r="M2042" s="27"/>
      <c r="N2042" s="30"/>
      <c r="O2042" s="28"/>
      <c r="P2042" s="28"/>
      <c r="Q2042" s="28"/>
      <c r="R2042" s="28"/>
      <c r="S2042" s="28"/>
    </row>
    <row r="2043">
      <c r="A2043" s="17">
        <v>46034.0</v>
      </c>
      <c r="B2043" s="18" t="s">
        <v>186</v>
      </c>
      <c r="C2043" s="18" t="s">
        <v>165</v>
      </c>
      <c r="D2043" s="19"/>
      <c r="E2043" s="19"/>
      <c r="F2043" s="20">
        <f t="shared" si="24"/>
        <v>0</v>
      </c>
      <c r="G2043" s="67">
        <f>IFERROR(VLOOKUP(B2043,DADOS!$A$2:$H$252,8,0),"")</f>
        <v>25</v>
      </c>
      <c r="H2043" s="22">
        <v>28.0</v>
      </c>
      <c r="I2043" s="23">
        <f>IFERROR(VLOOKUP(B2043,DADOS!$A$2:$H$252,4,0)*H2043,"")</f>
        <v>7.765632</v>
      </c>
      <c r="J2043" s="24">
        <v>2.0</v>
      </c>
      <c r="K2043" s="25">
        <f>IFERROR(VLOOKUP(B2043,DADOS!$A$2:$H$252,4,0)*J2043,"")</f>
        <v>0.554688</v>
      </c>
      <c r="L2043" s="26">
        <f t="shared" si="23"/>
        <v>0</v>
      </c>
      <c r="M2043" s="27"/>
      <c r="N2043" s="30"/>
      <c r="O2043" s="28"/>
      <c r="P2043" s="28"/>
      <c r="Q2043" s="28"/>
      <c r="R2043" s="28"/>
      <c r="S2043" s="28"/>
    </row>
    <row r="2044">
      <c r="A2044" s="17">
        <v>46034.0</v>
      </c>
      <c r="B2044" s="18" t="s">
        <v>78</v>
      </c>
      <c r="C2044" s="18" t="s">
        <v>165</v>
      </c>
      <c r="D2044" s="19"/>
      <c r="E2044" s="19"/>
      <c r="F2044" s="20">
        <f t="shared" si="24"/>
        <v>0</v>
      </c>
      <c r="G2044" s="67">
        <f>IFERROR(VLOOKUP(B2044,DADOS!$A$2:$H$252,8,0),"")</f>
        <v>25</v>
      </c>
      <c r="H2044" s="22">
        <v>15.0</v>
      </c>
      <c r="I2044" s="23">
        <f>IFERROR(VLOOKUP(B2044,DADOS!$A$2:$H$252,4,0)*H2044,"")</f>
        <v>4.88241</v>
      </c>
      <c r="J2044" s="24">
        <v>2.0</v>
      </c>
      <c r="K2044" s="25">
        <f>IFERROR(VLOOKUP(B2044,DADOS!$A$2:$H$252,4,0)*J2044,"")</f>
        <v>0.650988</v>
      </c>
      <c r="L2044" s="26">
        <f t="shared" si="23"/>
        <v>0</v>
      </c>
      <c r="M2044" s="27"/>
      <c r="N2044" s="30"/>
      <c r="O2044" s="28"/>
      <c r="P2044" s="28"/>
      <c r="Q2044" s="28"/>
      <c r="R2044" s="28"/>
      <c r="S2044" s="28"/>
    </row>
    <row r="2045">
      <c r="A2045" s="17">
        <v>46035.0</v>
      </c>
      <c r="B2045" s="18" t="s">
        <v>78</v>
      </c>
      <c r="C2045" s="18" t="s">
        <v>165</v>
      </c>
      <c r="D2045" s="19"/>
      <c r="E2045" s="19"/>
      <c r="F2045" s="20">
        <f t="shared" si="24"/>
        <v>0</v>
      </c>
      <c r="G2045" s="67">
        <f>IFERROR(VLOOKUP(B2045,DADOS!$A$2:$H$252,8,0),"")</f>
        <v>25</v>
      </c>
      <c r="H2045" s="22">
        <v>33.0</v>
      </c>
      <c r="I2045" s="23">
        <f>IFERROR(VLOOKUP(B2045,DADOS!$A$2:$H$252,4,0)*H2045,"")</f>
        <v>10.741302</v>
      </c>
      <c r="J2045" s="36"/>
      <c r="K2045" s="25">
        <f>IFERROR(VLOOKUP(B2045,DADOS!$A$2:$H$252,4,0)*J2045,"")</f>
        <v>0</v>
      </c>
      <c r="L2045" s="26">
        <f t="shared" si="23"/>
        <v>0</v>
      </c>
      <c r="M2045" s="27"/>
      <c r="N2045" s="30"/>
      <c r="O2045" s="28"/>
      <c r="P2045" s="28"/>
      <c r="Q2045" s="28"/>
      <c r="R2045" s="28"/>
      <c r="S2045" s="28"/>
    </row>
    <row r="2046">
      <c r="A2046" s="17">
        <v>46036.0</v>
      </c>
      <c r="B2046" s="18" t="s">
        <v>16</v>
      </c>
      <c r="C2046" s="18" t="s">
        <v>65</v>
      </c>
      <c r="D2046" s="19"/>
      <c r="E2046" s="19"/>
      <c r="F2046" s="20">
        <f t="shared" si="24"/>
        <v>0</v>
      </c>
      <c r="G2046" s="67">
        <f>IFERROR(VLOOKUP(B2046,DADOS!$A$2:$H$252,8,0),"")</f>
        <v>150</v>
      </c>
      <c r="H2046" s="22">
        <v>205.0</v>
      </c>
      <c r="I2046" s="23">
        <f>IFERROR(VLOOKUP(B2046,DADOS!$A$2:$H$252,4,0)*H2046,"")</f>
        <v>5.931224</v>
      </c>
      <c r="J2046" s="24">
        <v>2.0</v>
      </c>
      <c r="K2046" s="25">
        <f>IFERROR(VLOOKUP(B2046,DADOS!$A$2:$H$252,4,0)*J2046,"")</f>
        <v>0.0578656</v>
      </c>
      <c r="L2046" s="26">
        <f t="shared" si="23"/>
        <v>0</v>
      </c>
      <c r="M2046" s="27"/>
      <c r="N2046" s="30"/>
      <c r="O2046" s="28"/>
      <c r="P2046" s="28"/>
      <c r="Q2046" s="28"/>
      <c r="R2046" s="28"/>
      <c r="S2046" s="28"/>
    </row>
    <row r="2047">
      <c r="A2047" s="17">
        <v>46036.0</v>
      </c>
      <c r="B2047" s="18" t="s">
        <v>182</v>
      </c>
      <c r="C2047" s="18" t="s">
        <v>165</v>
      </c>
      <c r="D2047" s="19"/>
      <c r="E2047" s="19"/>
      <c r="F2047" s="20">
        <f t="shared" si="24"/>
        <v>0</v>
      </c>
      <c r="G2047" s="67">
        <f>IFERROR(VLOOKUP(B2047,DADOS!$A$2:$H$252,8,0),"")</f>
        <v>120</v>
      </c>
      <c r="H2047" s="22">
        <v>96.0</v>
      </c>
      <c r="I2047" s="23">
        <f>IFERROR(VLOOKUP(B2047,DADOS!$A$2:$H$252,4,0)*H2047,"")</f>
        <v>31.247424</v>
      </c>
      <c r="J2047" s="24">
        <v>2.0</v>
      </c>
      <c r="K2047" s="25">
        <f>IFERROR(VLOOKUP(B2047,DADOS!$A$2:$H$252,4,0)*J2047,"")</f>
        <v>0.650988</v>
      </c>
      <c r="L2047" s="26">
        <f t="shared" si="23"/>
        <v>0</v>
      </c>
      <c r="M2047" s="27"/>
      <c r="N2047" s="30"/>
      <c r="O2047" s="28"/>
      <c r="P2047" s="28"/>
      <c r="Q2047" s="28"/>
      <c r="R2047" s="28"/>
      <c r="S2047" s="28"/>
    </row>
    <row r="2048">
      <c r="A2048" s="17">
        <v>46036.0</v>
      </c>
      <c r="B2048" s="18" t="s">
        <v>35</v>
      </c>
      <c r="C2048" s="18" t="s">
        <v>165</v>
      </c>
      <c r="D2048" s="19"/>
      <c r="E2048" s="19"/>
      <c r="F2048" s="20">
        <f t="shared" si="24"/>
        <v>0</v>
      </c>
      <c r="G2048" s="67">
        <f>IFERROR(VLOOKUP(B2048,DADOS!$A$2:$H$252,8,0),"")</f>
        <v>30</v>
      </c>
      <c r="H2048" s="22">
        <v>9.0</v>
      </c>
      <c r="I2048" s="23">
        <f>IFERROR(VLOOKUP(B2048,DADOS!$A$2:$H$252,4,0)*H2048,"")</f>
        <v>1.5444594</v>
      </c>
      <c r="J2048" s="36"/>
      <c r="K2048" s="25">
        <f>IFERROR(VLOOKUP(B2048,DADOS!$A$2:$H$252,4,0)*J2048,"")</f>
        <v>0</v>
      </c>
      <c r="L2048" s="26">
        <f t="shared" si="23"/>
        <v>0</v>
      </c>
      <c r="M2048" s="27"/>
      <c r="N2048" s="30"/>
      <c r="O2048" s="28"/>
      <c r="P2048" s="28"/>
      <c r="Q2048" s="28"/>
      <c r="R2048" s="28"/>
      <c r="S2048" s="28"/>
    </row>
    <row r="2049">
      <c r="A2049" s="17">
        <v>46037.0</v>
      </c>
      <c r="B2049" s="18" t="s">
        <v>16</v>
      </c>
      <c r="C2049" s="18" t="s">
        <v>65</v>
      </c>
      <c r="D2049" s="19">
        <v>0.3402777777777778</v>
      </c>
      <c r="E2049" s="19">
        <v>0.7222222222222222</v>
      </c>
      <c r="F2049" s="20">
        <f t="shared" si="24"/>
        <v>0.3819444444</v>
      </c>
      <c r="G2049" s="67">
        <f>IFERROR(VLOOKUP(B2049,DADOS!$A$2:$H$252,8,0),"")</f>
        <v>150</v>
      </c>
      <c r="H2049" s="22">
        <v>950.0</v>
      </c>
      <c r="I2049" s="23">
        <f>IFERROR(VLOOKUP(B2049,DADOS!$A$2:$H$252,4,0)*H2049,"")</f>
        <v>27.48616</v>
      </c>
      <c r="J2049" s="24">
        <v>6.0</v>
      </c>
      <c r="K2049" s="25">
        <f>IFERROR(VLOOKUP(B2049,DADOS!$A$2:$H$252,4,0)*J2049,"")</f>
        <v>0.1735968</v>
      </c>
      <c r="L2049" s="26">
        <f t="shared" si="23"/>
        <v>0</v>
      </c>
      <c r="M2049" s="27"/>
      <c r="N2049" s="30"/>
      <c r="O2049" s="28"/>
      <c r="P2049" s="28"/>
      <c r="Q2049" s="28"/>
      <c r="R2049" s="28"/>
      <c r="S2049" s="28"/>
    </row>
    <row r="2050">
      <c r="A2050" s="17">
        <v>46037.0</v>
      </c>
      <c r="B2050" s="18" t="s">
        <v>35</v>
      </c>
      <c r="C2050" s="18" t="s">
        <v>165</v>
      </c>
      <c r="D2050" s="19">
        <v>0.3333333333333333</v>
      </c>
      <c r="E2050" s="19">
        <v>0.4895833333333333</v>
      </c>
      <c r="F2050" s="20">
        <f t="shared" si="24"/>
        <v>0.15625</v>
      </c>
      <c r="G2050" s="67">
        <f>IFERROR(VLOOKUP(B2050,DADOS!$A$2:$H$252,8,0),"")</f>
        <v>30</v>
      </c>
      <c r="H2050" s="22">
        <v>91.0</v>
      </c>
      <c r="I2050" s="23">
        <f>IFERROR(VLOOKUP(B2050,DADOS!$A$2:$H$252,4,0)*H2050,"")</f>
        <v>15.6162006</v>
      </c>
      <c r="J2050" s="36"/>
      <c r="K2050" s="25">
        <f>IFERROR(VLOOKUP(B2050,DADOS!$A$2:$H$252,4,0)*J2050,"")</f>
        <v>0</v>
      </c>
      <c r="L2050" s="26">
        <f t="shared" si="23"/>
        <v>0</v>
      </c>
      <c r="M2050" s="27"/>
      <c r="N2050" s="30"/>
      <c r="O2050" s="28"/>
      <c r="P2050" s="28"/>
      <c r="Q2050" s="28"/>
      <c r="R2050" s="28"/>
      <c r="S2050" s="28"/>
    </row>
    <row r="2051">
      <c r="A2051" s="17">
        <v>46037.0</v>
      </c>
      <c r="B2051" s="18" t="s">
        <v>49</v>
      </c>
      <c r="C2051" s="18" t="s">
        <v>165</v>
      </c>
      <c r="D2051" s="19">
        <v>0.5625</v>
      </c>
      <c r="E2051" s="19">
        <v>0.7173611111111111</v>
      </c>
      <c r="F2051" s="20">
        <f t="shared" si="24"/>
        <v>0.1548611111</v>
      </c>
      <c r="G2051" s="67">
        <f>IFERROR(VLOOKUP(B2051,DADOS!$A$2:$H$252,8,0),"")</f>
        <v>42</v>
      </c>
      <c r="H2051" s="22">
        <v>65.0</v>
      </c>
      <c r="I2051" s="23">
        <f>IFERROR(VLOOKUP(B2051,DADOS!$A$2:$H$252,4,0)*H2051,"")</f>
        <v>4.421989</v>
      </c>
      <c r="J2051" s="36"/>
      <c r="K2051" s="25">
        <f>IFERROR(VLOOKUP(B2051,DADOS!$A$2:$H$252,4,0)*J2051,"")</f>
        <v>0</v>
      </c>
      <c r="L2051" s="26">
        <f t="shared" si="23"/>
        <v>0</v>
      </c>
      <c r="M2051" s="27"/>
      <c r="N2051" s="30"/>
      <c r="O2051" s="28"/>
      <c r="P2051" s="28"/>
      <c r="Q2051" s="28"/>
      <c r="R2051" s="28"/>
      <c r="S2051" s="28"/>
    </row>
    <row r="2052">
      <c r="A2052" s="93">
        <v>46038.0</v>
      </c>
      <c r="B2052" s="94" t="s">
        <v>49</v>
      </c>
      <c r="C2052" s="94" t="s">
        <v>165</v>
      </c>
      <c r="D2052" s="42"/>
      <c r="E2052" s="42"/>
      <c r="F2052" s="20">
        <f t="shared" si="24"/>
        <v>0</v>
      </c>
      <c r="G2052" s="67">
        <f>IFERROR(VLOOKUP(B2052,DADOS!$A$2:$H$252,8,0),"")</f>
        <v>42</v>
      </c>
      <c r="H2052" s="96"/>
      <c r="I2052" s="23">
        <f>IFERROR(VLOOKUP(B2052,DADOS!$A$2:$H$252,4,0)*H2052,"")</f>
        <v>0</v>
      </c>
      <c r="J2052" s="95">
        <v>85.0</v>
      </c>
      <c r="K2052" s="25">
        <f>IFERROR(VLOOKUP(B2052,DADOS!$A$2:$H$252,4,0)*J2052,"")</f>
        <v>5.782601</v>
      </c>
      <c r="L2052" s="26" t="str">
        <f t="shared" si="23"/>
        <v/>
      </c>
      <c r="M2052" s="97"/>
      <c r="N2052" s="98"/>
      <c r="O2052" s="28"/>
      <c r="P2052" s="28"/>
      <c r="Q2052" s="28"/>
      <c r="R2052" s="28"/>
      <c r="S2052" s="28"/>
    </row>
    <row r="2053">
      <c r="A2053" s="43">
        <v>46038.0</v>
      </c>
      <c r="B2053" s="44" t="s">
        <v>31</v>
      </c>
      <c r="C2053" s="44"/>
      <c r="D2053" s="45"/>
      <c r="E2053" s="45"/>
      <c r="F2053" s="20">
        <f t="shared" si="24"/>
        <v>0</v>
      </c>
      <c r="G2053" s="67">
        <f>IFERROR(VLOOKUP(B2053,DADOS!$A$2:$H$252,8,0),"")</f>
        <v>10</v>
      </c>
      <c r="H2053" s="47"/>
      <c r="I2053" s="23">
        <f>IFERROR(VLOOKUP(B2053,DADOS!$A$2:$H$252,4,0)*H2053,"")</f>
        <v>0</v>
      </c>
      <c r="J2053" s="46">
        <v>2.0</v>
      </c>
      <c r="K2053" s="25">
        <f>IFERROR(VLOOKUP(B2053,DADOS!$A$2:$H$252,4,0)*J2053,"")</f>
        <v>0.2711808</v>
      </c>
      <c r="L2053" s="26" t="str">
        <f t="shared" si="23"/>
        <v/>
      </c>
      <c r="M2053" s="33" t="s">
        <v>83</v>
      </c>
      <c r="N2053" s="33" t="s">
        <v>88</v>
      </c>
      <c r="O2053" s="28"/>
      <c r="P2053" s="28"/>
      <c r="Q2053" s="28"/>
      <c r="R2053" s="28"/>
      <c r="S2053" s="28"/>
    </row>
    <row r="2054">
      <c r="A2054" s="43">
        <v>46038.0</v>
      </c>
      <c r="B2054" s="44" t="s">
        <v>101</v>
      </c>
      <c r="C2054" s="44"/>
      <c r="D2054" s="45"/>
      <c r="E2054" s="45"/>
      <c r="F2054" s="20">
        <f t="shared" si="24"/>
        <v>0</v>
      </c>
      <c r="G2054" s="67" t="str">
        <f>IFERROR(VLOOKUP(B2054,DADOS!$A$2:$H$252,8,0),"")</f>
        <v/>
      </c>
      <c r="H2054" s="47"/>
      <c r="I2054" s="23">
        <f>IFERROR(VLOOKUP(B2054,DADOS!$A$2:$H$252,4,0)*H2054,"")</f>
        <v>0</v>
      </c>
      <c r="J2054" s="46">
        <v>2.0</v>
      </c>
      <c r="K2054" s="25">
        <f>IFERROR(VLOOKUP(B2054,DADOS!$A$2:$H$252,4,0)*J2054,"")</f>
        <v>0.3182608</v>
      </c>
      <c r="L2054" s="26" t="str">
        <f t="shared" si="23"/>
        <v/>
      </c>
      <c r="M2054" s="33" t="s">
        <v>83</v>
      </c>
      <c r="N2054" s="33" t="s">
        <v>88</v>
      </c>
      <c r="O2054" s="28"/>
      <c r="P2054" s="28"/>
      <c r="Q2054" s="28"/>
      <c r="R2054" s="28"/>
      <c r="S2054" s="28"/>
    </row>
    <row r="2055">
      <c r="A2055" s="43">
        <v>46038.0</v>
      </c>
      <c r="B2055" s="44" t="s">
        <v>96</v>
      </c>
      <c r="C2055" s="44"/>
      <c r="D2055" s="45"/>
      <c r="E2055" s="45"/>
      <c r="F2055" s="20">
        <f t="shared" si="24"/>
        <v>0</v>
      </c>
      <c r="G2055" s="67">
        <f>IFERROR(VLOOKUP(B2055,DADOS!$A$2:$H$252,8,0),"")</f>
        <v>27</v>
      </c>
      <c r="H2055" s="47"/>
      <c r="I2055" s="23">
        <f>IFERROR(VLOOKUP(B2055,DADOS!$A$2:$H$252,4,0)*H2055,"")</f>
        <v>0</v>
      </c>
      <c r="J2055" s="46">
        <v>1.0</v>
      </c>
      <c r="K2055" s="25">
        <f>IFERROR(VLOOKUP(B2055,DADOS!$A$2:$H$252,4,0)*J2055,"")</f>
        <v>0.09416</v>
      </c>
      <c r="L2055" s="26" t="str">
        <f t="shared" si="23"/>
        <v/>
      </c>
      <c r="M2055" s="33" t="s">
        <v>83</v>
      </c>
      <c r="N2055" s="33" t="s">
        <v>88</v>
      </c>
      <c r="O2055" s="63"/>
      <c r="P2055" s="63"/>
      <c r="Q2055" s="63"/>
      <c r="R2055" s="63"/>
      <c r="S2055" s="63"/>
      <c r="T2055" s="64"/>
      <c r="U2055" s="64"/>
      <c r="V2055" s="64"/>
      <c r="W2055" s="64"/>
      <c r="X2055" s="64"/>
      <c r="Y2055" s="64"/>
      <c r="Z2055" s="64"/>
      <c r="AA2055" s="64"/>
      <c r="AB2055" s="64"/>
      <c r="AC2055" s="64"/>
      <c r="AD2055" s="64"/>
      <c r="AE2055" s="64"/>
      <c r="AF2055" s="64"/>
      <c r="AG2055" s="64"/>
      <c r="AH2055" s="64"/>
      <c r="AI2055" s="64"/>
      <c r="AJ2055" s="64"/>
    </row>
    <row r="2056">
      <c r="A2056" s="43">
        <v>46038.0</v>
      </c>
      <c r="B2056" s="44" t="s">
        <v>98</v>
      </c>
      <c r="C2056" s="44"/>
      <c r="D2056" s="45"/>
      <c r="E2056" s="45"/>
      <c r="F2056" s="20">
        <f t="shared" si="24"/>
        <v>0</v>
      </c>
      <c r="G2056" s="67">
        <f>IFERROR(VLOOKUP(B2056,DADOS!$A$2:$H$252,8,0),"")</f>
        <v>100</v>
      </c>
      <c r="H2056" s="47"/>
      <c r="I2056" s="23">
        <f>IFERROR(VLOOKUP(B2056,DADOS!$A$2:$H$252,4,0)*H2056,"")</f>
        <v>0</v>
      </c>
      <c r="J2056" s="46">
        <v>1.0</v>
      </c>
      <c r="K2056" s="25">
        <f>IFERROR(VLOOKUP(B2056,DADOS!$A$2:$H$252,4,0)*J2056,"")</f>
        <v>0.26964</v>
      </c>
      <c r="L2056" s="26" t="str">
        <f t="shared" si="23"/>
        <v/>
      </c>
      <c r="M2056" s="33" t="s">
        <v>83</v>
      </c>
      <c r="N2056" s="33" t="s">
        <v>88</v>
      </c>
      <c r="O2056" s="63"/>
      <c r="P2056" s="63"/>
      <c r="Q2056" s="63"/>
      <c r="R2056" s="63"/>
      <c r="S2056" s="63"/>
      <c r="T2056" s="64"/>
      <c r="U2056" s="64"/>
      <c r="V2056" s="64"/>
      <c r="W2056" s="64"/>
      <c r="X2056" s="64"/>
      <c r="Y2056" s="64"/>
      <c r="Z2056" s="64"/>
      <c r="AA2056" s="64"/>
      <c r="AB2056" s="64"/>
      <c r="AC2056" s="64"/>
      <c r="AD2056" s="64"/>
      <c r="AE2056" s="64"/>
      <c r="AF2056" s="64"/>
      <c r="AG2056" s="64"/>
      <c r="AH2056" s="64"/>
      <c r="AI2056" s="64"/>
      <c r="AJ2056" s="64"/>
    </row>
    <row r="2057">
      <c r="A2057" s="43">
        <v>46038.0</v>
      </c>
      <c r="B2057" s="44" t="s">
        <v>18</v>
      </c>
      <c r="C2057" s="44"/>
      <c r="D2057" s="45"/>
      <c r="E2057" s="45"/>
      <c r="F2057" s="20">
        <f t="shared" si="24"/>
        <v>0</v>
      </c>
      <c r="G2057" s="67">
        <f>IFERROR(VLOOKUP(B2057,DADOS!$A$2:$H$252,8,0),"")</f>
        <v>21</v>
      </c>
      <c r="H2057" s="47"/>
      <c r="I2057" s="23">
        <f>IFERROR(VLOOKUP(B2057,DADOS!$A$2:$H$252,4,0)*H2057,"")</f>
        <v>0</v>
      </c>
      <c r="J2057" s="46">
        <v>1.0</v>
      </c>
      <c r="K2057" s="25">
        <f>IFERROR(VLOOKUP(B2057,DADOS!$A$2:$H$252,4,0)*J2057,"")</f>
        <v>0.292966</v>
      </c>
      <c r="L2057" s="26" t="str">
        <f t="shared" si="23"/>
        <v/>
      </c>
      <c r="M2057" s="33" t="s">
        <v>83</v>
      </c>
      <c r="N2057" s="33" t="s">
        <v>88</v>
      </c>
      <c r="O2057" s="63"/>
      <c r="P2057" s="63"/>
      <c r="Q2057" s="63"/>
      <c r="R2057" s="63"/>
      <c r="S2057" s="63"/>
      <c r="T2057" s="64"/>
      <c r="U2057" s="64"/>
      <c r="V2057" s="64"/>
      <c r="W2057" s="64"/>
      <c r="X2057" s="64"/>
      <c r="Y2057" s="64"/>
      <c r="Z2057" s="64"/>
      <c r="AA2057" s="64"/>
      <c r="AB2057" s="64"/>
      <c r="AC2057" s="64"/>
      <c r="AD2057" s="64"/>
      <c r="AE2057" s="64"/>
      <c r="AF2057" s="64"/>
      <c r="AG2057" s="64"/>
      <c r="AH2057" s="64"/>
      <c r="AI2057" s="64"/>
      <c r="AJ2057" s="64"/>
    </row>
    <row r="2058">
      <c r="A2058" s="43">
        <v>46038.0</v>
      </c>
      <c r="B2058" s="44" t="s">
        <v>24</v>
      </c>
      <c r="C2058" s="44"/>
      <c r="D2058" s="45"/>
      <c r="E2058" s="45"/>
      <c r="F2058" s="20">
        <f t="shared" si="24"/>
        <v>0</v>
      </c>
      <c r="G2058" s="67">
        <f>IFERROR(VLOOKUP(B2058,DADOS!$A$2:$H$252,8,0),"")</f>
        <v>37</v>
      </c>
      <c r="H2058" s="47"/>
      <c r="I2058" s="23">
        <f>IFERROR(VLOOKUP(B2058,DADOS!$A$2:$H$252,4,0)*H2058,"")</f>
        <v>0</v>
      </c>
      <c r="J2058" s="46">
        <v>1.0</v>
      </c>
      <c r="K2058" s="25">
        <f>IFERROR(VLOOKUP(B2058,DADOS!$A$2:$H$252,4,0)*J2058,"")</f>
        <v>0.1139336</v>
      </c>
      <c r="L2058" s="26" t="str">
        <f t="shared" si="23"/>
        <v/>
      </c>
      <c r="M2058" s="33" t="s">
        <v>83</v>
      </c>
      <c r="N2058" s="33" t="s">
        <v>88</v>
      </c>
      <c r="O2058" s="63"/>
      <c r="P2058" s="63"/>
      <c r="Q2058" s="63"/>
      <c r="R2058" s="63"/>
      <c r="S2058" s="63"/>
      <c r="T2058" s="64"/>
      <c r="U2058" s="64"/>
      <c r="V2058" s="64"/>
      <c r="W2058" s="64"/>
      <c r="X2058" s="64"/>
      <c r="Y2058" s="64"/>
      <c r="Z2058" s="64"/>
      <c r="AA2058" s="64"/>
      <c r="AB2058" s="64"/>
      <c r="AC2058" s="64"/>
      <c r="AD2058" s="64"/>
      <c r="AE2058" s="64"/>
      <c r="AF2058" s="64"/>
      <c r="AG2058" s="64"/>
      <c r="AH2058" s="64"/>
      <c r="AI2058" s="64"/>
      <c r="AJ2058" s="64"/>
    </row>
    <row r="2059">
      <c r="A2059" s="43">
        <v>46038.0</v>
      </c>
      <c r="B2059" s="44" t="s">
        <v>150</v>
      </c>
      <c r="C2059" s="44"/>
      <c r="D2059" s="45"/>
      <c r="E2059" s="45"/>
      <c r="F2059" s="20">
        <f t="shared" si="24"/>
        <v>0</v>
      </c>
      <c r="G2059" s="67">
        <f>IFERROR(VLOOKUP(B2059,DADOS!$A$2:$H$252,8,0),"")</f>
        <v>12</v>
      </c>
      <c r="H2059" s="47"/>
      <c r="I2059" s="23">
        <f>IFERROR(VLOOKUP(B2059,DADOS!$A$2:$H$252,4,0)*H2059,"")</f>
        <v>0</v>
      </c>
      <c r="J2059" s="46">
        <v>1.0</v>
      </c>
      <c r="K2059" s="25">
        <f>IFERROR(VLOOKUP(B2059,DADOS!$A$2:$H$252,4,0)*J2059,"")</f>
        <v>0.1716066</v>
      </c>
      <c r="L2059" s="26" t="str">
        <f t="shared" si="23"/>
        <v/>
      </c>
      <c r="M2059" s="33" t="s">
        <v>110</v>
      </c>
      <c r="N2059" s="33" t="s">
        <v>144</v>
      </c>
      <c r="O2059" s="63"/>
      <c r="P2059" s="63"/>
      <c r="Q2059" s="63"/>
      <c r="R2059" s="63"/>
      <c r="S2059" s="63"/>
      <c r="T2059" s="64"/>
      <c r="U2059" s="64"/>
      <c r="V2059" s="64"/>
      <c r="W2059" s="64"/>
      <c r="X2059" s="64"/>
      <c r="Y2059" s="64"/>
      <c r="Z2059" s="64"/>
      <c r="AA2059" s="64"/>
      <c r="AB2059" s="64"/>
      <c r="AC2059" s="64"/>
      <c r="AD2059" s="64"/>
      <c r="AE2059" s="64"/>
      <c r="AF2059" s="64"/>
      <c r="AG2059" s="64"/>
      <c r="AH2059" s="64"/>
      <c r="AI2059" s="64"/>
      <c r="AJ2059" s="64"/>
    </row>
    <row r="2060">
      <c r="A2060" s="43">
        <v>46038.0</v>
      </c>
      <c r="B2060" s="44" t="s">
        <v>186</v>
      </c>
      <c r="C2060" s="44"/>
      <c r="D2060" s="45"/>
      <c r="E2060" s="45"/>
      <c r="F2060" s="20">
        <f t="shared" si="24"/>
        <v>0</v>
      </c>
      <c r="G2060" s="67">
        <f>IFERROR(VLOOKUP(B2060,DADOS!$A$2:$H$252,8,0),"")</f>
        <v>25</v>
      </c>
      <c r="H2060" s="47"/>
      <c r="I2060" s="23">
        <f>IFERROR(VLOOKUP(B2060,DADOS!$A$2:$H$252,4,0)*H2060,"")</f>
        <v>0</v>
      </c>
      <c r="J2060" s="46">
        <v>2.0</v>
      </c>
      <c r="K2060" s="25">
        <f>IFERROR(VLOOKUP(B2060,DADOS!$A$2:$H$252,4,0)*J2060,"")</f>
        <v>0.554688</v>
      </c>
      <c r="L2060" s="26" t="str">
        <f t="shared" si="23"/>
        <v/>
      </c>
      <c r="M2060" s="33" t="s">
        <v>39</v>
      </c>
      <c r="N2060" s="33" t="s">
        <v>102</v>
      </c>
      <c r="O2060" s="63"/>
      <c r="P2060" s="63"/>
      <c r="Q2060" s="63"/>
      <c r="R2060" s="63"/>
      <c r="S2060" s="63"/>
      <c r="T2060" s="64"/>
      <c r="U2060" s="64"/>
      <c r="V2060" s="64"/>
      <c r="W2060" s="64"/>
      <c r="X2060" s="64"/>
      <c r="Y2060" s="64"/>
      <c r="Z2060" s="64"/>
      <c r="AA2060" s="64"/>
      <c r="AB2060" s="64"/>
      <c r="AC2060" s="64"/>
      <c r="AD2060" s="64"/>
      <c r="AE2060" s="64"/>
      <c r="AF2060" s="64"/>
      <c r="AG2060" s="64"/>
      <c r="AH2060" s="64"/>
      <c r="AI2060" s="64"/>
      <c r="AJ2060" s="64"/>
    </row>
    <row r="2061">
      <c r="A2061" s="43">
        <v>46038.0</v>
      </c>
      <c r="B2061" s="44" t="s">
        <v>18</v>
      </c>
      <c r="C2061" s="44"/>
      <c r="D2061" s="45"/>
      <c r="E2061" s="45"/>
      <c r="F2061" s="20">
        <f t="shared" si="24"/>
        <v>0</v>
      </c>
      <c r="G2061" s="67">
        <f>IFERROR(VLOOKUP(B2061,DADOS!$A$2:$H$252,8,0),"")</f>
        <v>21</v>
      </c>
      <c r="H2061" s="47"/>
      <c r="I2061" s="23">
        <f>IFERROR(VLOOKUP(B2061,DADOS!$A$2:$H$252,4,0)*H2061,"")</f>
        <v>0</v>
      </c>
      <c r="J2061" s="46">
        <v>1.0</v>
      </c>
      <c r="K2061" s="25">
        <f>IFERROR(VLOOKUP(B2061,DADOS!$A$2:$H$252,4,0)*J2061,"")</f>
        <v>0.292966</v>
      </c>
      <c r="L2061" s="26" t="str">
        <f t="shared" si="23"/>
        <v/>
      </c>
      <c r="M2061" s="33" t="s">
        <v>39</v>
      </c>
      <c r="N2061" s="33" t="s">
        <v>86</v>
      </c>
      <c r="O2061" s="63"/>
      <c r="P2061" s="63"/>
      <c r="Q2061" s="63"/>
      <c r="R2061" s="63"/>
      <c r="S2061" s="63"/>
      <c r="T2061" s="64"/>
      <c r="U2061" s="64"/>
      <c r="V2061" s="64"/>
      <c r="W2061" s="64"/>
      <c r="X2061" s="64"/>
      <c r="Y2061" s="64"/>
      <c r="Z2061" s="64"/>
      <c r="AA2061" s="64"/>
      <c r="AB2061" s="64"/>
      <c r="AC2061" s="64"/>
      <c r="AD2061" s="64"/>
      <c r="AE2061" s="64"/>
      <c r="AF2061" s="64"/>
      <c r="AG2061" s="64"/>
      <c r="AH2061" s="64"/>
      <c r="AI2061" s="64"/>
      <c r="AJ2061" s="64"/>
    </row>
    <row r="2062">
      <c r="A2062" s="43">
        <v>46038.0</v>
      </c>
      <c r="B2062" s="44" t="s">
        <v>113</v>
      </c>
      <c r="C2062" s="44"/>
      <c r="D2062" s="45"/>
      <c r="E2062" s="45"/>
      <c r="F2062" s="20">
        <f t="shared" si="24"/>
        <v>0</v>
      </c>
      <c r="G2062" s="67">
        <f>IFERROR(VLOOKUP(B2062,DADOS!$A$2:$H$252,8,0),"")</f>
        <v>8</v>
      </c>
      <c r="H2062" s="47"/>
      <c r="I2062" s="23">
        <f>IFERROR(VLOOKUP(B2062,DADOS!$A$2:$H$252,4,0)*H2062,"")</f>
        <v>0</v>
      </c>
      <c r="J2062" s="46">
        <v>1.0</v>
      </c>
      <c r="K2062" s="25">
        <f>IFERROR(VLOOKUP(B2062,DADOS!$A$2:$H$252,4,0)*J2062,"")</f>
        <v>0.6365216</v>
      </c>
      <c r="L2062" s="26" t="str">
        <f t="shared" si="23"/>
        <v/>
      </c>
      <c r="M2062" s="33" t="s">
        <v>39</v>
      </c>
      <c r="N2062" s="33" t="s">
        <v>120</v>
      </c>
      <c r="O2062" s="63"/>
      <c r="P2062" s="63"/>
      <c r="Q2062" s="63"/>
      <c r="R2062" s="63"/>
      <c r="S2062" s="63"/>
      <c r="T2062" s="64"/>
      <c r="U2062" s="64"/>
      <c r="V2062" s="64"/>
      <c r="W2062" s="64"/>
      <c r="X2062" s="64"/>
      <c r="Y2062" s="64"/>
      <c r="Z2062" s="64"/>
      <c r="AA2062" s="64"/>
      <c r="AB2062" s="64"/>
      <c r="AC2062" s="64"/>
      <c r="AD2062" s="64"/>
      <c r="AE2062" s="64"/>
      <c r="AF2062" s="64"/>
      <c r="AG2062" s="64"/>
      <c r="AH2062" s="64"/>
      <c r="AI2062" s="64"/>
      <c r="AJ2062" s="64"/>
    </row>
    <row r="2063">
      <c r="A2063" s="43">
        <v>46038.0</v>
      </c>
      <c r="B2063" s="44" t="s">
        <v>188</v>
      </c>
      <c r="C2063" s="44"/>
      <c r="D2063" s="45"/>
      <c r="E2063" s="45"/>
      <c r="F2063" s="20">
        <f t="shared" si="24"/>
        <v>0</v>
      </c>
      <c r="G2063" s="67">
        <f>IFERROR(VLOOKUP(B2063,DADOS!$A$2:$H$252,8,0),"")</f>
        <v>30</v>
      </c>
      <c r="H2063" s="47"/>
      <c r="I2063" s="23">
        <f>IFERROR(VLOOKUP(B2063,DADOS!$A$2:$H$252,4,0)*H2063,"")</f>
        <v>0</v>
      </c>
      <c r="J2063" s="46">
        <v>4.0</v>
      </c>
      <c r="K2063" s="25">
        <f>IFERROR(VLOOKUP(B2063,DADOS!$A$2:$H$252,4,0)*J2063,"")</f>
        <v>0.4557344</v>
      </c>
      <c r="L2063" s="26" t="str">
        <f t="shared" si="23"/>
        <v/>
      </c>
      <c r="M2063" s="33" t="s">
        <v>189</v>
      </c>
      <c r="N2063" s="33" t="s">
        <v>173</v>
      </c>
      <c r="O2063" s="63"/>
      <c r="P2063" s="63"/>
      <c r="Q2063" s="63"/>
      <c r="R2063" s="63"/>
      <c r="S2063" s="63"/>
      <c r="T2063" s="64"/>
      <c r="U2063" s="64"/>
      <c r="V2063" s="64"/>
      <c r="W2063" s="64"/>
      <c r="X2063" s="64"/>
      <c r="Y2063" s="64"/>
      <c r="Z2063" s="64"/>
      <c r="AA2063" s="64"/>
      <c r="AB2063" s="64"/>
      <c r="AC2063" s="64"/>
      <c r="AD2063" s="64"/>
      <c r="AE2063" s="64"/>
      <c r="AF2063" s="64"/>
      <c r="AG2063" s="64"/>
      <c r="AH2063" s="64"/>
      <c r="AI2063" s="64"/>
      <c r="AJ2063" s="64"/>
    </row>
    <row r="2064">
      <c r="A2064" s="17">
        <v>46041.0</v>
      </c>
      <c r="B2064" s="18" t="s">
        <v>16</v>
      </c>
      <c r="C2064" s="18" t="s">
        <v>65</v>
      </c>
      <c r="D2064" s="19"/>
      <c r="E2064" s="19"/>
      <c r="F2064" s="20">
        <f t="shared" si="24"/>
        <v>0</v>
      </c>
      <c r="G2064" s="67">
        <f>IFERROR(VLOOKUP(B2064,DADOS!$A$2:$H$252,8,0),"")</f>
        <v>150</v>
      </c>
      <c r="H2064" s="22">
        <v>50.0</v>
      </c>
      <c r="I2064" s="23">
        <f>IFERROR(VLOOKUP(B2064,DADOS!$A$2:$H$252,4,0)*H2064,"")</f>
        <v>1.44664</v>
      </c>
      <c r="J2064" s="36"/>
      <c r="K2064" s="25">
        <f>IFERROR(VLOOKUP(B2064,DADOS!$A$2:$H$252,4,0)*J2064,"")</f>
        <v>0</v>
      </c>
      <c r="L2064" s="26">
        <f t="shared" si="23"/>
        <v>0</v>
      </c>
      <c r="M2064" s="27"/>
      <c r="N2064" s="30"/>
      <c r="O2064" s="63"/>
      <c r="P2064" s="63"/>
      <c r="Q2064" s="63"/>
      <c r="R2064" s="63"/>
      <c r="S2064" s="63"/>
      <c r="T2064" s="64"/>
      <c r="U2064" s="64"/>
      <c r="V2064" s="64"/>
      <c r="W2064" s="64"/>
      <c r="X2064" s="64"/>
      <c r="Y2064" s="64"/>
      <c r="Z2064" s="64"/>
      <c r="AA2064" s="64"/>
      <c r="AB2064" s="64"/>
      <c r="AC2064" s="64"/>
      <c r="AD2064" s="64"/>
      <c r="AE2064" s="64"/>
      <c r="AF2064" s="64"/>
      <c r="AG2064" s="64"/>
      <c r="AH2064" s="64"/>
      <c r="AI2064" s="64"/>
      <c r="AJ2064" s="64"/>
    </row>
    <row r="2065">
      <c r="A2065" s="17">
        <v>46041.0</v>
      </c>
      <c r="B2065" s="18" t="s">
        <v>192</v>
      </c>
      <c r="C2065" s="18" t="s">
        <v>165</v>
      </c>
      <c r="D2065" s="19"/>
      <c r="E2065" s="19"/>
      <c r="F2065" s="20">
        <f t="shared" si="24"/>
        <v>0</v>
      </c>
      <c r="G2065" s="67" t="str">
        <f>IFERROR(VLOOKUP(B2065,DADOS!$A$2:$H$252,8,0),"")</f>
        <v/>
      </c>
      <c r="H2065" s="22">
        <v>149.0</v>
      </c>
      <c r="I2065" s="23" t="str">
        <f>IFERROR(VLOOKUP(B2065,DADOS!$A$2:$H$252,4,0)*H2065,"")</f>
        <v/>
      </c>
      <c r="J2065" s="24">
        <v>1.0</v>
      </c>
      <c r="K2065" s="25" t="str">
        <f>IFERROR(VLOOKUP(B2065,DADOS!$A$2:$H$252,4,0)*J2065,"")</f>
        <v/>
      </c>
      <c r="L2065" s="26" t="str">
        <f t="shared" si="23"/>
        <v/>
      </c>
      <c r="M2065" s="27"/>
      <c r="N2065" s="30"/>
      <c r="O2065" s="63"/>
      <c r="P2065" s="63"/>
      <c r="Q2065" s="63"/>
      <c r="R2065" s="63"/>
      <c r="S2065" s="63"/>
      <c r="T2065" s="64"/>
      <c r="U2065" s="64"/>
      <c r="V2065" s="64"/>
      <c r="W2065" s="64"/>
      <c r="X2065" s="64"/>
      <c r="Y2065" s="64"/>
      <c r="Z2065" s="64"/>
      <c r="AA2065" s="64"/>
      <c r="AB2065" s="64"/>
      <c r="AC2065" s="64"/>
      <c r="AD2065" s="64"/>
      <c r="AE2065" s="64"/>
      <c r="AF2065" s="64"/>
      <c r="AG2065" s="64"/>
      <c r="AH2065" s="64"/>
      <c r="AI2065" s="64"/>
      <c r="AJ2065" s="64"/>
    </row>
    <row r="2066">
      <c r="A2066" s="17">
        <v>46042.0</v>
      </c>
      <c r="B2066" s="18" t="s">
        <v>101</v>
      </c>
      <c r="C2066" s="18" t="s">
        <v>19</v>
      </c>
      <c r="D2066" s="19"/>
      <c r="E2066" s="19"/>
      <c r="F2066" s="20">
        <f t="shared" si="24"/>
        <v>0</v>
      </c>
      <c r="G2066" s="67" t="str">
        <f>IFERROR(VLOOKUP(B2066,DADOS!$A$2:$H$252,8,0),"")</f>
        <v/>
      </c>
      <c r="H2066" s="22">
        <v>13.0</v>
      </c>
      <c r="I2066" s="23">
        <f>IFERROR(VLOOKUP(B2066,DADOS!$A$2:$H$252,4,0)*H2066,"")</f>
        <v>2.0686952</v>
      </c>
      <c r="J2066" s="36"/>
      <c r="K2066" s="25">
        <f>IFERROR(VLOOKUP(B2066,DADOS!$A$2:$H$252,4,0)*J2066,"")</f>
        <v>0</v>
      </c>
      <c r="L2066" s="26">
        <f t="shared" si="23"/>
        <v>0</v>
      </c>
      <c r="M2066" s="27"/>
      <c r="N2066" s="30"/>
      <c r="O2066" s="40"/>
      <c r="P2066" s="40"/>
      <c r="Q2066" s="40"/>
      <c r="R2066" s="40"/>
      <c r="S2066" s="40"/>
      <c r="T2066" s="41"/>
      <c r="U2066" s="41"/>
      <c r="V2066" s="41"/>
      <c r="W2066" s="41"/>
      <c r="X2066" s="41"/>
      <c r="Y2066" s="41"/>
      <c r="Z2066" s="41"/>
      <c r="AA2066" s="41"/>
      <c r="AB2066" s="41"/>
      <c r="AC2066" s="41"/>
      <c r="AD2066" s="41"/>
      <c r="AE2066" s="41"/>
      <c r="AF2066" s="41"/>
      <c r="AG2066" s="41"/>
      <c r="AH2066" s="41"/>
      <c r="AI2066" s="41"/>
      <c r="AJ2066" s="41"/>
    </row>
    <row r="2067">
      <c r="A2067" s="17">
        <v>46042.0</v>
      </c>
      <c r="B2067" s="18" t="s">
        <v>119</v>
      </c>
      <c r="C2067" s="18" t="s">
        <v>19</v>
      </c>
      <c r="D2067" s="19"/>
      <c r="E2067" s="19"/>
      <c r="F2067" s="20">
        <f t="shared" si="24"/>
        <v>0</v>
      </c>
      <c r="G2067" s="67">
        <f>IFERROR(VLOOKUP(B2067,DADOS!$A$2:$H$252,8,0),"")</f>
        <v>25</v>
      </c>
      <c r="H2067" s="22">
        <v>1.0</v>
      </c>
      <c r="I2067" s="23">
        <f>IFERROR(VLOOKUP(B2067,DADOS!$A$2:$H$252,4,0)*H2067,"")</f>
        <v>0.1301976</v>
      </c>
      <c r="J2067" s="36"/>
      <c r="K2067" s="25">
        <f>IFERROR(VLOOKUP(B2067,DADOS!$A$2:$H$252,4,0)*J2067,"")</f>
        <v>0</v>
      </c>
      <c r="L2067" s="26">
        <f t="shared" si="23"/>
        <v>0</v>
      </c>
      <c r="M2067" s="27"/>
      <c r="N2067" s="30"/>
      <c r="O2067" s="28"/>
      <c r="P2067" s="28"/>
      <c r="Q2067" s="28"/>
      <c r="R2067" s="28"/>
      <c r="S2067" s="28"/>
    </row>
    <row r="2068">
      <c r="A2068" s="17">
        <v>46042.0</v>
      </c>
      <c r="B2068" s="18" t="s">
        <v>79</v>
      </c>
      <c r="C2068" s="18" t="s">
        <v>65</v>
      </c>
      <c r="D2068" s="19"/>
      <c r="E2068" s="19"/>
      <c r="F2068" s="20">
        <f t="shared" si="24"/>
        <v>0</v>
      </c>
      <c r="G2068" s="67">
        <f>IFERROR(VLOOKUP(B2068,DADOS!$A$2:$H$252,8,0),"")</f>
        <v>87</v>
      </c>
      <c r="H2068" s="22">
        <v>178.0</v>
      </c>
      <c r="I2068" s="23">
        <f>IFERROR(VLOOKUP(B2068,DADOS!$A$2:$H$252,4,0)*H2068,"")</f>
        <v>3.04736</v>
      </c>
      <c r="J2068" s="24">
        <v>3.0</v>
      </c>
      <c r="K2068" s="25">
        <f>IFERROR(VLOOKUP(B2068,DADOS!$A$2:$H$252,4,0)*J2068,"")</f>
        <v>0.05136</v>
      </c>
      <c r="L2068" s="26">
        <f t="shared" si="23"/>
        <v>0</v>
      </c>
      <c r="M2068" s="27"/>
      <c r="N2068" s="30"/>
      <c r="O2068" s="28"/>
      <c r="P2068" s="28"/>
      <c r="Q2068" s="28"/>
      <c r="R2068" s="28"/>
      <c r="S2068" s="28"/>
    </row>
    <row r="2069">
      <c r="A2069" s="17">
        <v>46043.0</v>
      </c>
      <c r="B2069" s="18" t="s">
        <v>79</v>
      </c>
      <c r="C2069" s="18" t="s">
        <v>65</v>
      </c>
      <c r="D2069" s="19"/>
      <c r="E2069" s="19"/>
      <c r="F2069" s="20">
        <f t="shared" si="24"/>
        <v>0</v>
      </c>
      <c r="G2069" s="67">
        <f>IFERROR(VLOOKUP(B2069,DADOS!$A$2:$H$252,8,0),"")</f>
        <v>87</v>
      </c>
      <c r="H2069" s="22">
        <v>126.0</v>
      </c>
      <c r="I2069" s="23">
        <f>IFERROR(VLOOKUP(B2069,DADOS!$A$2:$H$252,4,0)*H2069,"")</f>
        <v>2.15712</v>
      </c>
      <c r="J2069" s="24">
        <v>4.0</v>
      </c>
      <c r="K2069" s="25">
        <f>IFERROR(VLOOKUP(B2069,DADOS!$A$2:$H$252,4,0)*J2069,"")</f>
        <v>0.06848</v>
      </c>
      <c r="L2069" s="26">
        <f t="shared" si="23"/>
        <v>0</v>
      </c>
      <c r="M2069" s="27"/>
      <c r="N2069" s="30"/>
      <c r="O2069" s="28"/>
      <c r="P2069" s="28"/>
      <c r="Q2069" s="28"/>
      <c r="R2069" s="28"/>
      <c r="S2069" s="28"/>
    </row>
    <row r="2070">
      <c r="A2070" s="17">
        <v>46043.0</v>
      </c>
      <c r="B2070" s="18" t="s">
        <v>56</v>
      </c>
      <c r="C2070" s="18" t="s">
        <v>65</v>
      </c>
      <c r="D2070" s="19"/>
      <c r="E2070" s="19"/>
      <c r="F2070" s="20">
        <f t="shared" si="24"/>
        <v>0</v>
      </c>
      <c r="G2070" s="67">
        <f>IFERROR(VLOOKUP(B2070,DADOS!$A$2:$H$252,8,0),"")</f>
        <v>162</v>
      </c>
      <c r="H2070" s="22">
        <v>110.0</v>
      </c>
      <c r="I2070" s="23">
        <f>IFERROR(VLOOKUP(B2070,DADOS!$A$2:$H$252,4,0)*H2070,"")</f>
        <v>1.0593</v>
      </c>
      <c r="J2070" s="36"/>
      <c r="K2070" s="25">
        <f>IFERROR(VLOOKUP(B2070,DADOS!$A$2:$H$252,4,0)*J2070,"")</f>
        <v>0</v>
      </c>
      <c r="L2070" s="26">
        <f t="shared" si="23"/>
        <v>0</v>
      </c>
      <c r="M2070" s="27"/>
      <c r="N2070" s="30"/>
      <c r="O2070" s="28"/>
      <c r="P2070" s="28"/>
      <c r="Q2070" s="28"/>
      <c r="R2070" s="28"/>
      <c r="S2070" s="28"/>
    </row>
    <row r="2071">
      <c r="A2071" s="17">
        <v>46043.0</v>
      </c>
      <c r="B2071" s="18" t="s">
        <v>47</v>
      </c>
      <c r="C2071" s="18" t="s">
        <v>165</v>
      </c>
      <c r="D2071" s="19">
        <v>0.3194444444444444</v>
      </c>
      <c r="E2071" s="19">
        <v>0.3888888888888889</v>
      </c>
      <c r="F2071" s="20">
        <f t="shared" si="24"/>
        <v>0.06944444444</v>
      </c>
      <c r="G2071" s="67">
        <f>IFERROR(VLOOKUP(B2071,DADOS!$A$2:$H$252,8,0),"")</f>
        <v>35</v>
      </c>
      <c r="H2071" s="22">
        <v>29.0</v>
      </c>
      <c r="I2071" s="23">
        <f>IFERROR(VLOOKUP(B2071,DADOS!$A$2:$H$252,4,0)*H2071,"")</f>
        <v>3.3040744</v>
      </c>
      <c r="J2071" s="24">
        <v>1.0</v>
      </c>
      <c r="K2071" s="25">
        <f>IFERROR(VLOOKUP(B2071,DADOS!$A$2:$H$252,4,0)*J2071,"")</f>
        <v>0.1139336</v>
      </c>
      <c r="L2071" s="26">
        <f t="shared" si="23"/>
        <v>0</v>
      </c>
      <c r="M2071" s="27"/>
      <c r="N2071" s="30"/>
      <c r="O2071" s="28"/>
      <c r="P2071" s="28"/>
      <c r="Q2071" s="28"/>
      <c r="R2071" s="28"/>
      <c r="S2071" s="28"/>
    </row>
    <row r="2072">
      <c r="A2072" s="17">
        <v>46043.0</v>
      </c>
      <c r="B2072" s="18" t="s">
        <v>92</v>
      </c>
      <c r="C2072" s="18" t="s">
        <v>165</v>
      </c>
      <c r="D2072" s="19">
        <v>0.59375</v>
      </c>
      <c r="E2072" s="19">
        <v>0.7173611111111111</v>
      </c>
      <c r="F2072" s="20">
        <f t="shared" si="24"/>
        <v>0.1236111111</v>
      </c>
      <c r="G2072" s="67">
        <f>IFERROR(VLOOKUP(B2072,DADOS!$A$2:$H$252,8,0),"")</f>
        <v>100</v>
      </c>
      <c r="H2072" s="22">
        <v>169.0</v>
      </c>
      <c r="I2072" s="23">
        <f>IFERROR(VLOOKUP(B2072,DADOS!$A$2:$H$252,4,0)*H2072,"")</f>
        <v>4.2784378</v>
      </c>
      <c r="J2072" s="36"/>
      <c r="K2072" s="25">
        <f>IFERROR(VLOOKUP(B2072,DADOS!$A$2:$H$252,4,0)*J2072,"")</f>
        <v>0</v>
      </c>
      <c r="L2072" s="26">
        <f t="shared" si="23"/>
        <v>0</v>
      </c>
      <c r="M2072" s="27"/>
      <c r="N2072" s="30"/>
      <c r="O2072" s="28"/>
      <c r="P2072" s="28"/>
      <c r="Q2072" s="28"/>
      <c r="R2072" s="28"/>
      <c r="S2072" s="28"/>
    </row>
    <row r="2073">
      <c r="A2073" s="17">
        <v>46044.0</v>
      </c>
      <c r="B2073" s="18" t="s">
        <v>56</v>
      </c>
      <c r="C2073" s="18" t="s">
        <v>65</v>
      </c>
      <c r="D2073" s="19"/>
      <c r="E2073" s="19"/>
      <c r="F2073" s="20">
        <f t="shared" si="24"/>
        <v>0</v>
      </c>
      <c r="G2073" s="67">
        <f>IFERROR(VLOOKUP(B2073,DADOS!$A$2:$H$252,8,0),"")</f>
        <v>162</v>
      </c>
      <c r="H2073" s="22">
        <v>310.0</v>
      </c>
      <c r="I2073" s="23">
        <f>IFERROR(VLOOKUP(B2073,DADOS!$A$2:$H$252,4,0)*H2073,"")</f>
        <v>2.9853</v>
      </c>
      <c r="J2073" s="36"/>
      <c r="K2073" s="25">
        <f>IFERROR(VLOOKUP(B2073,DADOS!$A$2:$H$252,4,0)*J2073,"")</f>
        <v>0</v>
      </c>
      <c r="L2073" s="26">
        <f t="shared" si="23"/>
        <v>0</v>
      </c>
      <c r="M2073" s="27"/>
      <c r="N2073" s="30"/>
      <c r="O2073" s="28"/>
      <c r="P2073" s="28"/>
      <c r="Q2073" s="28"/>
      <c r="R2073" s="28"/>
      <c r="S2073" s="28"/>
    </row>
    <row r="2074">
      <c r="A2074" s="17">
        <v>46044.0</v>
      </c>
      <c r="B2074" s="18" t="s">
        <v>16</v>
      </c>
      <c r="C2074" s="18" t="s">
        <v>165</v>
      </c>
      <c r="D2074" s="19"/>
      <c r="E2074" s="19"/>
      <c r="F2074" s="20">
        <f t="shared" si="24"/>
        <v>0</v>
      </c>
      <c r="G2074" s="67">
        <f>IFERROR(VLOOKUP(B2074,DADOS!$A$2:$H$252,8,0),"")</f>
        <v>150</v>
      </c>
      <c r="H2074" s="22">
        <v>43.0</v>
      </c>
      <c r="I2074" s="23">
        <f>IFERROR(VLOOKUP(B2074,DADOS!$A$2:$H$252,4,0)*H2074,"")</f>
        <v>1.2441104</v>
      </c>
      <c r="J2074" s="36"/>
      <c r="K2074" s="25">
        <f>IFERROR(VLOOKUP(B2074,DADOS!$A$2:$H$252,4,0)*J2074,"")</f>
        <v>0</v>
      </c>
      <c r="L2074" s="26">
        <f t="shared" si="23"/>
        <v>0</v>
      </c>
      <c r="M2074" s="27"/>
      <c r="N2074" s="30"/>
      <c r="O2074" s="28"/>
      <c r="P2074" s="28"/>
      <c r="Q2074" s="28"/>
      <c r="R2074" s="28"/>
      <c r="S2074" s="28"/>
    </row>
    <row r="2075">
      <c r="A2075" s="17">
        <v>46044.0</v>
      </c>
      <c r="B2075" s="18" t="s">
        <v>62</v>
      </c>
      <c r="C2075" s="18" t="s">
        <v>165</v>
      </c>
      <c r="D2075" s="19"/>
      <c r="E2075" s="19"/>
      <c r="F2075" s="20">
        <f t="shared" si="24"/>
        <v>0</v>
      </c>
      <c r="G2075" s="67">
        <f>IFERROR(VLOOKUP(B2075,DADOS!$A$2:$H$252,8,0),"")</f>
        <v>14</v>
      </c>
      <c r="H2075" s="22">
        <v>86.0</v>
      </c>
      <c r="I2075" s="23">
        <f>IFERROR(VLOOKUP(B2075,DADOS!$A$2:$H$252,4,0)*H2075,"")</f>
        <v>7.3082284</v>
      </c>
      <c r="J2075" s="36"/>
      <c r="K2075" s="25">
        <f>IFERROR(VLOOKUP(B2075,DADOS!$A$2:$H$252,4,0)*J2075,"")</f>
        <v>0</v>
      </c>
      <c r="L2075" s="26">
        <f t="shared" si="23"/>
        <v>0</v>
      </c>
      <c r="M2075" s="27"/>
      <c r="N2075" s="30"/>
      <c r="O2075" s="28"/>
      <c r="P2075" s="28"/>
      <c r="Q2075" s="28"/>
      <c r="R2075" s="28"/>
      <c r="S2075" s="28"/>
    </row>
    <row r="2076">
      <c r="A2076" s="17">
        <v>46044.0</v>
      </c>
      <c r="B2076" s="18" t="s">
        <v>94</v>
      </c>
      <c r="C2076" s="18" t="s">
        <v>165</v>
      </c>
      <c r="D2076" s="19"/>
      <c r="E2076" s="19"/>
      <c r="F2076" s="20">
        <f t="shared" si="24"/>
        <v>0</v>
      </c>
      <c r="G2076" s="67">
        <f>IFERROR(VLOOKUP(B2076,DADOS!$A$2:$H$252,8,0),"")</f>
        <v>100</v>
      </c>
      <c r="H2076" s="22">
        <v>18.0</v>
      </c>
      <c r="I2076" s="23">
        <f>IFERROR(VLOOKUP(B2076,DADOS!$A$2:$H$252,4,0)*H2076,"")</f>
        <v>0.6794928</v>
      </c>
      <c r="J2076" s="36"/>
      <c r="K2076" s="25">
        <f>IFERROR(VLOOKUP(B2076,DADOS!$A$2:$H$252,4,0)*J2076,"")</f>
        <v>0</v>
      </c>
      <c r="L2076" s="26">
        <f t="shared" si="23"/>
        <v>0</v>
      </c>
      <c r="M2076" s="27"/>
      <c r="N2076" s="30"/>
      <c r="O2076" s="28"/>
      <c r="P2076" s="28"/>
      <c r="Q2076" s="28"/>
      <c r="R2076" s="28"/>
      <c r="S2076" s="28"/>
    </row>
    <row r="2077">
      <c r="A2077" s="17">
        <v>46045.0</v>
      </c>
      <c r="B2077" s="18" t="s">
        <v>56</v>
      </c>
      <c r="C2077" s="18" t="s">
        <v>65</v>
      </c>
      <c r="D2077" s="19"/>
      <c r="E2077" s="19"/>
      <c r="F2077" s="20">
        <f t="shared" si="24"/>
        <v>0</v>
      </c>
      <c r="G2077" s="67">
        <f>IFERROR(VLOOKUP(B2077,DADOS!$A$2:$H$252,8,0),"")</f>
        <v>162</v>
      </c>
      <c r="H2077" s="22">
        <v>203.0</v>
      </c>
      <c r="I2077" s="23">
        <f>IFERROR(VLOOKUP(B2077,DADOS!$A$2:$H$252,4,0)*H2077,"")</f>
        <v>1.95489</v>
      </c>
      <c r="J2077" s="36"/>
      <c r="K2077" s="25">
        <f>IFERROR(VLOOKUP(B2077,DADOS!$A$2:$H$252,4,0)*J2077,"")</f>
        <v>0</v>
      </c>
      <c r="L2077" s="26">
        <f t="shared" si="23"/>
        <v>0</v>
      </c>
      <c r="M2077" s="27"/>
      <c r="N2077" s="30"/>
      <c r="O2077" s="28"/>
      <c r="P2077" s="28"/>
      <c r="Q2077" s="28"/>
      <c r="R2077" s="28"/>
      <c r="S2077" s="28"/>
    </row>
    <row r="2078">
      <c r="A2078" s="17">
        <v>46045.0</v>
      </c>
      <c r="B2078" s="18" t="s">
        <v>94</v>
      </c>
      <c r="C2078" s="18" t="s">
        <v>165</v>
      </c>
      <c r="D2078" s="19"/>
      <c r="E2078" s="19"/>
      <c r="F2078" s="20">
        <f t="shared" si="24"/>
        <v>0</v>
      </c>
      <c r="G2078" s="67">
        <f>IFERROR(VLOOKUP(B2078,DADOS!$A$2:$H$252,8,0),"")</f>
        <v>100</v>
      </c>
      <c r="H2078" s="22">
        <v>95.0</v>
      </c>
      <c r="I2078" s="23">
        <f>IFERROR(VLOOKUP(B2078,DADOS!$A$2:$H$252,4,0)*H2078,"")</f>
        <v>3.586212</v>
      </c>
      <c r="J2078" s="36"/>
      <c r="K2078" s="25">
        <f>IFERROR(VLOOKUP(B2078,DADOS!$A$2:$H$252,4,0)*J2078,"")</f>
        <v>0</v>
      </c>
      <c r="L2078" s="26">
        <f t="shared" si="23"/>
        <v>0</v>
      </c>
      <c r="M2078" s="27"/>
      <c r="N2078" s="30"/>
      <c r="O2078" s="28"/>
      <c r="P2078" s="28"/>
      <c r="Q2078" s="28"/>
      <c r="R2078" s="28"/>
      <c r="S2078" s="28"/>
    </row>
    <row r="2079">
      <c r="A2079" s="17">
        <v>46045.0</v>
      </c>
      <c r="B2079" s="18" t="s">
        <v>18</v>
      </c>
      <c r="C2079" s="18" t="s">
        <v>165</v>
      </c>
      <c r="D2079" s="19"/>
      <c r="E2079" s="19"/>
      <c r="F2079" s="20">
        <f t="shared" si="24"/>
        <v>0</v>
      </c>
      <c r="G2079" s="67">
        <f>IFERROR(VLOOKUP(B2079,DADOS!$A$2:$H$252,8,0),"")</f>
        <v>21</v>
      </c>
      <c r="H2079" s="22">
        <v>21.0</v>
      </c>
      <c r="I2079" s="23">
        <f>IFERROR(VLOOKUP(B2079,DADOS!$A$2:$H$252,4,0)*H2079,"")</f>
        <v>6.152286</v>
      </c>
      <c r="J2079" s="36"/>
      <c r="K2079" s="25">
        <f>IFERROR(VLOOKUP(B2079,DADOS!$A$2:$H$252,4,0)*J2079,"")</f>
        <v>0</v>
      </c>
      <c r="L2079" s="26">
        <f t="shared" si="23"/>
        <v>0</v>
      </c>
      <c r="M2079" s="27"/>
      <c r="N2079" s="30"/>
      <c r="O2079" s="28"/>
      <c r="P2079" s="28"/>
      <c r="Q2079" s="28"/>
      <c r="R2079" s="28"/>
      <c r="S2079" s="28"/>
    </row>
    <row r="2080">
      <c r="A2080" s="17">
        <v>46046.0</v>
      </c>
      <c r="B2080" s="18" t="s">
        <v>155</v>
      </c>
      <c r="C2080" s="18" t="s">
        <v>193</v>
      </c>
      <c r="D2080" s="19"/>
      <c r="E2080" s="19"/>
      <c r="F2080" s="20">
        <f t="shared" si="24"/>
        <v>0</v>
      </c>
      <c r="G2080" s="67">
        <f>IFERROR(VLOOKUP(B2080,DADOS!$A$2:$H$252,8,0),"")</f>
        <v>18</v>
      </c>
      <c r="H2080" s="22">
        <v>60.0</v>
      </c>
      <c r="I2080" s="23">
        <f>IFERROR(VLOOKUP(B2080,DADOS!$A$2:$H$252,4,0)*H2080,"")</f>
        <v>23.74116</v>
      </c>
      <c r="J2080" s="36"/>
      <c r="K2080" s="25">
        <f>IFERROR(VLOOKUP(B2080,DADOS!$A$2:$H$252,4,0)*J2080,"")</f>
        <v>0</v>
      </c>
      <c r="L2080" s="26">
        <f t="shared" si="23"/>
        <v>0</v>
      </c>
      <c r="M2080" s="27"/>
      <c r="N2080" s="30"/>
      <c r="O2080" s="28"/>
      <c r="P2080" s="28"/>
      <c r="Q2080" s="28"/>
      <c r="R2080" s="28"/>
      <c r="S2080" s="28"/>
    </row>
    <row r="2081">
      <c r="A2081" s="17">
        <v>46048.0</v>
      </c>
      <c r="B2081" s="18" t="s">
        <v>27</v>
      </c>
      <c r="C2081" s="18" t="s">
        <v>65</v>
      </c>
      <c r="D2081" s="19"/>
      <c r="E2081" s="19"/>
      <c r="F2081" s="20">
        <f t="shared" si="24"/>
        <v>0</v>
      </c>
      <c r="G2081" s="67">
        <f>IFERROR(VLOOKUP(B2081,DADOS!$A$2:$H$252,8,0),"")</f>
        <v>30</v>
      </c>
      <c r="H2081" s="22">
        <v>45.0</v>
      </c>
      <c r="I2081" s="23">
        <f>IFERROR(VLOOKUP(B2081,DADOS!$A$2:$H$252,4,0)*H2081,"")</f>
        <v>0.7704</v>
      </c>
      <c r="J2081" s="24">
        <v>6.0</v>
      </c>
      <c r="K2081" s="25">
        <f>IFERROR(VLOOKUP(B2081,DADOS!$A$2:$H$252,4,0)*J2081,"")</f>
        <v>0.10272</v>
      </c>
      <c r="L2081" s="26">
        <f t="shared" si="23"/>
        <v>0</v>
      </c>
      <c r="M2081" s="27"/>
      <c r="N2081" s="30"/>
      <c r="O2081" s="28"/>
      <c r="P2081" s="28"/>
      <c r="Q2081" s="28"/>
      <c r="R2081" s="28"/>
      <c r="S2081" s="28"/>
    </row>
    <row r="2082">
      <c r="A2082" s="17">
        <v>46048.0</v>
      </c>
      <c r="B2082" s="18" t="s">
        <v>56</v>
      </c>
      <c r="C2082" s="18" t="s">
        <v>65</v>
      </c>
      <c r="D2082" s="19"/>
      <c r="E2082" s="19"/>
      <c r="F2082" s="20">
        <f t="shared" si="24"/>
        <v>0</v>
      </c>
      <c r="G2082" s="67">
        <f>IFERROR(VLOOKUP(B2082,DADOS!$A$2:$H$252,8,0),"")</f>
        <v>162</v>
      </c>
      <c r="H2082" s="22">
        <v>186.0</v>
      </c>
      <c r="I2082" s="23">
        <f>IFERROR(VLOOKUP(B2082,DADOS!$A$2:$H$252,4,0)*H2082,"")</f>
        <v>1.79118</v>
      </c>
      <c r="J2082" s="36"/>
      <c r="K2082" s="25">
        <f>IFERROR(VLOOKUP(B2082,DADOS!$A$2:$H$252,4,0)*J2082,"")</f>
        <v>0</v>
      </c>
      <c r="L2082" s="26">
        <f t="shared" si="23"/>
        <v>0</v>
      </c>
      <c r="M2082" s="27"/>
      <c r="N2082" s="30"/>
      <c r="O2082" s="28"/>
      <c r="P2082" s="28"/>
      <c r="Q2082" s="28"/>
      <c r="R2082" s="28"/>
      <c r="S2082" s="28"/>
    </row>
    <row r="2083">
      <c r="A2083" s="17">
        <v>46048.0</v>
      </c>
      <c r="B2083" s="18" t="s">
        <v>18</v>
      </c>
      <c r="C2083" s="18" t="s">
        <v>165</v>
      </c>
      <c r="D2083" s="19"/>
      <c r="E2083" s="19"/>
      <c r="F2083" s="20">
        <f t="shared" si="24"/>
        <v>0</v>
      </c>
      <c r="G2083" s="67">
        <f>IFERROR(VLOOKUP(B2083,DADOS!$A$2:$H$252,8,0),"")</f>
        <v>21</v>
      </c>
      <c r="H2083" s="22">
        <v>18.0</v>
      </c>
      <c r="I2083" s="23">
        <f>IFERROR(VLOOKUP(B2083,DADOS!$A$2:$H$252,4,0)*H2083,"")</f>
        <v>5.273388</v>
      </c>
      <c r="J2083" s="36"/>
      <c r="K2083" s="25">
        <f>IFERROR(VLOOKUP(B2083,DADOS!$A$2:$H$252,4,0)*J2083,"")</f>
        <v>0</v>
      </c>
      <c r="L2083" s="26">
        <f t="shared" si="23"/>
        <v>0</v>
      </c>
      <c r="M2083" s="27"/>
      <c r="N2083" s="30"/>
      <c r="O2083" s="28"/>
      <c r="P2083" s="28"/>
      <c r="Q2083" s="28"/>
      <c r="R2083" s="28"/>
      <c r="S2083" s="28"/>
    </row>
    <row r="2084">
      <c r="A2084" s="17">
        <v>46048.0</v>
      </c>
      <c r="B2084" s="18" t="s">
        <v>94</v>
      </c>
      <c r="C2084" s="18" t="s">
        <v>165</v>
      </c>
      <c r="D2084" s="19"/>
      <c r="E2084" s="19"/>
      <c r="F2084" s="20">
        <f t="shared" si="24"/>
        <v>0</v>
      </c>
      <c r="G2084" s="67">
        <f>IFERROR(VLOOKUP(B2084,DADOS!$A$2:$H$252,8,0),"")</f>
        <v>100</v>
      </c>
      <c r="H2084" s="22">
        <v>135.0</v>
      </c>
      <c r="I2084" s="23">
        <f>IFERROR(VLOOKUP(B2084,DADOS!$A$2:$H$252,4,0)*H2084,"")</f>
        <v>5.096196</v>
      </c>
      <c r="J2084" s="36"/>
      <c r="K2084" s="25">
        <f>IFERROR(VLOOKUP(B2084,DADOS!$A$2:$H$252,4,0)*J2084,"")</f>
        <v>0</v>
      </c>
      <c r="L2084" s="26">
        <f t="shared" si="23"/>
        <v>0</v>
      </c>
      <c r="M2084" s="27"/>
      <c r="N2084" s="30"/>
      <c r="O2084" s="63"/>
      <c r="P2084" s="63"/>
      <c r="Q2084" s="63"/>
      <c r="R2084" s="63"/>
      <c r="S2084" s="63"/>
      <c r="T2084" s="64"/>
      <c r="U2084" s="64"/>
      <c r="V2084" s="64"/>
      <c r="W2084" s="64"/>
      <c r="X2084" s="64"/>
      <c r="Y2084" s="64"/>
      <c r="Z2084" s="64"/>
      <c r="AA2084" s="64"/>
      <c r="AB2084" s="64"/>
      <c r="AC2084" s="64"/>
      <c r="AD2084" s="64"/>
      <c r="AE2084" s="64"/>
      <c r="AF2084" s="64"/>
      <c r="AG2084" s="64"/>
      <c r="AH2084" s="64"/>
      <c r="AI2084" s="64"/>
      <c r="AJ2084" s="64"/>
    </row>
    <row r="2085">
      <c r="A2085" s="43">
        <v>46048.0</v>
      </c>
      <c r="B2085" s="44" t="s">
        <v>18</v>
      </c>
      <c r="C2085" s="44" t="s">
        <v>80</v>
      </c>
      <c r="D2085" s="45"/>
      <c r="E2085" s="45"/>
      <c r="F2085" s="20">
        <f t="shared" si="24"/>
        <v>0</v>
      </c>
      <c r="G2085" s="67">
        <f>IFERROR(VLOOKUP(B2085,DADOS!$A$2:$H$252,8,0),"")</f>
        <v>21</v>
      </c>
      <c r="H2085" s="47"/>
      <c r="I2085" s="23">
        <f>IFERROR(VLOOKUP(B2085,DADOS!$A$2:$H$252,4,0)*H2085,"")</f>
        <v>0</v>
      </c>
      <c r="J2085" s="46">
        <v>2.0</v>
      </c>
      <c r="K2085" s="25">
        <f>IFERROR(VLOOKUP(B2085,DADOS!$A$2:$H$252,4,0)*J2085,"")</f>
        <v>0.585932</v>
      </c>
      <c r="L2085" s="26">
        <f t="shared" si="23"/>
        <v>0</v>
      </c>
      <c r="M2085" s="33" t="s">
        <v>83</v>
      </c>
      <c r="N2085" s="33" t="s">
        <v>88</v>
      </c>
      <c r="O2085" s="63"/>
      <c r="P2085" s="63"/>
      <c r="Q2085" s="63"/>
      <c r="R2085" s="63"/>
      <c r="S2085" s="63"/>
      <c r="T2085" s="64"/>
      <c r="U2085" s="64"/>
      <c r="V2085" s="64"/>
      <c r="W2085" s="64"/>
      <c r="X2085" s="64"/>
      <c r="Y2085" s="64"/>
      <c r="Z2085" s="64"/>
      <c r="AA2085" s="64"/>
      <c r="AB2085" s="64"/>
      <c r="AC2085" s="64"/>
      <c r="AD2085" s="64"/>
      <c r="AE2085" s="64"/>
      <c r="AF2085" s="64"/>
      <c r="AG2085" s="64"/>
      <c r="AH2085" s="64"/>
      <c r="AI2085" s="64"/>
      <c r="AJ2085" s="64"/>
    </row>
    <row r="2086">
      <c r="A2086" s="43">
        <v>46048.0</v>
      </c>
      <c r="B2086" s="44" t="s">
        <v>62</v>
      </c>
      <c r="C2086" s="44" t="s">
        <v>80</v>
      </c>
      <c r="D2086" s="45"/>
      <c r="E2086" s="45"/>
      <c r="F2086" s="20">
        <f t="shared" si="24"/>
        <v>0</v>
      </c>
      <c r="G2086" s="67">
        <f>IFERROR(VLOOKUP(B2086,DADOS!$A$2:$H$252,8,0),"")</f>
        <v>14</v>
      </c>
      <c r="H2086" s="47"/>
      <c r="I2086" s="23">
        <f>IFERROR(VLOOKUP(B2086,DADOS!$A$2:$H$252,4,0)*H2086,"")</f>
        <v>0</v>
      </c>
      <c r="J2086" s="46">
        <v>2.0</v>
      </c>
      <c r="K2086" s="25">
        <f>IFERROR(VLOOKUP(B2086,DADOS!$A$2:$H$252,4,0)*J2086,"")</f>
        <v>0.1699588</v>
      </c>
      <c r="L2086" s="26">
        <f t="shared" si="23"/>
        <v>0</v>
      </c>
      <c r="M2086" s="33" t="s">
        <v>83</v>
      </c>
      <c r="N2086" s="33" t="s">
        <v>88</v>
      </c>
      <c r="O2086" s="63"/>
      <c r="P2086" s="63"/>
      <c r="Q2086" s="63"/>
      <c r="R2086" s="63"/>
      <c r="S2086" s="63"/>
      <c r="T2086" s="64"/>
      <c r="U2086" s="64"/>
      <c r="V2086" s="64"/>
      <c r="W2086" s="64"/>
      <c r="X2086" s="64"/>
      <c r="Y2086" s="64"/>
      <c r="Z2086" s="64"/>
      <c r="AA2086" s="64"/>
      <c r="AB2086" s="64"/>
      <c r="AC2086" s="64"/>
      <c r="AD2086" s="64"/>
      <c r="AE2086" s="64"/>
      <c r="AF2086" s="64"/>
      <c r="AG2086" s="64"/>
      <c r="AH2086" s="64"/>
      <c r="AI2086" s="64"/>
      <c r="AJ2086" s="64"/>
    </row>
    <row r="2087">
      <c r="A2087" s="43">
        <v>46048.0</v>
      </c>
      <c r="B2087" s="44" t="s">
        <v>186</v>
      </c>
      <c r="C2087" s="44" t="s">
        <v>80</v>
      </c>
      <c r="D2087" s="45"/>
      <c r="E2087" s="45"/>
      <c r="F2087" s="20">
        <f t="shared" si="24"/>
        <v>0</v>
      </c>
      <c r="G2087" s="67">
        <f>IFERROR(VLOOKUP(B2087,DADOS!$A$2:$H$252,8,0),"")</f>
        <v>25</v>
      </c>
      <c r="H2087" s="47"/>
      <c r="I2087" s="23">
        <f>IFERROR(VLOOKUP(B2087,DADOS!$A$2:$H$252,4,0)*H2087,"")</f>
        <v>0</v>
      </c>
      <c r="J2087" s="46">
        <v>1.0</v>
      </c>
      <c r="K2087" s="25">
        <f>IFERROR(VLOOKUP(B2087,DADOS!$A$2:$H$252,4,0)*J2087,"")</f>
        <v>0.277344</v>
      </c>
      <c r="L2087" s="26">
        <f t="shared" si="23"/>
        <v>0</v>
      </c>
      <c r="M2087" s="33" t="s">
        <v>39</v>
      </c>
      <c r="N2087" s="33" t="s">
        <v>102</v>
      </c>
      <c r="O2087" s="28"/>
      <c r="P2087" s="28"/>
      <c r="Q2087" s="28"/>
      <c r="R2087" s="28"/>
      <c r="S2087" s="28"/>
    </row>
    <row r="2088">
      <c r="A2088" s="17">
        <v>46049.0</v>
      </c>
      <c r="B2088" s="18" t="s">
        <v>27</v>
      </c>
      <c r="C2088" s="18" t="s">
        <v>65</v>
      </c>
      <c r="D2088" s="19"/>
      <c r="E2088" s="19"/>
      <c r="F2088" s="20">
        <f t="shared" si="24"/>
        <v>0</v>
      </c>
      <c r="G2088" s="67">
        <f>IFERROR(VLOOKUP(B2088,DADOS!$A$2:$H$252,8,0),"")</f>
        <v>30</v>
      </c>
      <c r="H2088" s="22">
        <v>153.0</v>
      </c>
      <c r="I2088" s="23">
        <f>IFERROR(VLOOKUP(B2088,DADOS!$A$2:$H$252,4,0)*H2088,"")</f>
        <v>2.61936</v>
      </c>
      <c r="J2088" s="24">
        <v>11.0</v>
      </c>
      <c r="K2088" s="25">
        <f>IFERROR(VLOOKUP(B2088,DADOS!$A$2:$H$252,4,0)*J2088,"")</f>
        <v>0.18832</v>
      </c>
      <c r="L2088" s="26">
        <f t="shared" si="23"/>
        <v>0</v>
      </c>
      <c r="M2088" s="27"/>
      <c r="N2088" s="30"/>
      <c r="O2088" s="28"/>
      <c r="P2088" s="28"/>
      <c r="Q2088" s="28"/>
      <c r="R2088" s="28"/>
      <c r="S2088" s="28"/>
    </row>
    <row r="2089">
      <c r="A2089" s="17">
        <v>46049.0</v>
      </c>
      <c r="B2089" s="18" t="s">
        <v>18</v>
      </c>
      <c r="C2089" s="18" t="s">
        <v>165</v>
      </c>
      <c r="D2089" s="19"/>
      <c r="E2089" s="19"/>
      <c r="F2089" s="20">
        <f t="shared" si="24"/>
        <v>0</v>
      </c>
      <c r="G2089" s="67">
        <f>IFERROR(VLOOKUP(B2089,DADOS!$A$2:$H$252,8,0),"")</f>
        <v>21</v>
      </c>
      <c r="H2089" s="22">
        <v>70.0</v>
      </c>
      <c r="I2089" s="23">
        <f>IFERROR(VLOOKUP(B2089,DADOS!$A$2:$H$252,4,0)*H2089,"")</f>
        <v>20.50762</v>
      </c>
      <c r="J2089" s="24">
        <v>2.0</v>
      </c>
      <c r="K2089" s="25">
        <f>IFERROR(VLOOKUP(B2089,DADOS!$A$2:$H$252,4,0)*J2089,"")</f>
        <v>0.585932</v>
      </c>
      <c r="L2089" s="26">
        <f t="shared" si="23"/>
        <v>0</v>
      </c>
      <c r="M2089" s="27"/>
      <c r="N2089" s="30"/>
      <c r="O2089" s="28"/>
      <c r="P2089" s="28"/>
      <c r="Q2089" s="28"/>
      <c r="R2089" s="28"/>
      <c r="S2089" s="28"/>
    </row>
    <row r="2090">
      <c r="A2090" s="17">
        <v>46050.0</v>
      </c>
      <c r="B2090" s="18" t="s">
        <v>27</v>
      </c>
      <c r="C2090" s="18" t="s">
        <v>65</v>
      </c>
      <c r="D2090" s="19"/>
      <c r="E2090" s="19"/>
      <c r="F2090" s="20">
        <f t="shared" si="24"/>
        <v>0</v>
      </c>
      <c r="G2090" s="67">
        <f>IFERROR(VLOOKUP(B2090,DADOS!$A$2:$H$252,8,0),"")</f>
        <v>30</v>
      </c>
      <c r="H2090" s="22">
        <v>104.0</v>
      </c>
      <c r="I2090" s="23">
        <f>IFERROR(VLOOKUP(B2090,DADOS!$A$2:$H$252,4,0)*H2090,"")</f>
        <v>1.78048</v>
      </c>
      <c r="J2090" s="24">
        <v>13.0</v>
      </c>
      <c r="K2090" s="25">
        <f>IFERROR(VLOOKUP(B2090,DADOS!$A$2:$H$252,4,0)*J2090,"")</f>
        <v>0.22256</v>
      </c>
      <c r="L2090" s="26">
        <f t="shared" si="23"/>
        <v>0</v>
      </c>
      <c r="M2090" s="27"/>
      <c r="N2090" s="30"/>
      <c r="O2090" s="28"/>
      <c r="P2090" s="28"/>
      <c r="Q2090" s="28"/>
      <c r="R2090" s="28"/>
      <c r="S2090" s="28"/>
    </row>
    <row r="2091">
      <c r="A2091" s="17">
        <v>46050.0</v>
      </c>
      <c r="B2091" s="18" t="s">
        <v>18</v>
      </c>
      <c r="C2091" s="18" t="s">
        <v>165</v>
      </c>
      <c r="D2091" s="19"/>
      <c r="E2091" s="19"/>
      <c r="F2091" s="20">
        <f t="shared" si="24"/>
        <v>0</v>
      </c>
      <c r="G2091" s="67">
        <f>IFERROR(VLOOKUP(B2091,DADOS!$A$2:$H$252,8,0),"")</f>
        <v>21</v>
      </c>
      <c r="H2091" s="22">
        <v>41.0</v>
      </c>
      <c r="I2091" s="23">
        <f>IFERROR(VLOOKUP(B2091,DADOS!$A$2:$H$252,4,0)*H2091,"")</f>
        <v>12.011606</v>
      </c>
      <c r="J2091" s="36"/>
      <c r="K2091" s="25">
        <f>IFERROR(VLOOKUP(B2091,DADOS!$A$2:$H$252,4,0)*J2091,"")</f>
        <v>0</v>
      </c>
      <c r="L2091" s="26">
        <f t="shared" si="23"/>
        <v>0</v>
      </c>
      <c r="M2091" s="27"/>
      <c r="N2091" s="30"/>
      <c r="O2091" s="28"/>
      <c r="P2091" s="28"/>
      <c r="Q2091" s="28"/>
      <c r="R2091" s="28"/>
      <c r="S2091" s="28"/>
    </row>
    <row r="2092">
      <c r="A2092" s="17">
        <v>46050.0</v>
      </c>
      <c r="B2092" s="18" t="s">
        <v>25</v>
      </c>
      <c r="C2092" s="18" t="s">
        <v>165</v>
      </c>
      <c r="D2092" s="19"/>
      <c r="E2092" s="19"/>
      <c r="F2092" s="20">
        <f t="shared" si="24"/>
        <v>0</v>
      </c>
      <c r="G2092" s="67">
        <f>IFERROR(VLOOKUP(B2092,DADOS!$A$2:$H$252,8,0),"")</f>
        <v>40</v>
      </c>
      <c r="H2092" s="22">
        <v>35.0</v>
      </c>
      <c r="I2092" s="23">
        <f>IFERROR(VLOOKUP(B2092,DADOS!$A$2:$H$252,4,0)*H2092,"")</f>
        <v>3.62516</v>
      </c>
      <c r="J2092" s="36"/>
      <c r="K2092" s="25">
        <f>IFERROR(VLOOKUP(B2092,DADOS!$A$2:$H$252,4,0)*J2092,"")</f>
        <v>0</v>
      </c>
      <c r="L2092" s="26">
        <f t="shared" si="23"/>
        <v>0</v>
      </c>
      <c r="M2092" s="27"/>
      <c r="N2092" s="30"/>
      <c r="O2092" s="28"/>
      <c r="P2092" s="28"/>
      <c r="Q2092" s="28"/>
      <c r="R2092" s="28"/>
      <c r="S2092" s="28"/>
    </row>
    <row r="2093">
      <c r="A2093" s="17">
        <v>46051.0</v>
      </c>
      <c r="B2093" s="18" t="s">
        <v>27</v>
      </c>
      <c r="C2093" s="18" t="s">
        <v>65</v>
      </c>
      <c r="D2093" s="19"/>
      <c r="E2093" s="19"/>
      <c r="F2093" s="20">
        <f t="shared" si="24"/>
        <v>0</v>
      </c>
      <c r="G2093" s="67">
        <f>IFERROR(VLOOKUP(B2093,DADOS!$A$2:$H$252,8,0),"")</f>
        <v>30</v>
      </c>
      <c r="H2093" s="22">
        <v>200.0</v>
      </c>
      <c r="I2093" s="23">
        <f>IFERROR(VLOOKUP(B2093,DADOS!$A$2:$H$252,4,0)*H2093,"")</f>
        <v>3.424</v>
      </c>
      <c r="J2093" s="24">
        <v>14.0</v>
      </c>
      <c r="K2093" s="25">
        <f>IFERROR(VLOOKUP(B2093,DADOS!$A$2:$H$252,4,0)*J2093,"")</f>
        <v>0.23968</v>
      </c>
      <c r="L2093" s="26">
        <f t="shared" si="23"/>
        <v>0</v>
      </c>
      <c r="M2093" s="27"/>
      <c r="N2093" s="30"/>
      <c r="O2093" s="28"/>
      <c r="P2093" s="28"/>
      <c r="Q2093" s="28"/>
      <c r="R2093" s="28"/>
      <c r="S2093" s="28"/>
    </row>
    <row r="2094">
      <c r="A2094" s="17">
        <v>46051.0</v>
      </c>
      <c r="B2094" s="18" t="s">
        <v>25</v>
      </c>
      <c r="C2094" s="18" t="s">
        <v>165</v>
      </c>
      <c r="D2094" s="19"/>
      <c r="E2094" s="19"/>
      <c r="F2094" s="20">
        <f t="shared" si="24"/>
        <v>0</v>
      </c>
      <c r="G2094" s="67">
        <f>IFERROR(VLOOKUP(B2094,DADOS!$A$2:$H$252,8,0),"")</f>
        <v>40</v>
      </c>
      <c r="H2094" s="22">
        <v>74.0</v>
      </c>
      <c r="I2094" s="23">
        <f>IFERROR(VLOOKUP(B2094,DADOS!$A$2:$H$252,4,0)*H2094,"")</f>
        <v>7.664624</v>
      </c>
      <c r="J2094" s="36"/>
      <c r="K2094" s="25">
        <f>IFERROR(VLOOKUP(B2094,DADOS!$A$2:$H$252,4,0)*J2094,"")</f>
        <v>0</v>
      </c>
      <c r="L2094" s="26">
        <f t="shared" si="23"/>
        <v>0</v>
      </c>
      <c r="M2094" s="27"/>
      <c r="N2094" s="30"/>
      <c r="O2094" s="28"/>
      <c r="P2094" s="28"/>
      <c r="Q2094" s="28"/>
      <c r="R2094" s="28"/>
      <c r="S2094" s="28"/>
    </row>
    <row r="2095">
      <c r="A2095" s="17">
        <v>46051.0</v>
      </c>
      <c r="B2095" s="18" t="s">
        <v>37</v>
      </c>
      <c r="C2095" s="18" t="s">
        <v>165</v>
      </c>
      <c r="D2095" s="19"/>
      <c r="E2095" s="19"/>
      <c r="F2095" s="20">
        <f t="shared" si="24"/>
        <v>0</v>
      </c>
      <c r="G2095" s="67" t="str">
        <f>IFERROR(VLOOKUP(B2095,DADOS!$A$2:$H$252,8,0),"")</f>
        <v/>
      </c>
      <c r="H2095" s="22">
        <v>99.0</v>
      </c>
      <c r="I2095" s="23" t="str">
        <f>IFERROR(VLOOKUP(B2095,DADOS!$A$2:$H$252,4,0)*H2095,"")</f>
        <v/>
      </c>
      <c r="J2095" s="24">
        <v>1.0</v>
      </c>
      <c r="K2095" s="25" t="str">
        <f>IFERROR(VLOOKUP(B2095,DADOS!$A$2:$H$252,4,0)*J2095,"")</f>
        <v/>
      </c>
      <c r="L2095" s="26" t="str">
        <f t="shared" si="23"/>
        <v/>
      </c>
      <c r="M2095" s="27"/>
      <c r="N2095" s="30"/>
      <c r="O2095" s="28"/>
      <c r="P2095" s="28"/>
      <c r="Q2095" s="28"/>
      <c r="R2095" s="28"/>
      <c r="S2095" s="28"/>
    </row>
    <row r="2096">
      <c r="A2096" s="17">
        <v>46052.0</v>
      </c>
      <c r="B2096" s="18" t="s">
        <v>68</v>
      </c>
      <c r="C2096" s="18" t="s">
        <v>65</v>
      </c>
      <c r="D2096" s="19"/>
      <c r="E2096" s="19"/>
      <c r="F2096" s="20">
        <f t="shared" si="24"/>
        <v>0</v>
      </c>
      <c r="G2096" s="67">
        <f>IFERROR(VLOOKUP(B2096,DADOS!$A$2:$H$252,8,0),"")</f>
        <v>170</v>
      </c>
      <c r="H2096" s="22">
        <v>150.0</v>
      </c>
      <c r="I2096" s="23">
        <f>IFERROR(VLOOKUP(B2096,DADOS!$A$2:$H$252,4,0)*H2096,"")</f>
        <v>1.4445</v>
      </c>
      <c r="J2096" s="24">
        <v>1.0</v>
      </c>
      <c r="K2096" s="25">
        <f>IFERROR(VLOOKUP(B2096,DADOS!$A$2:$H$252,4,0)*J2096,"")</f>
        <v>0.00963</v>
      </c>
      <c r="L2096" s="26">
        <f t="shared" si="23"/>
        <v>0</v>
      </c>
      <c r="M2096" s="27"/>
      <c r="N2096" s="30"/>
      <c r="O2096" s="28"/>
      <c r="P2096" s="28"/>
      <c r="Q2096" s="28"/>
      <c r="R2096" s="28"/>
      <c r="S2096" s="28"/>
    </row>
    <row r="2097">
      <c r="A2097" s="17">
        <v>46052.0</v>
      </c>
      <c r="B2097" s="18" t="s">
        <v>79</v>
      </c>
      <c r="C2097" s="18" t="s">
        <v>65</v>
      </c>
      <c r="D2097" s="19"/>
      <c r="E2097" s="19"/>
      <c r="F2097" s="20">
        <f t="shared" si="24"/>
        <v>0</v>
      </c>
      <c r="G2097" s="67">
        <f>IFERROR(VLOOKUP(B2097,DADOS!$A$2:$H$252,8,0),"")</f>
        <v>87</v>
      </c>
      <c r="H2097" s="22">
        <v>110.0</v>
      </c>
      <c r="I2097" s="23">
        <f>IFERROR(VLOOKUP(B2097,DADOS!$A$2:$H$252,4,0)*H2097,"")</f>
        <v>1.8832</v>
      </c>
      <c r="J2097" s="24">
        <v>1.0</v>
      </c>
      <c r="K2097" s="25">
        <f>IFERROR(VLOOKUP(B2097,DADOS!$A$2:$H$252,4,0)*J2097,"")</f>
        <v>0.01712</v>
      </c>
      <c r="L2097" s="26">
        <f t="shared" si="23"/>
        <v>0</v>
      </c>
      <c r="M2097" s="27"/>
      <c r="N2097" s="30"/>
      <c r="O2097" s="28"/>
      <c r="P2097" s="28"/>
      <c r="Q2097" s="28"/>
      <c r="R2097" s="28"/>
      <c r="S2097" s="28"/>
    </row>
    <row r="2098">
      <c r="A2098" s="17">
        <v>46052.0</v>
      </c>
      <c r="B2098" s="18" t="s">
        <v>47</v>
      </c>
      <c r="C2098" s="18" t="s">
        <v>165</v>
      </c>
      <c r="D2098" s="19"/>
      <c r="E2098" s="19"/>
      <c r="F2098" s="20">
        <f t="shared" si="24"/>
        <v>0</v>
      </c>
      <c r="G2098" s="67">
        <f>IFERROR(VLOOKUP(B2098,DADOS!$A$2:$H$252,8,0),"")</f>
        <v>35</v>
      </c>
      <c r="H2098" s="22">
        <v>37.0</v>
      </c>
      <c r="I2098" s="23">
        <f>IFERROR(VLOOKUP(B2098,DADOS!$A$2:$H$252,4,0)*H2098,"")</f>
        <v>4.2155432</v>
      </c>
      <c r="J2098" s="24">
        <v>5.0</v>
      </c>
      <c r="K2098" s="25">
        <f>IFERROR(VLOOKUP(B2098,DADOS!$A$2:$H$252,4,0)*J2098,"")</f>
        <v>0.569668</v>
      </c>
      <c r="L2098" s="26">
        <f t="shared" si="23"/>
        <v>0</v>
      </c>
      <c r="M2098" s="27"/>
      <c r="N2098" s="30"/>
      <c r="O2098" s="28"/>
      <c r="P2098" s="28"/>
      <c r="Q2098" s="28"/>
      <c r="R2098" s="28"/>
      <c r="S2098" s="28"/>
    </row>
    <row r="2099">
      <c r="A2099" s="17">
        <v>46052.0</v>
      </c>
      <c r="B2099" s="18" t="s">
        <v>25</v>
      </c>
      <c r="C2099" s="18" t="s">
        <v>165</v>
      </c>
      <c r="D2099" s="19"/>
      <c r="E2099" s="19"/>
      <c r="F2099" s="20">
        <f t="shared" si="24"/>
        <v>0</v>
      </c>
      <c r="G2099" s="67">
        <f>IFERROR(VLOOKUP(B2099,DADOS!$A$2:$H$252,8,0),"")</f>
        <v>40</v>
      </c>
      <c r="H2099" s="22">
        <v>91.0</v>
      </c>
      <c r="I2099" s="23">
        <f>IFERROR(VLOOKUP(B2099,DADOS!$A$2:$H$252,4,0)*H2099,"")</f>
        <v>9.425416</v>
      </c>
      <c r="J2099" s="36"/>
      <c r="K2099" s="25">
        <f>IFERROR(VLOOKUP(B2099,DADOS!$A$2:$H$252,4,0)*J2099,"")</f>
        <v>0</v>
      </c>
      <c r="L2099" s="26">
        <f t="shared" si="23"/>
        <v>0</v>
      </c>
      <c r="M2099" s="27"/>
      <c r="N2099" s="30"/>
      <c r="O2099" s="28"/>
      <c r="P2099" s="28"/>
      <c r="Q2099" s="28"/>
      <c r="R2099" s="28"/>
      <c r="S2099" s="28"/>
    </row>
    <row r="2100">
      <c r="A2100" s="17">
        <v>46053.0</v>
      </c>
      <c r="B2100" s="18" t="s">
        <v>71</v>
      </c>
      <c r="C2100" s="18" t="s">
        <v>193</v>
      </c>
      <c r="D2100" s="19"/>
      <c r="E2100" s="19"/>
      <c r="F2100" s="20">
        <f t="shared" si="24"/>
        <v>0</v>
      </c>
      <c r="G2100" s="67">
        <f>IFERROR(VLOOKUP(B2100,DADOS!$A$2:$H$252,8,0),"")</f>
        <v>7</v>
      </c>
      <c r="H2100" s="22">
        <v>40.0</v>
      </c>
      <c r="I2100" s="23">
        <f>IFERROR(VLOOKUP(B2100,DADOS!$A$2:$H$252,4,0)*H2100,"")</f>
        <v>56.096248</v>
      </c>
      <c r="J2100" s="36"/>
      <c r="K2100" s="25">
        <f>IFERROR(VLOOKUP(B2100,DADOS!$A$2:$H$252,4,0)*J2100,"")</f>
        <v>0</v>
      </c>
      <c r="L2100" s="26">
        <f t="shared" si="23"/>
        <v>0</v>
      </c>
      <c r="M2100" s="27"/>
      <c r="N2100" s="30"/>
      <c r="O2100" s="28"/>
      <c r="P2100" s="28"/>
      <c r="Q2100" s="28"/>
      <c r="R2100" s="28"/>
      <c r="S2100" s="28"/>
    </row>
    <row r="2101">
      <c r="A2101" s="17">
        <v>46053.0</v>
      </c>
      <c r="B2101" s="18" t="s">
        <v>26</v>
      </c>
      <c r="C2101" s="18" t="s">
        <v>193</v>
      </c>
      <c r="D2101" s="19"/>
      <c r="E2101" s="19"/>
      <c r="F2101" s="20">
        <f t="shared" si="24"/>
        <v>0</v>
      </c>
      <c r="G2101" s="67">
        <f>IFERROR(VLOOKUP(B2101,DADOS!$A$2:$H$252,8,0),"")</f>
        <v>50</v>
      </c>
      <c r="H2101" s="22">
        <v>50.0</v>
      </c>
      <c r="I2101" s="23">
        <f>IFERROR(VLOOKUP(B2101,DADOS!$A$2:$H$252,4,0)*H2101,"")</f>
        <v>5.69668</v>
      </c>
      <c r="J2101" s="36"/>
      <c r="K2101" s="25">
        <f>IFERROR(VLOOKUP(B2101,DADOS!$A$2:$H$252,4,0)*J2101,"")</f>
        <v>0</v>
      </c>
      <c r="L2101" s="26">
        <f t="shared" si="23"/>
        <v>0</v>
      </c>
      <c r="M2101" s="27"/>
      <c r="N2101" s="30"/>
      <c r="O2101" s="28"/>
      <c r="P2101" s="28"/>
      <c r="Q2101" s="28"/>
      <c r="R2101" s="28"/>
      <c r="S2101" s="28"/>
    </row>
    <row r="2102">
      <c r="A2102" s="17">
        <v>46055.0</v>
      </c>
      <c r="B2102" s="18" t="s">
        <v>79</v>
      </c>
      <c r="C2102" s="18" t="s">
        <v>65</v>
      </c>
      <c r="D2102" s="19"/>
      <c r="E2102" s="19"/>
      <c r="F2102" s="20">
        <f t="shared" si="24"/>
        <v>0</v>
      </c>
      <c r="G2102" s="67">
        <f>IFERROR(VLOOKUP(B2102,DADOS!$A$2:$H$252,8,0),"")</f>
        <v>87</v>
      </c>
      <c r="H2102" s="22">
        <v>104.0</v>
      </c>
      <c r="I2102" s="23">
        <f>IFERROR(VLOOKUP(B2102,DADOS!$A$2:$H$252,4,0)*H2102,"")</f>
        <v>1.78048</v>
      </c>
      <c r="J2102" s="36"/>
      <c r="K2102" s="25">
        <f>IFERROR(VLOOKUP(B2102,DADOS!$A$2:$H$252,4,0)*J2102,"")</f>
        <v>0</v>
      </c>
      <c r="L2102" s="26">
        <f t="shared" si="23"/>
        <v>0</v>
      </c>
      <c r="M2102" s="27"/>
      <c r="N2102" s="30"/>
      <c r="O2102" s="28"/>
      <c r="P2102" s="28"/>
      <c r="Q2102" s="28"/>
      <c r="R2102" s="28"/>
      <c r="S2102" s="28"/>
    </row>
    <row r="2103">
      <c r="A2103" s="17">
        <v>46055.0</v>
      </c>
      <c r="B2103" s="18" t="s">
        <v>47</v>
      </c>
      <c r="C2103" s="18" t="s">
        <v>165</v>
      </c>
      <c r="D2103" s="19">
        <v>0.3194444444444444</v>
      </c>
      <c r="E2103" s="19">
        <v>0.3763888888888889</v>
      </c>
      <c r="F2103" s="20">
        <f t="shared" si="24"/>
        <v>0.05694444444</v>
      </c>
      <c r="G2103" s="67">
        <f>IFERROR(VLOOKUP(B2103,DADOS!$A$2:$H$252,8,0),"")</f>
        <v>35</v>
      </c>
      <c r="H2103" s="22">
        <v>28.0</v>
      </c>
      <c r="I2103" s="23">
        <f>IFERROR(VLOOKUP(B2103,DADOS!$A$2:$H$252,4,0)*H2103,"")</f>
        <v>3.1901408</v>
      </c>
      <c r="J2103" s="36"/>
      <c r="K2103" s="25">
        <f>IFERROR(VLOOKUP(B2103,DADOS!$A$2:$H$252,4,0)*J2103,"")</f>
        <v>0</v>
      </c>
      <c r="L2103" s="26">
        <f t="shared" si="23"/>
        <v>0</v>
      </c>
      <c r="M2103" s="27"/>
      <c r="N2103" s="30"/>
      <c r="O2103" s="28"/>
      <c r="P2103" s="28"/>
      <c r="Q2103" s="28"/>
      <c r="R2103" s="28"/>
      <c r="S2103" s="28"/>
    </row>
    <row r="2104">
      <c r="A2104" s="17">
        <v>46055.0</v>
      </c>
      <c r="B2104" s="18" t="s">
        <v>186</v>
      </c>
      <c r="C2104" s="18" t="s">
        <v>165</v>
      </c>
      <c r="D2104" s="19">
        <v>0.3854166666666667</v>
      </c>
      <c r="E2104" s="19">
        <v>0.7152777777777778</v>
      </c>
      <c r="F2104" s="20">
        <f t="shared" si="24"/>
        <v>0.3298611111</v>
      </c>
      <c r="G2104" s="67">
        <f>IFERROR(VLOOKUP(B2104,DADOS!$A$2:$H$252,8,0),"")</f>
        <v>25</v>
      </c>
      <c r="H2104" s="22">
        <v>89.0</v>
      </c>
      <c r="I2104" s="23">
        <f>IFERROR(VLOOKUP(B2104,DADOS!$A$2:$H$252,4,0)*H2104,"")</f>
        <v>24.683616</v>
      </c>
      <c r="J2104" s="24">
        <v>1.0</v>
      </c>
      <c r="K2104" s="25">
        <f>IFERROR(VLOOKUP(B2104,DADOS!$A$2:$H$252,4,0)*J2104,"")</f>
        <v>0.277344</v>
      </c>
      <c r="L2104" s="26">
        <f t="shared" si="23"/>
        <v>0</v>
      </c>
      <c r="M2104" s="27"/>
      <c r="N2104" s="30"/>
      <c r="O2104" s="28"/>
      <c r="P2104" s="28"/>
      <c r="Q2104" s="28"/>
      <c r="R2104" s="28"/>
      <c r="S2104" s="28"/>
    </row>
    <row r="2105">
      <c r="A2105" s="17">
        <v>46056.0</v>
      </c>
      <c r="B2105" s="18" t="s">
        <v>58</v>
      </c>
      <c r="C2105" s="18" t="s">
        <v>19</v>
      </c>
      <c r="D2105" s="19"/>
      <c r="E2105" s="19"/>
      <c r="F2105" s="20">
        <f t="shared" si="24"/>
        <v>0</v>
      </c>
      <c r="G2105" s="67">
        <f>IFERROR(VLOOKUP(B2105,DADOS!$A$2:$H$252,8,0),"")</f>
        <v>31</v>
      </c>
      <c r="H2105" s="22">
        <v>7.0</v>
      </c>
      <c r="I2105" s="23">
        <f>IFERROR(VLOOKUP(B2105,DADOS!$A$2:$H$252,4,0)*H2105,"")</f>
        <v>0.7975352</v>
      </c>
      <c r="J2105" s="24">
        <v>1.0</v>
      </c>
      <c r="K2105" s="25">
        <f>IFERROR(VLOOKUP(B2105,DADOS!$A$2:$H$252,4,0)*J2105,"")</f>
        <v>0.1139336</v>
      </c>
      <c r="L2105" s="26">
        <f t="shared" si="23"/>
        <v>0</v>
      </c>
      <c r="M2105" s="27"/>
      <c r="N2105" s="30"/>
      <c r="O2105" s="28"/>
      <c r="P2105" s="28"/>
      <c r="Q2105" s="28"/>
      <c r="R2105" s="28"/>
      <c r="S2105" s="28"/>
    </row>
    <row r="2106">
      <c r="A2106" s="17">
        <v>46056.0</v>
      </c>
      <c r="B2106" s="18" t="s">
        <v>72</v>
      </c>
      <c r="C2106" s="18" t="s">
        <v>65</v>
      </c>
      <c r="D2106" s="19"/>
      <c r="E2106" s="19"/>
      <c r="F2106" s="20">
        <f t="shared" si="24"/>
        <v>0</v>
      </c>
      <c r="G2106" s="67">
        <f>IFERROR(VLOOKUP(B2106,DADOS!$A$2:$H$252,8,0),"")</f>
        <v>43</v>
      </c>
      <c r="H2106" s="22">
        <v>174.0</v>
      </c>
      <c r="I2106" s="23">
        <f>IFERROR(VLOOKUP(B2106,DADOS!$A$2:$H$252,4,0)*H2106,"")</f>
        <v>2.97888</v>
      </c>
      <c r="J2106" s="36"/>
      <c r="K2106" s="25">
        <f>IFERROR(VLOOKUP(B2106,DADOS!$A$2:$H$252,4,0)*J2106,"")</f>
        <v>0</v>
      </c>
      <c r="L2106" s="26">
        <f t="shared" si="23"/>
        <v>0</v>
      </c>
      <c r="M2106" s="27"/>
      <c r="N2106" s="30"/>
      <c r="O2106" s="28"/>
      <c r="P2106" s="28"/>
      <c r="Q2106" s="28"/>
      <c r="R2106" s="28"/>
      <c r="S2106" s="28"/>
    </row>
    <row r="2107">
      <c r="A2107" s="17">
        <v>46056.0</v>
      </c>
      <c r="B2107" s="18" t="s">
        <v>41</v>
      </c>
      <c r="C2107" s="18" t="s">
        <v>165</v>
      </c>
      <c r="D2107" s="19"/>
      <c r="E2107" s="19"/>
      <c r="F2107" s="20">
        <f t="shared" si="24"/>
        <v>0</v>
      </c>
      <c r="G2107" s="67">
        <f>IFERROR(VLOOKUP(B2107,DADOS!$A$2:$H$252,8,0),"")</f>
        <v>14</v>
      </c>
      <c r="H2107" s="22">
        <v>59.0</v>
      </c>
      <c r="I2107" s="23">
        <f>IFERROR(VLOOKUP(B2107,DADOS!$A$2:$H$252,4,0)*H2107,"")</f>
        <v>16.363296</v>
      </c>
      <c r="J2107" s="36"/>
      <c r="K2107" s="25">
        <f>IFERROR(VLOOKUP(B2107,DADOS!$A$2:$H$252,4,0)*J2107,"")</f>
        <v>0</v>
      </c>
      <c r="L2107" s="26">
        <f t="shared" si="23"/>
        <v>0</v>
      </c>
      <c r="M2107" s="27"/>
      <c r="N2107" s="30"/>
      <c r="O2107" s="28"/>
      <c r="P2107" s="28"/>
      <c r="Q2107" s="28"/>
      <c r="R2107" s="28"/>
      <c r="S2107" s="28"/>
    </row>
    <row r="2108">
      <c r="A2108" s="17">
        <v>46056.0</v>
      </c>
      <c r="B2108" s="18" t="s">
        <v>58</v>
      </c>
      <c r="C2108" s="18" t="s">
        <v>165</v>
      </c>
      <c r="D2108" s="19"/>
      <c r="E2108" s="19"/>
      <c r="F2108" s="20">
        <f t="shared" si="24"/>
        <v>0</v>
      </c>
      <c r="G2108" s="67">
        <f>IFERROR(VLOOKUP(B2108,DADOS!$A$2:$H$252,8,0),"")</f>
        <v>31</v>
      </c>
      <c r="H2108" s="22">
        <v>11.0</v>
      </c>
      <c r="I2108" s="23">
        <f>IFERROR(VLOOKUP(B2108,DADOS!$A$2:$H$252,4,0)*H2108,"")</f>
        <v>1.2532696</v>
      </c>
      <c r="J2108" s="36"/>
      <c r="K2108" s="25">
        <f>IFERROR(VLOOKUP(B2108,DADOS!$A$2:$H$252,4,0)*J2108,"")</f>
        <v>0</v>
      </c>
      <c r="L2108" s="26">
        <f t="shared" si="23"/>
        <v>0</v>
      </c>
      <c r="M2108" s="27"/>
      <c r="N2108" s="30"/>
      <c r="O2108" s="28"/>
      <c r="P2108" s="28"/>
      <c r="Q2108" s="28"/>
      <c r="R2108" s="28"/>
      <c r="S2108" s="28"/>
    </row>
    <row r="2109">
      <c r="A2109" s="17">
        <v>46057.0</v>
      </c>
      <c r="B2109" s="18" t="s">
        <v>72</v>
      </c>
      <c r="C2109" s="18" t="s">
        <v>65</v>
      </c>
      <c r="D2109" s="19"/>
      <c r="E2109" s="19"/>
      <c r="F2109" s="20">
        <f t="shared" si="24"/>
        <v>0</v>
      </c>
      <c r="G2109" s="67">
        <f>IFERROR(VLOOKUP(B2109,DADOS!$A$2:$H$252,8,0),"")</f>
        <v>43</v>
      </c>
      <c r="H2109" s="22">
        <v>125.0</v>
      </c>
      <c r="I2109" s="23">
        <f>IFERROR(VLOOKUP(B2109,DADOS!$A$2:$H$252,4,0)*H2109,"")</f>
        <v>2.14</v>
      </c>
      <c r="J2109" s="24">
        <v>1.0</v>
      </c>
      <c r="K2109" s="25">
        <f>IFERROR(VLOOKUP(B2109,DADOS!$A$2:$H$252,4,0)*J2109,"")</f>
        <v>0.01712</v>
      </c>
      <c r="L2109" s="26">
        <f t="shared" si="23"/>
        <v>0</v>
      </c>
      <c r="M2109" s="27"/>
      <c r="N2109" s="30"/>
      <c r="O2109" s="28"/>
      <c r="P2109" s="28"/>
      <c r="Q2109" s="28"/>
      <c r="R2109" s="28"/>
      <c r="S2109" s="28"/>
    </row>
    <row r="2110">
      <c r="A2110" s="17">
        <v>46057.0</v>
      </c>
      <c r="B2110" s="18" t="s">
        <v>215</v>
      </c>
      <c r="C2110" s="18" t="s">
        <v>65</v>
      </c>
      <c r="D2110" s="19"/>
      <c r="E2110" s="19"/>
      <c r="F2110" s="20">
        <f t="shared" si="24"/>
        <v>0</v>
      </c>
      <c r="G2110" s="67">
        <f>IFERROR(VLOOKUP(B2110,DADOS!$A$2:$H$252,8,0),"")</f>
        <v>43</v>
      </c>
      <c r="H2110" s="22">
        <v>56.0</v>
      </c>
      <c r="I2110" s="23">
        <f>IFERROR(VLOOKUP(B2110,DADOS!$A$2:$H$252,4,0)*H2110,"")</f>
        <v>2.1475328</v>
      </c>
      <c r="J2110" s="24">
        <v>24.0</v>
      </c>
      <c r="K2110" s="25">
        <f>IFERROR(VLOOKUP(B2110,DADOS!$A$2:$H$252,4,0)*J2110,"")</f>
        <v>0.9203712</v>
      </c>
      <c r="L2110" s="26">
        <f t="shared" si="23"/>
        <v>0</v>
      </c>
      <c r="M2110" s="27"/>
      <c r="N2110" s="30"/>
      <c r="O2110" s="28"/>
      <c r="P2110" s="28"/>
      <c r="Q2110" s="28"/>
      <c r="R2110" s="28"/>
      <c r="S2110" s="28"/>
    </row>
    <row r="2111">
      <c r="A2111" s="17">
        <v>46057.0</v>
      </c>
      <c r="B2111" s="18" t="s">
        <v>58</v>
      </c>
      <c r="C2111" s="18" t="s">
        <v>165</v>
      </c>
      <c r="D2111" s="19"/>
      <c r="E2111" s="19"/>
      <c r="F2111" s="20">
        <f t="shared" si="24"/>
        <v>0</v>
      </c>
      <c r="G2111" s="67">
        <f>IFERROR(VLOOKUP(B2111,DADOS!$A$2:$H$252,8,0),"")</f>
        <v>31</v>
      </c>
      <c r="H2111" s="22">
        <v>45.0</v>
      </c>
      <c r="I2111" s="23">
        <f>IFERROR(VLOOKUP(B2111,DADOS!$A$2:$H$252,4,0)*H2111,"")</f>
        <v>5.127012</v>
      </c>
      <c r="J2111" s="36"/>
      <c r="K2111" s="25">
        <f>IFERROR(VLOOKUP(B2111,DADOS!$A$2:$H$252,4,0)*J2111,"")</f>
        <v>0</v>
      </c>
      <c r="L2111" s="26">
        <f t="shared" si="23"/>
        <v>0</v>
      </c>
      <c r="M2111" s="27"/>
      <c r="N2111" s="30"/>
      <c r="O2111" s="28"/>
      <c r="P2111" s="28"/>
      <c r="Q2111" s="28"/>
      <c r="R2111" s="28"/>
      <c r="S2111" s="28"/>
    </row>
    <row r="2112">
      <c r="A2112" s="17">
        <v>46058.0</v>
      </c>
      <c r="B2112" s="18" t="s">
        <v>215</v>
      </c>
      <c r="C2112" s="18" t="s">
        <v>65</v>
      </c>
      <c r="D2112" s="19"/>
      <c r="E2112" s="19"/>
      <c r="F2112" s="20">
        <f t="shared" si="24"/>
        <v>0</v>
      </c>
      <c r="G2112" s="67">
        <f>IFERROR(VLOOKUP(B2112,DADOS!$A$2:$H$252,8,0),"")</f>
        <v>43</v>
      </c>
      <c r="H2112" s="22">
        <v>16.0</v>
      </c>
      <c r="I2112" s="23">
        <f>IFERROR(VLOOKUP(B2112,DADOS!$A$2:$H$252,4,0)*H2112,"")</f>
        <v>0.6135808</v>
      </c>
      <c r="J2112" s="24">
        <v>4.0</v>
      </c>
      <c r="K2112" s="25">
        <f>IFERROR(VLOOKUP(B2112,DADOS!$A$2:$H$252,4,0)*J2112,"")</f>
        <v>0.1533952</v>
      </c>
      <c r="L2112" s="26">
        <f t="shared" si="23"/>
        <v>0</v>
      </c>
      <c r="M2112" s="27"/>
      <c r="N2112" s="30"/>
      <c r="O2112" s="28"/>
      <c r="P2112" s="28"/>
      <c r="Q2112" s="28"/>
      <c r="R2112" s="28"/>
      <c r="S2112" s="28"/>
    </row>
    <row r="2113">
      <c r="A2113" s="17">
        <v>46058.0</v>
      </c>
      <c r="B2113" s="18" t="s">
        <v>76</v>
      </c>
      <c r="C2113" s="18" t="s">
        <v>65</v>
      </c>
      <c r="D2113" s="19"/>
      <c r="E2113" s="19"/>
      <c r="F2113" s="20">
        <f t="shared" si="24"/>
        <v>0</v>
      </c>
      <c r="G2113" s="67">
        <f>IFERROR(VLOOKUP(B2113,DADOS!$A$2:$H$252,8,0),"")</f>
        <v>120</v>
      </c>
      <c r="H2113" s="22">
        <v>151.0</v>
      </c>
      <c r="I2113" s="23">
        <f>IFERROR(VLOOKUP(B2113,DADOS!$A$2:$H$252,4,0)*H2113,"")</f>
        <v>0.3926151</v>
      </c>
      <c r="J2113" s="36"/>
      <c r="K2113" s="25">
        <f>IFERROR(VLOOKUP(B2113,DADOS!$A$2:$H$252,4,0)*J2113,"")</f>
        <v>0</v>
      </c>
      <c r="L2113" s="26">
        <f t="shared" si="23"/>
        <v>0</v>
      </c>
      <c r="M2113" s="27"/>
      <c r="N2113" s="30"/>
      <c r="O2113" s="28"/>
      <c r="P2113" s="28"/>
      <c r="Q2113" s="28"/>
      <c r="R2113" s="28"/>
      <c r="S2113" s="28"/>
    </row>
    <row r="2114">
      <c r="A2114" s="17">
        <v>46058.0</v>
      </c>
      <c r="B2114" s="18" t="s">
        <v>58</v>
      </c>
      <c r="C2114" s="18" t="s">
        <v>165</v>
      </c>
      <c r="D2114" s="19"/>
      <c r="E2114" s="19"/>
      <c r="F2114" s="20">
        <f t="shared" si="24"/>
        <v>0</v>
      </c>
      <c r="G2114" s="67">
        <f>IFERROR(VLOOKUP(B2114,DADOS!$A$2:$H$252,8,0),"")</f>
        <v>31</v>
      </c>
      <c r="H2114" s="22">
        <v>65.0</v>
      </c>
      <c r="I2114" s="23">
        <f>IFERROR(VLOOKUP(B2114,DADOS!$A$2:$H$252,4,0)*H2114,"")</f>
        <v>7.405684</v>
      </c>
      <c r="J2114" s="24">
        <v>1.0</v>
      </c>
      <c r="K2114" s="25">
        <f>IFERROR(VLOOKUP(B2114,DADOS!$A$2:$H$252,4,0)*J2114,"")</f>
        <v>0.1139336</v>
      </c>
      <c r="L2114" s="26">
        <f t="shared" si="23"/>
        <v>0</v>
      </c>
      <c r="M2114" s="27"/>
      <c r="N2114" s="30"/>
      <c r="O2114" s="28"/>
      <c r="P2114" s="28"/>
      <c r="Q2114" s="28"/>
      <c r="R2114" s="28"/>
      <c r="S2114" s="28"/>
    </row>
    <row r="2115">
      <c r="A2115" s="17">
        <v>46058.0</v>
      </c>
      <c r="B2115" s="18" t="s">
        <v>51</v>
      </c>
      <c r="C2115" s="18" t="s">
        <v>165</v>
      </c>
      <c r="D2115" s="19"/>
      <c r="E2115" s="19"/>
      <c r="F2115" s="20">
        <f t="shared" si="24"/>
        <v>0</v>
      </c>
      <c r="G2115" s="67">
        <f>IFERROR(VLOOKUP(B2115,DADOS!$A$2:$H$252,8,0),"")</f>
        <v>28</v>
      </c>
      <c r="H2115" s="22">
        <v>5.0</v>
      </c>
      <c r="I2115" s="23">
        <f>IFERROR(VLOOKUP(B2115,DADOS!$A$2:$H$252,4,0)*H2115,"")</f>
        <v>0.569668</v>
      </c>
      <c r="J2115" s="24">
        <v>1.0</v>
      </c>
      <c r="K2115" s="25">
        <f>IFERROR(VLOOKUP(B2115,DADOS!$A$2:$H$252,4,0)*J2115,"")</f>
        <v>0.1139336</v>
      </c>
      <c r="L2115" s="26">
        <f t="shared" si="23"/>
        <v>0</v>
      </c>
      <c r="M2115" s="27"/>
      <c r="N2115" s="30"/>
      <c r="O2115" s="28"/>
      <c r="P2115" s="28"/>
      <c r="Q2115" s="28"/>
      <c r="R2115" s="28"/>
      <c r="S2115" s="28"/>
    </row>
    <row r="2116">
      <c r="A2116" s="17">
        <v>46059.0</v>
      </c>
      <c r="B2116" s="18" t="s">
        <v>76</v>
      </c>
      <c r="C2116" s="18" t="s">
        <v>65</v>
      </c>
      <c r="D2116" s="19"/>
      <c r="E2116" s="19"/>
      <c r="F2116" s="20">
        <f t="shared" si="24"/>
        <v>0</v>
      </c>
      <c r="G2116" s="67">
        <f>IFERROR(VLOOKUP(B2116,DADOS!$A$2:$H$252,8,0),"")</f>
        <v>120</v>
      </c>
      <c r="H2116" s="22">
        <v>64.0</v>
      </c>
      <c r="I2116" s="23">
        <f>IFERROR(VLOOKUP(B2116,DADOS!$A$2:$H$252,4,0)*H2116,"")</f>
        <v>0.1664064</v>
      </c>
      <c r="J2116" s="24">
        <v>1.0</v>
      </c>
      <c r="K2116" s="25">
        <f>IFERROR(VLOOKUP(B2116,DADOS!$A$2:$H$252,4,0)*J2116,"")</f>
        <v>0.0026001</v>
      </c>
      <c r="L2116" s="26">
        <f t="shared" si="23"/>
        <v>0</v>
      </c>
      <c r="M2116" s="27"/>
      <c r="N2116" s="30"/>
      <c r="O2116" s="28"/>
      <c r="P2116" s="28"/>
      <c r="Q2116" s="28"/>
      <c r="R2116" s="28"/>
      <c r="S2116" s="28"/>
    </row>
    <row r="2117">
      <c r="A2117" s="17">
        <v>46059.0</v>
      </c>
      <c r="B2117" s="18" t="s">
        <v>51</v>
      </c>
      <c r="C2117" s="18" t="s">
        <v>165</v>
      </c>
      <c r="D2117" s="19"/>
      <c r="E2117" s="19"/>
      <c r="F2117" s="20">
        <f t="shared" si="24"/>
        <v>0</v>
      </c>
      <c r="G2117" s="67">
        <f>IFERROR(VLOOKUP(B2117,DADOS!$A$2:$H$252,8,0),"")</f>
        <v>28</v>
      </c>
      <c r="H2117" s="22">
        <v>101.0</v>
      </c>
      <c r="I2117" s="23">
        <f>IFERROR(VLOOKUP(B2117,DADOS!$A$2:$H$252,4,0)*H2117,"")</f>
        <v>11.5072936</v>
      </c>
      <c r="J2117" s="36"/>
      <c r="K2117" s="25">
        <f>IFERROR(VLOOKUP(B2117,DADOS!$A$2:$H$252,4,0)*J2117,"")</f>
        <v>0</v>
      </c>
      <c r="L2117" s="26">
        <f t="shared" si="23"/>
        <v>0</v>
      </c>
      <c r="M2117" s="27"/>
      <c r="N2117" s="30"/>
      <c r="O2117" s="28"/>
      <c r="P2117" s="28"/>
      <c r="Q2117" s="28"/>
      <c r="R2117" s="28"/>
      <c r="S2117" s="28"/>
    </row>
    <row r="2118">
      <c r="A2118" s="17">
        <v>46060.0</v>
      </c>
      <c r="B2118" s="18" t="s">
        <v>71</v>
      </c>
      <c r="C2118" s="18" t="s">
        <v>193</v>
      </c>
      <c r="D2118" s="19"/>
      <c r="E2118" s="19"/>
      <c r="F2118" s="20">
        <f t="shared" si="24"/>
        <v>0</v>
      </c>
      <c r="G2118" s="67">
        <f>IFERROR(VLOOKUP(B2118,DADOS!$A$2:$H$252,8,0),"")</f>
        <v>7</v>
      </c>
      <c r="H2118" s="22">
        <v>39.0</v>
      </c>
      <c r="I2118" s="23">
        <f>IFERROR(VLOOKUP(B2118,DADOS!$A$2:$H$252,4,0)*H2118,"")</f>
        <v>54.6938418</v>
      </c>
      <c r="J2118" s="24">
        <v>1.0</v>
      </c>
      <c r="K2118" s="25">
        <f>IFERROR(VLOOKUP(B2118,DADOS!$A$2:$H$252,4,0)*J2118,"")</f>
        <v>1.4024062</v>
      </c>
      <c r="L2118" s="26">
        <f t="shared" si="23"/>
        <v>0</v>
      </c>
      <c r="M2118" s="27"/>
      <c r="N2118" s="30"/>
      <c r="O2118" s="28"/>
      <c r="P2118" s="28"/>
      <c r="Q2118" s="28"/>
      <c r="R2118" s="28"/>
      <c r="S2118" s="28"/>
    </row>
    <row r="2119">
      <c r="A2119" s="17">
        <v>46060.0</v>
      </c>
      <c r="B2119" s="18" t="s">
        <v>26</v>
      </c>
      <c r="C2119" s="18" t="s">
        <v>193</v>
      </c>
      <c r="D2119" s="19"/>
      <c r="E2119" s="19"/>
      <c r="F2119" s="20">
        <f t="shared" si="24"/>
        <v>0</v>
      </c>
      <c r="G2119" s="67">
        <f>IFERROR(VLOOKUP(B2119,DADOS!$A$2:$H$252,8,0),"")</f>
        <v>50</v>
      </c>
      <c r="H2119" s="22">
        <v>55.0</v>
      </c>
      <c r="I2119" s="23">
        <f>IFERROR(VLOOKUP(B2119,DADOS!$A$2:$H$252,4,0)*H2119,"")</f>
        <v>6.266348</v>
      </c>
      <c r="J2119" s="36"/>
      <c r="K2119" s="25">
        <f>IFERROR(VLOOKUP(B2119,DADOS!$A$2:$H$252,4,0)*J2119,"")</f>
        <v>0</v>
      </c>
      <c r="L2119" s="26">
        <f t="shared" si="23"/>
        <v>0</v>
      </c>
      <c r="M2119" s="27"/>
      <c r="N2119" s="30"/>
      <c r="O2119" s="28"/>
      <c r="P2119" s="28"/>
      <c r="Q2119" s="28"/>
      <c r="R2119" s="28"/>
      <c r="S2119" s="28"/>
    </row>
    <row r="2120">
      <c r="A2120" s="17">
        <v>46062.0</v>
      </c>
      <c r="B2120" s="18" t="s">
        <v>76</v>
      </c>
      <c r="C2120" s="18" t="s">
        <v>65</v>
      </c>
      <c r="D2120" s="19"/>
      <c r="E2120" s="19"/>
      <c r="F2120" s="20">
        <f t="shared" si="24"/>
        <v>0</v>
      </c>
      <c r="G2120" s="67">
        <f>IFERROR(VLOOKUP(B2120,DADOS!$A$2:$H$252,8,0),"")</f>
        <v>120</v>
      </c>
      <c r="H2120" s="22">
        <v>150.0</v>
      </c>
      <c r="I2120" s="23">
        <f>IFERROR(VLOOKUP(B2120,DADOS!$A$2:$H$252,4,0)*H2120,"")</f>
        <v>0.390015</v>
      </c>
      <c r="J2120" s="36"/>
      <c r="K2120" s="25">
        <f>IFERROR(VLOOKUP(B2120,DADOS!$A$2:$H$252,4,0)*J2120,"")</f>
        <v>0</v>
      </c>
      <c r="L2120" s="26">
        <f t="shared" si="23"/>
        <v>0</v>
      </c>
      <c r="M2120" s="27"/>
      <c r="N2120" s="30"/>
      <c r="O2120" s="28"/>
      <c r="P2120" s="28"/>
      <c r="Q2120" s="28"/>
      <c r="R2120" s="28"/>
      <c r="S2120" s="28"/>
    </row>
    <row r="2121">
      <c r="A2121" s="17">
        <v>46062.0</v>
      </c>
      <c r="B2121" s="18" t="s">
        <v>51</v>
      </c>
      <c r="C2121" s="18" t="s">
        <v>165</v>
      </c>
      <c r="D2121" s="19"/>
      <c r="E2121" s="19"/>
      <c r="F2121" s="20">
        <f t="shared" si="24"/>
        <v>0</v>
      </c>
      <c r="G2121" s="67">
        <f>IFERROR(VLOOKUP(B2121,DADOS!$A$2:$H$252,8,0),"")</f>
        <v>28</v>
      </c>
      <c r="H2121" s="22">
        <v>42.0</v>
      </c>
      <c r="I2121" s="23">
        <f>IFERROR(VLOOKUP(B2121,DADOS!$A$2:$H$252,4,0)*H2121,"")</f>
        <v>4.7852112</v>
      </c>
      <c r="J2121" s="36"/>
      <c r="K2121" s="25">
        <f>IFERROR(VLOOKUP(B2121,DADOS!$A$2:$H$252,4,0)*J2121,"")</f>
        <v>0</v>
      </c>
      <c r="L2121" s="26">
        <f t="shared" si="23"/>
        <v>0</v>
      </c>
      <c r="M2121" s="27"/>
      <c r="N2121" s="30"/>
      <c r="O2121" s="28"/>
      <c r="P2121" s="28"/>
      <c r="Q2121" s="28"/>
      <c r="R2121" s="28"/>
      <c r="S2121" s="28"/>
    </row>
    <row r="2122">
      <c r="A2122" s="17">
        <v>46062.0</v>
      </c>
      <c r="B2122" s="18" t="s">
        <v>24</v>
      </c>
      <c r="C2122" s="18" t="s">
        <v>165</v>
      </c>
      <c r="D2122" s="19"/>
      <c r="E2122" s="19"/>
      <c r="F2122" s="20">
        <f t="shared" si="24"/>
        <v>0</v>
      </c>
      <c r="G2122" s="67">
        <f>IFERROR(VLOOKUP(B2122,DADOS!$A$2:$H$252,8,0),"")</f>
        <v>37</v>
      </c>
      <c r="H2122" s="22">
        <v>45.0</v>
      </c>
      <c r="I2122" s="23">
        <f>IFERROR(VLOOKUP(B2122,DADOS!$A$2:$H$252,4,0)*H2122,"")</f>
        <v>5.127012</v>
      </c>
      <c r="J2122" s="24">
        <v>5.0</v>
      </c>
      <c r="K2122" s="25">
        <f>IFERROR(VLOOKUP(B2122,DADOS!$A$2:$H$252,4,0)*J2122,"")</f>
        <v>0.569668</v>
      </c>
      <c r="L2122" s="26">
        <f t="shared" si="23"/>
        <v>0</v>
      </c>
      <c r="M2122" s="27"/>
      <c r="N2122" s="30"/>
      <c r="O2122" s="28"/>
      <c r="P2122" s="28"/>
      <c r="Q2122" s="28"/>
      <c r="R2122" s="28"/>
      <c r="S2122" s="28"/>
    </row>
    <row r="2123">
      <c r="A2123" s="17">
        <v>46063.0</v>
      </c>
      <c r="B2123" s="18" t="s">
        <v>22</v>
      </c>
      <c r="C2123" s="18" t="s">
        <v>19</v>
      </c>
      <c r="D2123" s="19"/>
      <c r="E2123" s="19"/>
      <c r="F2123" s="20">
        <f t="shared" si="24"/>
        <v>0</v>
      </c>
      <c r="G2123" s="67">
        <f>IFERROR(VLOOKUP(B2123,DADOS!$A$2:$H$252,8,0),"")</f>
        <v>15</v>
      </c>
      <c r="H2123" s="22">
        <v>30.0</v>
      </c>
      <c r="I2123" s="23">
        <f>IFERROR(VLOOKUP(B2123,DADOS!$A$2:$H$252,4,0)*H2123,"")</f>
        <v>18.368262</v>
      </c>
      <c r="J2123" s="36"/>
      <c r="K2123" s="25">
        <f>IFERROR(VLOOKUP(B2123,DADOS!$A$2:$H$252,4,0)*J2123,"")</f>
        <v>0</v>
      </c>
      <c r="L2123" s="26">
        <f t="shared" si="23"/>
        <v>0</v>
      </c>
      <c r="M2123" s="27"/>
      <c r="N2123" s="30"/>
      <c r="O2123" s="28"/>
      <c r="P2123" s="28"/>
      <c r="Q2123" s="28"/>
      <c r="R2123" s="28"/>
      <c r="S2123" s="28"/>
    </row>
    <row r="2124">
      <c r="A2124" s="17">
        <v>46063.0</v>
      </c>
      <c r="B2124" s="18" t="s">
        <v>75</v>
      </c>
      <c r="C2124" s="18" t="s">
        <v>19</v>
      </c>
      <c r="D2124" s="19"/>
      <c r="E2124" s="19"/>
      <c r="F2124" s="20">
        <f t="shared" si="24"/>
        <v>0</v>
      </c>
      <c r="G2124" s="67">
        <f>IFERROR(VLOOKUP(B2124,DADOS!$A$2:$H$252,8,0),"")</f>
        <v>23</v>
      </c>
      <c r="H2124" s="22">
        <v>4.0</v>
      </c>
      <c r="I2124" s="23">
        <f>IFERROR(VLOOKUP(B2124,DADOS!$A$2:$H$252,4,0)*H2124,"")</f>
        <v>0.4557344</v>
      </c>
      <c r="J2124" s="36"/>
      <c r="K2124" s="25">
        <f>IFERROR(VLOOKUP(B2124,DADOS!$A$2:$H$252,4,0)*J2124,"")</f>
        <v>0</v>
      </c>
      <c r="L2124" s="26">
        <f t="shared" si="23"/>
        <v>0</v>
      </c>
      <c r="M2124" s="27"/>
      <c r="N2124" s="30"/>
      <c r="O2124" s="28"/>
      <c r="P2124" s="28"/>
      <c r="Q2124" s="28"/>
      <c r="R2124" s="28"/>
      <c r="S2124" s="28"/>
    </row>
    <row r="2125">
      <c r="A2125" s="17">
        <v>46063.0</v>
      </c>
      <c r="B2125" s="18" t="s">
        <v>18</v>
      </c>
      <c r="C2125" s="18" t="s">
        <v>165</v>
      </c>
      <c r="D2125" s="19"/>
      <c r="E2125" s="19"/>
      <c r="F2125" s="20">
        <f t="shared" si="24"/>
        <v>0</v>
      </c>
      <c r="G2125" s="67">
        <f>IFERROR(VLOOKUP(B2125,DADOS!$A$2:$H$252,8,0),"")</f>
        <v>21</v>
      </c>
      <c r="H2125" s="22">
        <v>87.0</v>
      </c>
      <c r="I2125" s="23">
        <f>IFERROR(VLOOKUP(B2125,DADOS!$A$2:$H$252,4,0)*H2125,"")</f>
        <v>25.488042</v>
      </c>
      <c r="J2125" s="36"/>
      <c r="K2125" s="25">
        <f>IFERROR(VLOOKUP(B2125,DADOS!$A$2:$H$252,4,0)*J2125,"")</f>
        <v>0</v>
      </c>
      <c r="L2125" s="26">
        <f t="shared" si="23"/>
        <v>0</v>
      </c>
      <c r="M2125" s="27"/>
      <c r="N2125" s="30"/>
      <c r="O2125" s="28"/>
      <c r="P2125" s="28"/>
      <c r="Q2125" s="28"/>
      <c r="R2125" s="28"/>
      <c r="S2125" s="28"/>
    </row>
    <row r="2126">
      <c r="A2126" s="17">
        <v>46064.0</v>
      </c>
      <c r="B2126" s="18" t="s">
        <v>75</v>
      </c>
      <c r="C2126" s="18" t="s">
        <v>165</v>
      </c>
      <c r="D2126" s="19">
        <v>0.3229166666666667</v>
      </c>
      <c r="E2126" s="19">
        <v>0.7152777777777778</v>
      </c>
      <c r="F2126" s="20">
        <f t="shared" si="24"/>
        <v>0.3923611111</v>
      </c>
      <c r="G2126" s="67">
        <f>IFERROR(VLOOKUP(B2126,DADOS!$A$2:$H$252,8,0),"")</f>
        <v>23</v>
      </c>
      <c r="H2126" s="22">
        <v>74.0</v>
      </c>
      <c r="I2126" s="23">
        <f>IFERROR(VLOOKUP(B2126,DADOS!$A$2:$H$252,4,0)*H2126,"")</f>
        <v>8.4310864</v>
      </c>
      <c r="J2126" s="24">
        <v>6.0</v>
      </c>
      <c r="K2126" s="25">
        <f>IFERROR(VLOOKUP(B2126,DADOS!$A$2:$H$252,4,0)*J2126,"")</f>
        <v>0.6836016</v>
      </c>
      <c r="L2126" s="26">
        <f t="shared" si="23"/>
        <v>0</v>
      </c>
      <c r="M2126" s="27"/>
      <c r="N2126" s="30"/>
      <c r="O2126" s="28"/>
      <c r="P2126" s="28"/>
      <c r="Q2126" s="28"/>
      <c r="R2126" s="28"/>
      <c r="S2126" s="28"/>
    </row>
    <row r="2127">
      <c r="A2127" s="17">
        <v>46065.0</v>
      </c>
      <c r="B2127" s="18" t="s">
        <v>112</v>
      </c>
      <c r="C2127" s="18" t="s">
        <v>165</v>
      </c>
      <c r="D2127" s="19"/>
      <c r="E2127" s="19"/>
      <c r="F2127" s="20">
        <f t="shared" si="24"/>
        <v>0</v>
      </c>
      <c r="G2127" s="67">
        <f>IFERROR(VLOOKUP(B2127,DADOS!$A$2:$H$252,8,0),"")</f>
        <v>35</v>
      </c>
      <c r="H2127" s="22">
        <v>38.0</v>
      </c>
      <c r="I2127" s="23">
        <f>IFERROR(VLOOKUP(B2127,DADOS!$A$2:$H$252,4,0)*H2127,"")</f>
        <v>4.3294768</v>
      </c>
      <c r="J2127" s="36"/>
      <c r="K2127" s="25">
        <f>IFERROR(VLOOKUP(B2127,DADOS!$A$2:$H$252,4,0)*J2127,"")</f>
        <v>0</v>
      </c>
      <c r="L2127" s="26">
        <f t="shared" si="23"/>
        <v>0</v>
      </c>
      <c r="M2127" s="27"/>
      <c r="N2127" s="30"/>
      <c r="O2127" s="28"/>
      <c r="P2127" s="28"/>
      <c r="Q2127" s="28"/>
      <c r="R2127" s="28"/>
      <c r="S2127" s="28"/>
    </row>
    <row r="2128">
      <c r="A2128" s="17">
        <v>46065.0</v>
      </c>
      <c r="B2128" s="18" t="s">
        <v>179</v>
      </c>
      <c r="C2128" s="18" t="s">
        <v>165</v>
      </c>
      <c r="D2128" s="19"/>
      <c r="E2128" s="19"/>
      <c r="F2128" s="20">
        <f t="shared" si="24"/>
        <v>0</v>
      </c>
      <c r="G2128" s="67">
        <f>IFERROR(VLOOKUP(B2128,DADOS!$A$2:$H$252,8,0),"")</f>
        <v>15</v>
      </c>
      <c r="H2128" s="22">
        <v>107.0</v>
      </c>
      <c r="I2128" s="23">
        <f>IFERROR(VLOOKUP(B2128,DADOS!$A$2:$H$252,4,0)*H2128,"")</f>
        <v>17.952032</v>
      </c>
      <c r="J2128" s="36"/>
      <c r="K2128" s="25">
        <f>IFERROR(VLOOKUP(B2128,DADOS!$A$2:$H$252,4,0)*J2128,"")</f>
        <v>0</v>
      </c>
      <c r="L2128" s="26">
        <f t="shared" si="23"/>
        <v>0</v>
      </c>
      <c r="M2128" s="27"/>
      <c r="N2128" s="30"/>
      <c r="O2128" s="28"/>
      <c r="P2128" s="28"/>
      <c r="Q2128" s="28"/>
      <c r="R2128" s="28"/>
      <c r="S2128" s="28"/>
    </row>
    <row r="2129">
      <c r="A2129" s="17">
        <v>46065.0</v>
      </c>
      <c r="B2129" s="18" t="s">
        <v>75</v>
      </c>
      <c r="C2129" s="18" t="s">
        <v>165</v>
      </c>
      <c r="D2129" s="19"/>
      <c r="E2129" s="19"/>
      <c r="F2129" s="20">
        <f t="shared" si="24"/>
        <v>0</v>
      </c>
      <c r="G2129" s="67">
        <f>IFERROR(VLOOKUP(B2129,DADOS!$A$2:$H$252,8,0),"")</f>
        <v>23</v>
      </c>
      <c r="H2129" s="22">
        <v>16.0</v>
      </c>
      <c r="I2129" s="23">
        <f>IFERROR(VLOOKUP(B2129,DADOS!$A$2:$H$252,4,0)*H2129,"")</f>
        <v>1.8229376</v>
      </c>
      <c r="J2129" s="36"/>
      <c r="K2129" s="25">
        <f>IFERROR(VLOOKUP(B2129,DADOS!$A$2:$H$252,4,0)*J2129,"")</f>
        <v>0</v>
      </c>
      <c r="L2129" s="26">
        <f t="shared" si="23"/>
        <v>0</v>
      </c>
      <c r="M2129" s="27"/>
      <c r="N2129" s="30"/>
      <c r="O2129" s="28"/>
      <c r="P2129" s="28"/>
      <c r="Q2129" s="28"/>
      <c r="R2129" s="28"/>
      <c r="S2129" s="28"/>
    </row>
    <row r="2130">
      <c r="A2130" s="17">
        <v>46066.0</v>
      </c>
      <c r="B2130" s="18" t="s">
        <v>112</v>
      </c>
      <c r="C2130" s="18" t="s">
        <v>165</v>
      </c>
      <c r="D2130" s="19">
        <v>0.3194444444444444</v>
      </c>
      <c r="E2130" s="19">
        <v>0.4097222222222222</v>
      </c>
      <c r="F2130" s="20">
        <f t="shared" si="24"/>
        <v>0.09027777778</v>
      </c>
      <c r="G2130" s="67">
        <f>IFERROR(VLOOKUP(B2130,DADOS!$A$2:$H$252,8,0),"")</f>
        <v>35</v>
      </c>
      <c r="H2130" s="22">
        <v>55.0</v>
      </c>
      <c r="I2130" s="23">
        <f>IFERROR(VLOOKUP(B2130,DADOS!$A$2:$H$252,4,0)*H2130,"")</f>
        <v>6.266348</v>
      </c>
      <c r="J2130" s="36"/>
      <c r="K2130" s="25">
        <f>IFERROR(VLOOKUP(B2130,DADOS!$A$2:$H$252,4,0)*J2130,"")</f>
        <v>0</v>
      </c>
      <c r="L2130" s="26">
        <f t="shared" si="23"/>
        <v>0</v>
      </c>
      <c r="M2130" s="27"/>
      <c r="N2130" s="30"/>
      <c r="O2130" s="28"/>
      <c r="P2130" s="28"/>
      <c r="Q2130" s="28"/>
      <c r="R2130" s="28"/>
      <c r="S2130" s="28"/>
    </row>
    <row r="2131">
      <c r="A2131" s="17">
        <v>46066.0</v>
      </c>
      <c r="B2131" s="18" t="s">
        <v>182</v>
      </c>
      <c r="C2131" s="18" t="s">
        <v>165</v>
      </c>
      <c r="D2131" s="19">
        <v>0.4583333333333333</v>
      </c>
      <c r="E2131" s="19">
        <v>0.6701388888888888</v>
      </c>
      <c r="F2131" s="20">
        <f t="shared" si="24"/>
        <v>0.2118055556</v>
      </c>
      <c r="G2131" s="67">
        <f>IFERROR(VLOOKUP(B2131,DADOS!$A$2:$H$252,8,0),"")</f>
        <v>120</v>
      </c>
      <c r="H2131" s="22">
        <v>48.0</v>
      </c>
      <c r="I2131" s="23">
        <f>IFERROR(VLOOKUP(B2131,DADOS!$A$2:$H$252,4,0)*H2131,"")</f>
        <v>15.623712</v>
      </c>
      <c r="J2131" s="36"/>
      <c r="K2131" s="25">
        <f>IFERROR(VLOOKUP(B2131,DADOS!$A$2:$H$252,4,0)*J2131,"")</f>
        <v>0</v>
      </c>
      <c r="L2131" s="26">
        <f t="shared" si="23"/>
        <v>0</v>
      </c>
      <c r="M2131" s="27"/>
      <c r="N2131" s="30"/>
      <c r="O2131" s="28"/>
      <c r="P2131" s="28"/>
      <c r="Q2131" s="28"/>
      <c r="R2131" s="28"/>
      <c r="S2131" s="28"/>
    </row>
    <row r="2132">
      <c r="A2132" s="17">
        <v>46067.0</v>
      </c>
      <c r="B2132" s="18" t="s">
        <v>26</v>
      </c>
      <c r="C2132" s="18" t="s">
        <v>193</v>
      </c>
      <c r="D2132" s="19"/>
      <c r="E2132" s="19"/>
      <c r="F2132" s="20">
        <f t="shared" si="24"/>
        <v>0</v>
      </c>
      <c r="G2132" s="67">
        <f>IFERROR(VLOOKUP(B2132,DADOS!$A$2:$H$252,8,0),"")</f>
        <v>50</v>
      </c>
      <c r="H2132" s="22">
        <v>25.0</v>
      </c>
      <c r="I2132" s="23">
        <f>IFERROR(VLOOKUP(B2132,DADOS!$A$2:$H$252,4,0)*H2132,"")</f>
        <v>2.84834</v>
      </c>
      <c r="J2132" s="36"/>
      <c r="K2132" s="25">
        <f>IFERROR(VLOOKUP(B2132,DADOS!$A$2:$H$252,4,0)*J2132,"")</f>
        <v>0</v>
      </c>
      <c r="L2132" s="26">
        <f t="shared" si="23"/>
        <v>0</v>
      </c>
      <c r="M2132" s="27"/>
      <c r="N2132" s="30"/>
      <c r="O2132" s="28"/>
      <c r="P2132" s="28"/>
      <c r="Q2132" s="28"/>
      <c r="R2132" s="28"/>
      <c r="S2132" s="28"/>
    </row>
    <row r="2133">
      <c r="A2133" s="17">
        <v>46067.0</v>
      </c>
      <c r="B2133" s="18" t="s">
        <v>71</v>
      </c>
      <c r="C2133" s="18" t="s">
        <v>193</v>
      </c>
      <c r="D2133" s="19"/>
      <c r="E2133" s="19"/>
      <c r="F2133" s="20">
        <f t="shared" si="24"/>
        <v>0</v>
      </c>
      <c r="G2133" s="67">
        <f>IFERROR(VLOOKUP(B2133,DADOS!$A$2:$H$252,8,0),"")</f>
        <v>7</v>
      </c>
      <c r="H2133" s="22">
        <v>50.0</v>
      </c>
      <c r="I2133" s="23">
        <f>IFERROR(VLOOKUP(B2133,DADOS!$A$2:$H$252,4,0)*H2133,"")</f>
        <v>70.12031</v>
      </c>
      <c r="J2133" s="36"/>
      <c r="K2133" s="25">
        <f>IFERROR(VLOOKUP(B2133,DADOS!$A$2:$H$252,4,0)*J2133,"")</f>
        <v>0</v>
      </c>
      <c r="L2133" s="26">
        <f t="shared" si="23"/>
        <v>0</v>
      </c>
      <c r="M2133" s="27"/>
      <c r="N2133" s="30"/>
      <c r="O2133" s="28"/>
      <c r="P2133" s="28"/>
      <c r="Q2133" s="28"/>
      <c r="R2133" s="28"/>
      <c r="S2133" s="28"/>
    </row>
    <row r="2134">
      <c r="A2134" s="17">
        <v>46071.0</v>
      </c>
      <c r="B2134" s="18" t="s">
        <v>196</v>
      </c>
      <c r="C2134" s="18" t="s">
        <v>19</v>
      </c>
      <c r="D2134" s="19"/>
      <c r="E2134" s="19"/>
      <c r="F2134" s="20">
        <f t="shared" si="24"/>
        <v>0</v>
      </c>
      <c r="G2134" s="67">
        <f>IFERROR(VLOOKUP(B2134,DADOS!$A$2:$H$252,8,0),"")</f>
        <v>15</v>
      </c>
      <c r="H2134" s="22">
        <v>90.0</v>
      </c>
      <c r="I2134" s="23">
        <f>IFERROR(VLOOKUP(B2134,DADOS!$A$2:$H$252,4,0)*H2134,"")</f>
        <v>5.616216</v>
      </c>
      <c r="J2134" s="24">
        <v>1.0</v>
      </c>
      <c r="K2134" s="25">
        <f>IFERROR(VLOOKUP(B2134,DADOS!$A$2:$H$252,4,0)*J2134,"")</f>
        <v>0.0624024</v>
      </c>
      <c r="L2134" s="26">
        <f t="shared" si="23"/>
        <v>0</v>
      </c>
      <c r="M2134" s="27"/>
      <c r="N2134" s="30"/>
      <c r="O2134" s="28"/>
      <c r="P2134" s="28"/>
      <c r="Q2134" s="28"/>
      <c r="R2134" s="28"/>
      <c r="S2134" s="28"/>
    </row>
    <row r="2135">
      <c r="A2135" s="17">
        <v>46071.0</v>
      </c>
      <c r="B2135" s="18" t="s">
        <v>182</v>
      </c>
      <c r="C2135" s="18" t="s">
        <v>165</v>
      </c>
      <c r="D2135" s="19">
        <v>0.3194444444444444</v>
      </c>
      <c r="E2135" s="19">
        <v>0.4027777777777778</v>
      </c>
      <c r="F2135" s="20">
        <f t="shared" si="24"/>
        <v>0.08333333333</v>
      </c>
      <c r="G2135" s="67">
        <f>IFERROR(VLOOKUP(B2135,DADOS!$A$2:$H$252,8,0),"")</f>
        <v>120</v>
      </c>
      <c r="H2135" s="22">
        <v>54.0</v>
      </c>
      <c r="I2135" s="23">
        <f>IFERROR(VLOOKUP(B2135,DADOS!$A$2:$H$252,4,0)*H2135,"")</f>
        <v>17.576676</v>
      </c>
      <c r="J2135" s="36"/>
      <c r="K2135" s="25">
        <f>IFERROR(VLOOKUP(B2135,DADOS!$A$2:$H$252,4,0)*J2135,"")</f>
        <v>0</v>
      </c>
      <c r="L2135" s="26">
        <f t="shared" si="23"/>
        <v>0</v>
      </c>
      <c r="M2135" s="27"/>
      <c r="N2135" s="30"/>
      <c r="O2135" s="28"/>
      <c r="P2135" s="28"/>
      <c r="Q2135" s="28"/>
      <c r="R2135" s="28"/>
      <c r="S2135" s="28"/>
    </row>
    <row r="2136">
      <c r="A2136" s="17">
        <v>46071.0</v>
      </c>
      <c r="B2136" s="18" t="s">
        <v>18</v>
      </c>
      <c r="C2136" s="18" t="s">
        <v>165</v>
      </c>
      <c r="D2136" s="19">
        <v>0.40625</v>
      </c>
      <c r="E2136" s="19">
        <v>0.6736111111111112</v>
      </c>
      <c r="F2136" s="20">
        <f t="shared" si="24"/>
        <v>0.2673611111</v>
      </c>
      <c r="G2136" s="67">
        <f>IFERROR(VLOOKUP(B2136,DADOS!$A$2:$H$252,8,0),"")</f>
        <v>21</v>
      </c>
      <c r="H2136" s="22">
        <v>43.0</v>
      </c>
      <c r="I2136" s="23">
        <f>IFERROR(VLOOKUP(B2136,DADOS!$A$2:$H$252,4,0)*H2136,"")</f>
        <v>12.597538</v>
      </c>
      <c r="J2136" s="24">
        <v>1.0</v>
      </c>
      <c r="K2136" s="25">
        <f>IFERROR(VLOOKUP(B2136,DADOS!$A$2:$H$252,4,0)*J2136,"")</f>
        <v>0.292966</v>
      </c>
      <c r="L2136" s="26">
        <f t="shared" si="23"/>
        <v>0</v>
      </c>
      <c r="M2136" s="27"/>
      <c r="N2136" s="30"/>
      <c r="O2136" s="28"/>
      <c r="P2136" s="28"/>
      <c r="Q2136" s="28"/>
      <c r="R2136" s="28"/>
      <c r="S2136" s="28"/>
    </row>
    <row r="2137">
      <c r="A2137" s="17">
        <v>46071.0</v>
      </c>
      <c r="B2137" s="18" t="s">
        <v>196</v>
      </c>
      <c r="C2137" s="18" t="s">
        <v>165</v>
      </c>
      <c r="D2137" s="19">
        <v>0.6805555555555556</v>
      </c>
      <c r="E2137" s="19">
        <v>0.7118055555555556</v>
      </c>
      <c r="F2137" s="20">
        <f t="shared" si="24"/>
        <v>0.03125</v>
      </c>
      <c r="G2137" s="67">
        <f>IFERROR(VLOOKUP(B2137,DADOS!$A$2:$H$252,8,0),"")</f>
        <v>15</v>
      </c>
      <c r="H2137" s="22">
        <v>35.0</v>
      </c>
      <c r="I2137" s="23">
        <f>IFERROR(VLOOKUP(B2137,DADOS!$A$2:$H$252,4,0)*H2137,"")</f>
        <v>2.184084</v>
      </c>
      <c r="J2137" s="36"/>
      <c r="K2137" s="25">
        <f>IFERROR(VLOOKUP(B2137,DADOS!$A$2:$H$252,4,0)*J2137,"")</f>
        <v>0</v>
      </c>
      <c r="L2137" s="26">
        <f t="shared" si="23"/>
        <v>0</v>
      </c>
      <c r="M2137" s="27"/>
      <c r="N2137" s="30"/>
      <c r="O2137" s="82"/>
      <c r="P2137" s="82"/>
      <c r="Q2137" s="82"/>
      <c r="R2137" s="82"/>
      <c r="S2137" s="82"/>
      <c r="T2137" s="83"/>
      <c r="U2137" s="83"/>
      <c r="V2137" s="83"/>
      <c r="W2137" s="83"/>
      <c r="X2137" s="83"/>
      <c r="Y2137" s="83"/>
      <c r="Z2137" s="83"/>
      <c r="AA2137" s="83"/>
      <c r="AB2137" s="83"/>
      <c r="AC2137" s="83"/>
      <c r="AD2137" s="83"/>
      <c r="AE2137" s="83"/>
      <c r="AF2137" s="83"/>
      <c r="AG2137" s="83"/>
      <c r="AH2137" s="83"/>
      <c r="AI2137" s="83"/>
      <c r="AJ2137" s="83"/>
    </row>
    <row r="2138">
      <c r="A2138" s="76">
        <v>46071.0</v>
      </c>
      <c r="B2138" s="77" t="s">
        <v>75</v>
      </c>
      <c r="C2138" s="77" t="s">
        <v>80</v>
      </c>
      <c r="D2138" s="78"/>
      <c r="E2138" s="78"/>
      <c r="F2138" s="20">
        <f t="shared" si="24"/>
        <v>0</v>
      </c>
      <c r="G2138" s="67">
        <f>IFERROR(VLOOKUP(B2138,DADOS!$A$2:$H$252,8,0),"")</f>
        <v>23</v>
      </c>
      <c r="H2138" s="79"/>
      <c r="I2138" s="23">
        <f>IFERROR(VLOOKUP(B2138,DADOS!$A$2:$H$252,4,0)*H2138,"")</f>
        <v>0</v>
      </c>
      <c r="J2138" s="80">
        <v>1.0</v>
      </c>
      <c r="K2138" s="25">
        <f>IFERROR(VLOOKUP(B2138,DADOS!$A$2:$H$252,4,0)*J2138,"")</f>
        <v>0.1139336</v>
      </c>
      <c r="L2138" s="26">
        <f t="shared" si="23"/>
        <v>0</v>
      </c>
      <c r="M2138" s="81" t="s">
        <v>83</v>
      </c>
      <c r="N2138" s="81" t="s">
        <v>88</v>
      </c>
      <c r="O2138" s="82"/>
      <c r="P2138" s="82"/>
      <c r="Q2138" s="82"/>
      <c r="R2138" s="82"/>
      <c r="S2138" s="82"/>
      <c r="T2138" s="83"/>
      <c r="U2138" s="83"/>
      <c r="V2138" s="83"/>
      <c r="W2138" s="83"/>
      <c r="X2138" s="83"/>
      <c r="Y2138" s="83"/>
      <c r="Z2138" s="83"/>
      <c r="AA2138" s="83"/>
      <c r="AB2138" s="83"/>
      <c r="AC2138" s="83"/>
      <c r="AD2138" s="83"/>
      <c r="AE2138" s="83"/>
      <c r="AF2138" s="83"/>
      <c r="AG2138" s="83"/>
      <c r="AH2138" s="83"/>
      <c r="AI2138" s="83"/>
      <c r="AJ2138" s="83"/>
    </row>
    <row r="2139">
      <c r="A2139" s="76">
        <v>46071.0</v>
      </c>
      <c r="B2139" s="77" t="s">
        <v>98</v>
      </c>
      <c r="C2139" s="77" t="s">
        <v>80</v>
      </c>
      <c r="D2139" s="78"/>
      <c r="E2139" s="78"/>
      <c r="F2139" s="20">
        <f t="shared" si="24"/>
        <v>0</v>
      </c>
      <c r="G2139" s="67">
        <f>IFERROR(VLOOKUP(B2139,DADOS!$A$2:$H$252,8,0),"")</f>
        <v>100</v>
      </c>
      <c r="H2139" s="79"/>
      <c r="I2139" s="23">
        <f>IFERROR(VLOOKUP(B2139,DADOS!$A$2:$H$252,4,0)*H2139,"")</f>
        <v>0</v>
      </c>
      <c r="J2139" s="80">
        <v>1.0</v>
      </c>
      <c r="K2139" s="25">
        <f>IFERROR(VLOOKUP(B2139,DADOS!$A$2:$H$252,4,0)*J2139,"")</f>
        <v>0.26964</v>
      </c>
      <c r="L2139" s="26">
        <f t="shared" si="23"/>
        <v>0</v>
      </c>
      <c r="M2139" s="81" t="s">
        <v>83</v>
      </c>
      <c r="N2139" s="81" t="s">
        <v>88</v>
      </c>
      <c r="O2139" s="82"/>
      <c r="P2139" s="82"/>
      <c r="Q2139" s="82"/>
      <c r="R2139" s="82"/>
      <c r="S2139" s="82"/>
      <c r="T2139" s="83"/>
      <c r="U2139" s="83"/>
      <c r="V2139" s="83"/>
      <c r="W2139" s="83"/>
      <c r="X2139" s="83"/>
      <c r="Y2139" s="83"/>
      <c r="Z2139" s="83"/>
      <c r="AA2139" s="83"/>
      <c r="AB2139" s="83"/>
      <c r="AC2139" s="83"/>
      <c r="AD2139" s="83"/>
      <c r="AE2139" s="83"/>
      <c r="AF2139" s="83"/>
      <c r="AG2139" s="83"/>
      <c r="AH2139" s="83"/>
      <c r="AI2139" s="83"/>
      <c r="AJ2139" s="83"/>
    </row>
    <row r="2140">
      <c r="A2140" s="76">
        <v>46071.0</v>
      </c>
      <c r="B2140" s="77" t="s">
        <v>61</v>
      </c>
      <c r="C2140" s="77" t="s">
        <v>80</v>
      </c>
      <c r="D2140" s="78"/>
      <c r="E2140" s="78"/>
      <c r="F2140" s="20">
        <f t="shared" si="24"/>
        <v>0</v>
      </c>
      <c r="G2140" s="67">
        <f>IFERROR(VLOOKUP(B2140,DADOS!$A$2:$H$252,8,0),"")</f>
        <v>112</v>
      </c>
      <c r="H2140" s="79"/>
      <c r="I2140" s="23">
        <f>IFERROR(VLOOKUP(B2140,DADOS!$A$2:$H$252,4,0)*H2140,"")</f>
        <v>0</v>
      </c>
      <c r="J2140" s="80">
        <v>1.0</v>
      </c>
      <c r="K2140" s="25">
        <f>IFERROR(VLOOKUP(B2140,DADOS!$A$2:$H$252,4,0)*J2140,"")</f>
        <v>0.01498</v>
      </c>
      <c r="L2140" s="26">
        <f t="shared" si="23"/>
        <v>0</v>
      </c>
      <c r="M2140" s="81" t="s">
        <v>83</v>
      </c>
      <c r="N2140" s="81" t="s">
        <v>88</v>
      </c>
      <c r="O2140" s="82"/>
      <c r="P2140" s="82"/>
      <c r="Q2140" s="82"/>
      <c r="R2140" s="82"/>
      <c r="S2140" s="82"/>
      <c r="T2140" s="83"/>
      <c r="U2140" s="83"/>
      <c r="V2140" s="83"/>
      <c r="W2140" s="83"/>
      <c r="X2140" s="83"/>
      <c r="Y2140" s="83"/>
      <c r="Z2140" s="83"/>
      <c r="AA2140" s="83"/>
      <c r="AB2140" s="83"/>
      <c r="AC2140" s="83"/>
      <c r="AD2140" s="83"/>
      <c r="AE2140" s="83"/>
      <c r="AF2140" s="83"/>
      <c r="AG2140" s="83"/>
      <c r="AH2140" s="83"/>
      <c r="AI2140" s="83"/>
      <c r="AJ2140" s="83"/>
    </row>
    <row r="2141">
      <c r="A2141" s="76">
        <v>46071.0</v>
      </c>
      <c r="B2141" s="77" t="s">
        <v>100</v>
      </c>
      <c r="C2141" s="77" t="s">
        <v>80</v>
      </c>
      <c r="D2141" s="78"/>
      <c r="E2141" s="78"/>
      <c r="F2141" s="20">
        <f t="shared" si="24"/>
        <v>0</v>
      </c>
      <c r="G2141" s="67">
        <f>IFERROR(VLOOKUP(B2141,DADOS!$A$2:$H$252,8,0),"")</f>
        <v>15</v>
      </c>
      <c r="H2141" s="79"/>
      <c r="I2141" s="23">
        <f>IFERROR(VLOOKUP(B2141,DADOS!$A$2:$H$252,4,0)*H2141,"")</f>
        <v>0</v>
      </c>
      <c r="J2141" s="80">
        <v>1.0</v>
      </c>
      <c r="K2141" s="25">
        <f>IFERROR(VLOOKUP(B2141,DADOS!$A$2:$H$252,4,0)*J2141,"")</f>
        <v>0.1479168</v>
      </c>
      <c r="L2141" s="26">
        <f t="shared" si="23"/>
        <v>0</v>
      </c>
      <c r="M2141" s="81" t="s">
        <v>83</v>
      </c>
      <c r="N2141" s="81" t="s">
        <v>88</v>
      </c>
      <c r="O2141" s="82"/>
      <c r="P2141" s="82"/>
      <c r="Q2141" s="82"/>
      <c r="R2141" s="82"/>
      <c r="S2141" s="82"/>
      <c r="T2141" s="83"/>
      <c r="U2141" s="83"/>
      <c r="V2141" s="83"/>
      <c r="W2141" s="83"/>
      <c r="X2141" s="83"/>
      <c r="Y2141" s="83"/>
      <c r="Z2141" s="83"/>
      <c r="AA2141" s="83"/>
      <c r="AB2141" s="83"/>
      <c r="AC2141" s="83"/>
      <c r="AD2141" s="83"/>
      <c r="AE2141" s="83"/>
      <c r="AF2141" s="83"/>
      <c r="AG2141" s="83"/>
      <c r="AH2141" s="83"/>
      <c r="AI2141" s="83"/>
      <c r="AJ2141" s="83"/>
    </row>
    <row r="2142">
      <c r="A2142" s="76">
        <v>46071.0</v>
      </c>
      <c r="B2142" s="77" t="s">
        <v>79</v>
      </c>
      <c r="C2142" s="77" t="s">
        <v>80</v>
      </c>
      <c r="D2142" s="78"/>
      <c r="E2142" s="78"/>
      <c r="F2142" s="20">
        <f t="shared" si="24"/>
        <v>0</v>
      </c>
      <c r="G2142" s="67">
        <f>IFERROR(VLOOKUP(B2142,DADOS!$A$2:$H$252,8,0),"")</f>
        <v>87</v>
      </c>
      <c r="H2142" s="79"/>
      <c r="I2142" s="23">
        <f>IFERROR(VLOOKUP(B2142,DADOS!$A$2:$H$252,4,0)*H2142,"")</f>
        <v>0</v>
      </c>
      <c r="J2142" s="80">
        <v>1.0</v>
      </c>
      <c r="K2142" s="25">
        <f>IFERROR(VLOOKUP(B2142,DADOS!$A$2:$H$252,4,0)*J2142,"")</f>
        <v>0.01712</v>
      </c>
      <c r="L2142" s="26">
        <f t="shared" si="23"/>
        <v>0</v>
      </c>
      <c r="M2142" s="81" t="s">
        <v>83</v>
      </c>
      <c r="N2142" s="81" t="s">
        <v>88</v>
      </c>
      <c r="O2142" s="82"/>
      <c r="P2142" s="82"/>
      <c r="Q2142" s="82"/>
      <c r="R2142" s="82"/>
      <c r="S2142" s="82"/>
      <c r="T2142" s="83"/>
      <c r="U2142" s="83"/>
      <c r="V2142" s="83"/>
      <c r="W2142" s="83"/>
      <c r="X2142" s="83"/>
      <c r="Y2142" s="83"/>
      <c r="Z2142" s="83"/>
      <c r="AA2142" s="83"/>
      <c r="AB2142" s="83"/>
      <c r="AC2142" s="83"/>
      <c r="AD2142" s="83"/>
      <c r="AE2142" s="83"/>
      <c r="AF2142" s="83"/>
      <c r="AG2142" s="83"/>
      <c r="AH2142" s="83"/>
      <c r="AI2142" s="83"/>
      <c r="AJ2142" s="83"/>
    </row>
    <row r="2143">
      <c r="A2143" s="76">
        <v>46071.0</v>
      </c>
      <c r="B2143" s="77" t="s">
        <v>75</v>
      </c>
      <c r="C2143" s="77" t="s">
        <v>80</v>
      </c>
      <c r="D2143" s="78"/>
      <c r="E2143" s="78"/>
      <c r="F2143" s="20">
        <f t="shared" si="24"/>
        <v>0</v>
      </c>
      <c r="G2143" s="67">
        <f>IFERROR(VLOOKUP(B2143,DADOS!$A$2:$H$252,8,0),"")</f>
        <v>23</v>
      </c>
      <c r="H2143" s="79"/>
      <c r="I2143" s="23">
        <f>IFERROR(VLOOKUP(B2143,DADOS!$A$2:$H$252,4,0)*H2143,"")</f>
        <v>0</v>
      </c>
      <c r="J2143" s="80">
        <v>5.0</v>
      </c>
      <c r="K2143" s="25">
        <f>IFERROR(VLOOKUP(B2143,DADOS!$A$2:$H$252,4,0)*J2143,"")</f>
        <v>0.569668</v>
      </c>
      <c r="L2143" s="26">
        <f t="shared" si="23"/>
        <v>0</v>
      </c>
      <c r="M2143" s="81" t="s">
        <v>83</v>
      </c>
      <c r="N2143" s="81" t="s">
        <v>88</v>
      </c>
      <c r="O2143" s="82"/>
      <c r="P2143" s="82"/>
      <c r="Q2143" s="82"/>
      <c r="R2143" s="82"/>
      <c r="S2143" s="82"/>
      <c r="T2143" s="83"/>
      <c r="U2143" s="83"/>
      <c r="V2143" s="83"/>
      <c r="W2143" s="83"/>
      <c r="X2143" s="83"/>
      <c r="Y2143" s="83"/>
      <c r="Z2143" s="83"/>
      <c r="AA2143" s="83"/>
      <c r="AB2143" s="83"/>
      <c r="AC2143" s="83"/>
      <c r="AD2143" s="83"/>
      <c r="AE2143" s="83"/>
      <c r="AF2143" s="83"/>
      <c r="AG2143" s="83"/>
      <c r="AH2143" s="83"/>
      <c r="AI2143" s="83"/>
      <c r="AJ2143" s="83"/>
    </row>
    <row r="2144">
      <c r="A2144" s="76">
        <v>46071.0</v>
      </c>
      <c r="B2144" s="77" t="s">
        <v>58</v>
      </c>
      <c r="C2144" s="77" t="s">
        <v>80</v>
      </c>
      <c r="D2144" s="78"/>
      <c r="E2144" s="78"/>
      <c r="F2144" s="20">
        <f t="shared" si="24"/>
        <v>0</v>
      </c>
      <c r="G2144" s="67">
        <f>IFERROR(VLOOKUP(B2144,DADOS!$A$2:$H$252,8,0),"")</f>
        <v>31</v>
      </c>
      <c r="H2144" s="79"/>
      <c r="I2144" s="23">
        <f>IFERROR(VLOOKUP(B2144,DADOS!$A$2:$H$252,4,0)*H2144,"")</f>
        <v>0</v>
      </c>
      <c r="J2144" s="80">
        <v>3.0</v>
      </c>
      <c r="K2144" s="25">
        <f>IFERROR(VLOOKUP(B2144,DADOS!$A$2:$H$252,4,0)*J2144,"")</f>
        <v>0.3418008</v>
      </c>
      <c r="L2144" s="26">
        <f t="shared" si="23"/>
        <v>0</v>
      </c>
      <c r="M2144" s="81" t="s">
        <v>83</v>
      </c>
      <c r="N2144" s="81" t="s">
        <v>88</v>
      </c>
      <c r="O2144" s="82"/>
      <c r="P2144" s="82"/>
      <c r="Q2144" s="82"/>
      <c r="R2144" s="82"/>
      <c r="S2144" s="82"/>
      <c r="T2144" s="83"/>
      <c r="U2144" s="83"/>
      <c r="V2144" s="83"/>
      <c r="W2144" s="83"/>
      <c r="X2144" s="83"/>
      <c r="Y2144" s="83"/>
      <c r="Z2144" s="83"/>
      <c r="AA2144" s="83"/>
      <c r="AB2144" s="83"/>
      <c r="AC2144" s="83"/>
      <c r="AD2144" s="83"/>
      <c r="AE2144" s="83"/>
      <c r="AF2144" s="83"/>
      <c r="AG2144" s="83"/>
      <c r="AH2144" s="83"/>
      <c r="AI2144" s="83"/>
      <c r="AJ2144" s="83"/>
    </row>
    <row r="2145">
      <c r="A2145" s="76">
        <v>46071.0</v>
      </c>
      <c r="B2145" s="77" t="s">
        <v>161</v>
      </c>
      <c r="C2145" s="77" t="s">
        <v>80</v>
      </c>
      <c r="D2145" s="78"/>
      <c r="E2145" s="78"/>
      <c r="F2145" s="20">
        <f t="shared" si="24"/>
        <v>0</v>
      </c>
      <c r="G2145" s="67">
        <f>IFERROR(VLOOKUP(B2145,DADOS!$A$2:$H$252,8,0),"")</f>
        <v>22</v>
      </c>
      <c r="H2145" s="79"/>
      <c r="I2145" s="23">
        <f>IFERROR(VLOOKUP(B2145,DADOS!$A$2:$H$252,4,0)*H2145,"")</f>
        <v>0</v>
      </c>
      <c r="J2145" s="80">
        <v>1.0</v>
      </c>
      <c r="K2145" s="25">
        <f>IFERROR(VLOOKUP(B2145,DADOS!$A$2:$H$252,4,0)*J2145,"")</f>
        <v>0.077254</v>
      </c>
      <c r="L2145" s="26">
        <f t="shared" si="23"/>
        <v>0</v>
      </c>
      <c r="M2145" s="81" t="s">
        <v>83</v>
      </c>
      <c r="N2145" s="81" t="s">
        <v>88</v>
      </c>
      <c r="O2145" s="82"/>
      <c r="P2145" s="82"/>
      <c r="Q2145" s="82"/>
      <c r="R2145" s="82"/>
      <c r="S2145" s="82"/>
      <c r="T2145" s="83"/>
      <c r="U2145" s="83"/>
      <c r="V2145" s="83"/>
      <c r="W2145" s="83"/>
      <c r="X2145" s="83"/>
      <c r="Y2145" s="83"/>
      <c r="Z2145" s="83"/>
      <c r="AA2145" s="83"/>
      <c r="AB2145" s="83"/>
      <c r="AC2145" s="83"/>
      <c r="AD2145" s="83"/>
      <c r="AE2145" s="83"/>
      <c r="AF2145" s="83"/>
      <c r="AG2145" s="83"/>
      <c r="AH2145" s="83"/>
      <c r="AI2145" s="83"/>
      <c r="AJ2145" s="83"/>
    </row>
    <row r="2146">
      <c r="A2146" s="76">
        <v>46071.0</v>
      </c>
      <c r="B2146" s="77" t="s">
        <v>72</v>
      </c>
      <c r="C2146" s="77" t="s">
        <v>80</v>
      </c>
      <c r="D2146" s="78"/>
      <c r="E2146" s="78"/>
      <c r="F2146" s="20">
        <f t="shared" si="24"/>
        <v>0</v>
      </c>
      <c r="G2146" s="67">
        <f>IFERROR(VLOOKUP(B2146,DADOS!$A$2:$H$252,8,0),"")</f>
        <v>43</v>
      </c>
      <c r="H2146" s="79"/>
      <c r="I2146" s="23">
        <f>IFERROR(VLOOKUP(B2146,DADOS!$A$2:$H$252,4,0)*H2146,"")</f>
        <v>0</v>
      </c>
      <c r="J2146" s="80">
        <v>2.0</v>
      </c>
      <c r="K2146" s="25">
        <f>IFERROR(VLOOKUP(B2146,DADOS!$A$2:$H$252,4,0)*J2146,"")</f>
        <v>0.03424</v>
      </c>
      <c r="L2146" s="26">
        <f t="shared" si="23"/>
        <v>0</v>
      </c>
      <c r="M2146" s="81" t="s">
        <v>83</v>
      </c>
      <c r="N2146" s="81" t="s">
        <v>88</v>
      </c>
      <c r="O2146" s="82"/>
      <c r="P2146" s="82"/>
      <c r="Q2146" s="82"/>
      <c r="R2146" s="82"/>
      <c r="S2146" s="82"/>
      <c r="T2146" s="83"/>
      <c r="U2146" s="83"/>
      <c r="V2146" s="83"/>
      <c r="W2146" s="83"/>
      <c r="X2146" s="83"/>
      <c r="Y2146" s="83"/>
      <c r="Z2146" s="83"/>
      <c r="AA2146" s="83"/>
      <c r="AB2146" s="83"/>
      <c r="AC2146" s="83"/>
      <c r="AD2146" s="83"/>
      <c r="AE2146" s="83"/>
      <c r="AF2146" s="83"/>
      <c r="AG2146" s="83"/>
      <c r="AH2146" s="83"/>
      <c r="AI2146" s="83"/>
      <c r="AJ2146" s="83"/>
    </row>
    <row r="2147">
      <c r="A2147" s="76">
        <v>46071.0</v>
      </c>
      <c r="B2147" s="77" t="s">
        <v>18</v>
      </c>
      <c r="C2147" s="77" t="s">
        <v>80</v>
      </c>
      <c r="D2147" s="78"/>
      <c r="E2147" s="78"/>
      <c r="F2147" s="20">
        <f t="shared" si="24"/>
        <v>0</v>
      </c>
      <c r="G2147" s="67">
        <f>IFERROR(VLOOKUP(B2147,DADOS!$A$2:$H$252,8,0),"")</f>
        <v>21</v>
      </c>
      <c r="H2147" s="79"/>
      <c r="I2147" s="23">
        <f>IFERROR(VLOOKUP(B2147,DADOS!$A$2:$H$252,4,0)*H2147,"")</f>
        <v>0</v>
      </c>
      <c r="J2147" s="80">
        <v>1.0</v>
      </c>
      <c r="K2147" s="25">
        <f>IFERROR(VLOOKUP(B2147,DADOS!$A$2:$H$252,4,0)*J2147,"")</f>
        <v>0.292966</v>
      </c>
      <c r="L2147" s="26">
        <f t="shared" si="23"/>
        <v>0</v>
      </c>
      <c r="M2147" s="81" t="s">
        <v>83</v>
      </c>
      <c r="N2147" s="81" t="s">
        <v>88</v>
      </c>
      <c r="O2147" s="82"/>
      <c r="P2147" s="82"/>
      <c r="Q2147" s="82"/>
      <c r="R2147" s="82"/>
      <c r="S2147" s="82"/>
      <c r="T2147" s="83"/>
      <c r="U2147" s="83"/>
      <c r="V2147" s="83"/>
      <c r="W2147" s="83"/>
      <c r="X2147" s="83"/>
      <c r="Y2147" s="83"/>
      <c r="Z2147" s="83"/>
      <c r="AA2147" s="83"/>
      <c r="AB2147" s="83"/>
      <c r="AC2147" s="83"/>
      <c r="AD2147" s="83"/>
      <c r="AE2147" s="83"/>
      <c r="AF2147" s="83"/>
      <c r="AG2147" s="83"/>
      <c r="AH2147" s="83"/>
      <c r="AI2147" s="83"/>
      <c r="AJ2147" s="83"/>
    </row>
    <row r="2148">
      <c r="A2148" s="76">
        <v>46071.0</v>
      </c>
      <c r="B2148" s="77" t="s">
        <v>190</v>
      </c>
      <c r="C2148" s="77" t="s">
        <v>80</v>
      </c>
      <c r="D2148" s="78"/>
      <c r="E2148" s="78"/>
      <c r="F2148" s="20">
        <f t="shared" si="24"/>
        <v>0</v>
      </c>
      <c r="G2148" s="67">
        <f>IFERROR(VLOOKUP(B2148,DADOS!$A$2:$H$252,8,0),"")</f>
        <v>12</v>
      </c>
      <c r="H2148" s="79"/>
      <c r="I2148" s="23">
        <f>IFERROR(VLOOKUP(B2148,DADOS!$A$2:$H$252,4,0)*H2148,"")</f>
        <v>0</v>
      </c>
      <c r="J2148" s="80">
        <v>3.0</v>
      </c>
      <c r="K2148" s="25">
        <f>IFERROR(VLOOKUP(B2148,DADOS!$A$2:$H$252,4,0)*J2148,"")</f>
        <v>1.187058</v>
      </c>
      <c r="L2148" s="26">
        <f t="shared" si="23"/>
        <v>0</v>
      </c>
      <c r="M2148" s="81" t="s">
        <v>83</v>
      </c>
      <c r="N2148" s="81" t="s">
        <v>88</v>
      </c>
      <c r="O2148" s="82"/>
      <c r="P2148" s="82"/>
      <c r="Q2148" s="82"/>
      <c r="R2148" s="82"/>
      <c r="S2148" s="82"/>
      <c r="T2148" s="83"/>
      <c r="U2148" s="83"/>
      <c r="V2148" s="83"/>
      <c r="W2148" s="83"/>
      <c r="X2148" s="83"/>
      <c r="Y2148" s="83"/>
      <c r="Z2148" s="83"/>
      <c r="AA2148" s="83"/>
      <c r="AB2148" s="83"/>
      <c r="AC2148" s="83"/>
      <c r="AD2148" s="83"/>
      <c r="AE2148" s="83"/>
      <c r="AF2148" s="83"/>
      <c r="AG2148" s="83"/>
      <c r="AH2148" s="83"/>
      <c r="AI2148" s="83"/>
      <c r="AJ2148" s="83"/>
    </row>
    <row r="2149">
      <c r="A2149" s="76">
        <v>46071.0</v>
      </c>
      <c r="B2149" s="77" t="s">
        <v>195</v>
      </c>
      <c r="C2149" s="77" t="s">
        <v>80</v>
      </c>
      <c r="D2149" s="78"/>
      <c r="E2149" s="78"/>
      <c r="F2149" s="20">
        <f t="shared" si="24"/>
        <v>0</v>
      </c>
      <c r="G2149" s="67">
        <f>IFERROR(VLOOKUP(B2149,DADOS!$A$2:$H$252,8,0),"")</f>
        <v>43</v>
      </c>
      <c r="H2149" s="79"/>
      <c r="I2149" s="23">
        <f>IFERROR(VLOOKUP(B2149,DADOS!$A$2:$H$252,4,0)*H2149,"")</f>
        <v>0</v>
      </c>
      <c r="J2149" s="80">
        <v>3.0</v>
      </c>
      <c r="K2149" s="25">
        <f>IFERROR(VLOOKUP(B2149,DADOS!$A$2:$H$252,4,0)*J2149,"")</f>
        <v>0.63558</v>
      </c>
      <c r="L2149" s="26">
        <f t="shared" si="23"/>
        <v>0</v>
      </c>
      <c r="M2149" s="81" t="s">
        <v>83</v>
      </c>
      <c r="N2149" s="81" t="s">
        <v>88</v>
      </c>
      <c r="O2149" s="82"/>
      <c r="P2149" s="82"/>
      <c r="Q2149" s="82"/>
      <c r="R2149" s="82"/>
      <c r="S2149" s="82"/>
      <c r="T2149" s="83"/>
      <c r="U2149" s="83"/>
      <c r="V2149" s="83"/>
      <c r="W2149" s="83"/>
      <c r="X2149" s="83"/>
      <c r="Y2149" s="83"/>
      <c r="Z2149" s="83"/>
      <c r="AA2149" s="83"/>
      <c r="AB2149" s="83"/>
      <c r="AC2149" s="83"/>
      <c r="AD2149" s="83"/>
      <c r="AE2149" s="83"/>
      <c r="AF2149" s="83"/>
      <c r="AG2149" s="83"/>
      <c r="AH2149" s="83"/>
      <c r="AI2149" s="83"/>
      <c r="AJ2149" s="83"/>
    </row>
    <row r="2150">
      <c r="A2150" s="76">
        <v>46071.0</v>
      </c>
      <c r="B2150" s="77" t="s">
        <v>96</v>
      </c>
      <c r="C2150" s="77" t="s">
        <v>80</v>
      </c>
      <c r="D2150" s="78"/>
      <c r="E2150" s="78"/>
      <c r="F2150" s="20">
        <f t="shared" si="24"/>
        <v>0</v>
      </c>
      <c r="G2150" s="67">
        <f>IFERROR(VLOOKUP(B2150,DADOS!$A$2:$H$252,8,0),"")</f>
        <v>27</v>
      </c>
      <c r="H2150" s="79"/>
      <c r="I2150" s="23">
        <f>IFERROR(VLOOKUP(B2150,DADOS!$A$2:$H$252,4,0)*H2150,"")</f>
        <v>0</v>
      </c>
      <c r="J2150" s="80">
        <v>18.0</v>
      </c>
      <c r="K2150" s="25">
        <f>IFERROR(VLOOKUP(B2150,DADOS!$A$2:$H$252,4,0)*J2150,"")</f>
        <v>1.69488</v>
      </c>
      <c r="L2150" s="26">
        <f t="shared" si="23"/>
        <v>0</v>
      </c>
      <c r="M2150" s="81" t="s">
        <v>83</v>
      </c>
      <c r="N2150" s="81" t="s">
        <v>88</v>
      </c>
      <c r="O2150" s="82"/>
      <c r="P2150" s="82"/>
      <c r="Q2150" s="82"/>
      <c r="R2150" s="82"/>
      <c r="S2150" s="82"/>
      <c r="T2150" s="83"/>
      <c r="U2150" s="83"/>
      <c r="V2150" s="83"/>
      <c r="W2150" s="83"/>
      <c r="X2150" s="83"/>
      <c r="Y2150" s="83"/>
      <c r="Z2150" s="83"/>
      <c r="AA2150" s="83"/>
      <c r="AB2150" s="83"/>
      <c r="AC2150" s="83"/>
      <c r="AD2150" s="83"/>
      <c r="AE2150" s="83"/>
      <c r="AF2150" s="83"/>
      <c r="AG2150" s="83"/>
      <c r="AH2150" s="83"/>
      <c r="AI2150" s="83"/>
      <c r="AJ2150" s="83"/>
    </row>
    <row r="2151">
      <c r="A2151" s="76">
        <v>46071.0</v>
      </c>
      <c r="B2151" s="77" t="s">
        <v>98</v>
      </c>
      <c r="C2151" s="77" t="s">
        <v>80</v>
      </c>
      <c r="D2151" s="78"/>
      <c r="E2151" s="78"/>
      <c r="F2151" s="20">
        <f t="shared" si="24"/>
        <v>0</v>
      </c>
      <c r="G2151" s="67">
        <f>IFERROR(VLOOKUP(B2151,DADOS!$A$2:$H$252,8,0),"")</f>
        <v>100</v>
      </c>
      <c r="H2151" s="79"/>
      <c r="I2151" s="23">
        <f>IFERROR(VLOOKUP(B2151,DADOS!$A$2:$H$252,4,0)*H2151,"")</f>
        <v>0</v>
      </c>
      <c r="J2151" s="80">
        <v>1.0</v>
      </c>
      <c r="K2151" s="25">
        <f>IFERROR(VLOOKUP(B2151,DADOS!$A$2:$H$252,4,0)*J2151,"")</f>
        <v>0.26964</v>
      </c>
      <c r="L2151" s="26">
        <f t="shared" si="23"/>
        <v>0</v>
      </c>
      <c r="M2151" s="81" t="s">
        <v>83</v>
      </c>
      <c r="N2151" s="81" t="s">
        <v>88</v>
      </c>
      <c r="O2151" s="82"/>
      <c r="P2151" s="82"/>
      <c r="Q2151" s="82"/>
      <c r="R2151" s="82"/>
      <c r="S2151" s="82"/>
      <c r="T2151" s="83"/>
      <c r="U2151" s="83"/>
      <c r="V2151" s="83"/>
      <c r="W2151" s="83"/>
      <c r="X2151" s="83"/>
      <c r="Y2151" s="83"/>
      <c r="Z2151" s="83"/>
      <c r="AA2151" s="83"/>
      <c r="AB2151" s="83"/>
      <c r="AC2151" s="83"/>
      <c r="AD2151" s="83"/>
      <c r="AE2151" s="83"/>
      <c r="AF2151" s="83"/>
      <c r="AG2151" s="83"/>
      <c r="AH2151" s="83"/>
      <c r="AI2151" s="83"/>
      <c r="AJ2151" s="83"/>
    </row>
    <row r="2152">
      <c r="A2152" s="76">
        <v>46071.0</v>
      </c>
      <c r="B2152" s="77" t="s">
        <v>190</v>
      </c>
      <c r="C2152" s="77" t="s">
        <v>80</v>
      </c>
      <c r="D2152" s="78"/>
      <c r="E2152" s="78"/>
      <c r="F2152" s="20">
        <f t="shared" si="24"/>
        <v>0</v>
      </c>
      <c r="G2152" s="67">
        <f>IFERROR(VLOOKUP(B2152,DADOS!$A$2:$H$252,8,0),"")</f>
        <v>12</v>
      </c>
      <c r="H2152" s="79"/>
      <c r="I2152" s="23">
        <f>IFERROR(VLOOKUP(B2152,DADOS!$A$2:$H$252,4,0)*H2152,"")</f>
        <v>0</v>
      </c>
      <c r="J2152" s="80">
        <v>2.0</v>
      </c>
      <c r="K2152" s="25">
        <f>IFERROR(VLOOKUP(B2152,DADOS!$A$2:$H$252,4,0)*J2152,"")</f>
        <v>0.791372</v>
      </c>
      <c r="L2152" s="26">
        <f t="shared" si="23"/>
        <v>0</v>
      </c>
      <c r="M2152" s="81" t="s">
        <v>39</v>
      </c>
      <c r="N2152" s="81" t="s">
        <v>163</v>
      </c>
      <c r="O2152" s="82"/>
      <c r="P2152" s="82"/>
      <c r="Q2152" s="82"/>
      <c r="R2152" s="82"/>
      <c r="S2152" s="82"/>
      <c r="T2152" s="83"/>
      <c r="U2152" s="83"/>
      <c r="V2152" s="83"/>
      <c r="W2152" s="83"/>
      <c r="X2152" s="83"/>
      <c r="Y2152" s="83"/>
      <c r="Z2152" s="83"/>
      <c r="AA2152" s="83"/>
      <c r="AB2152" s="83"/>
      <c r="AC2152" s="83"/>
      <c r="AD2152" s="83"/>
      <c r="AE2152" s="83"/>
      <c r="AF2152" s="83"/>
      <c r="AG2152" s="83"/>
      <c r="AH2152" s="83"/>
      <c r="AI2152" s="83"/>
      <c r="AJ2152" s="83"/>
    </row>
    <row r="2153">
      <c r="A2153" s="76">
        <v>46071.0</v>
      </c>
      <c r="B2153" s="77" t="s">
        <v>216</v>
      </c>
      <c r="C2153" s="77" t="s">
        <v>80</v>
      </c>
      <c r="D2153" s="78"/>
      <c r="E2153" s="78"/>
      <c r="F2153" s="20">
        <f t="shared" si="24"/>
        <v>0</v>
      </c>
      <c r="G2153" s="67" t="str">
        <f>IFERROR(VLOOKUP(B2153,DADOS!$A$2:$H$252,8,0),"")</f>
        <v/>
      </c>
      <c r="H2153" s="79"/>
      <c r="I2153" s="23">
        <f>IFERROR(VLOOKUP(B2153,DADOS!$A$2:$H$252,4,0)*H2153,"")</f>
        <v>0</v>
      </c>
      <c r="J2153" s="80">
        <v>1.0</v>
      </c>
      <c r="K2153" s="25">
        <f>IFERROR(VLOOKUP(B2153,DADOS!$A$2:$H$252,4,0)*J2153,"")</f>
        <v>0</v>
      </c>
      <c r="L2153" s="26">
        <f t="shared" si="23"/>
        <v>0</v>
      </c>
      <c r="M2153" s="81" t="s">
        <v>39</v>
      </c>
      <c r="N2153" s="81" t="s">
        <v>163</v>
      </c>
      <c r="O2153" s="82"/>
      <c r="P2153" s="82"/>
      <c r="Q2153" s="82"/>
      <c r="R2153" s="82"/>
      <c r="S2153" s="82"/>
      <c r="T2153" s="83"/>
      <c r="U2153" s="83"/>
      <c r="V2153" s="83"/>
      <c r="W2153" s="83"/>
      <c r="X2153" s="83"/>
      <c r="Y2153" s="83"/>
      <c r="Z2153" s="83"/>
      <c r="AA2153" s="83"/>
      <c r="AB2153" s="83"/>
      <c r="AC2153" s="83"/>
      <c r="AD2153" s="83"/>
      <c r="AE2153" s="83"/>
      <c r="AF2153" s="83"/>
      <c r="AG2153" s="83"/>
      <c r="AH2153" s="83"/>
      <c r="AI2153" s="83"/>
      <c r="AJ2153" s="83"/>
    </row>
    <row r="2154">
      <c r="A2154" s="76">
        <v>46071.0</v>
      </c>
      <c r="B2154" s="77" t="s">
        <v>101</v>
      </c>
      <c r="C2154" s="77" t="s">
        <v>80</v>
      </c>
      <c r="D2154" s="78"/>
      <c r="E2154" s="78"/>
      <c r="F2154" s="20">
        <f t="shared" si="24"/>
        <v>0</v>
      </c>
      <c r="G2154" s="67" t="str">
        <f>IFERROR(VLOOKUP(B2154,DADOS!$A$2:$H$252,8,0),"")</f>
        <v/>
      </c>
      <c r="H2154" s="79"/>
      <c r="I2154" s="23">
        <f>IFERROR(VLOOKUP(B2154,DADOS!$A$2:$H$252,4,0)*H2154,"")</f>
        <v>0</v>
      </c>
      <c r="J2154" s="80">
        <v>1.0</v>
      </c>
      <c r="K2154" s="25">
        <f>IFERROR(VLOOKUP(B2154,DADOS!$A$2:$H$252,4,0)*J2154,"")</f>
        <v>0.1591304</v>
      </c>
      <c r="L2154" s="26">
        <f t="shared" si="23"/>
        <v>0</v>
      </c>
      <c r="M2154" s="81" t="s">
        <v>39</v>
      </c>
      <c r="N2154" s="81" t="s">
        <v>163</v>
      </c>
      <c r="O2154" s="82"/>
      <c r="P2154" s="82"/>
      <c r="Q2154" s="82"/>
      <c r="R2154" s="82"/>
      <c r="S2154" s="82"/>
      <c r="T2154" s="83"/>
      <c r="U2154" s="83"/>
      <c r="V2154" s="83"/>
      <c r="W2154" s="83"/>
      <c r="X2154" s="83"/>
      <c r="Y2154" s="83"/>
      <c r="Z2154" s="83"/>
      <c r="AA2154" s="83"/>
      <c r="AB2154" s="83"/>
      <c r="AC2154" s="83"/>
      <c r="AD2154" s="83"/>
      <c r="AE2154" s="83"/>
      <c r="AF2154" s="83"/>
      <c r="AG2154" s="83"/>
      <c r="AH2154" s="83"/>
      <c r="AI2154" s="83"/>
      <c r="AJ2154" s="83"/>
    </row>
    <row r="2155">
      <c r="A2155" s="76">
        <v>46071.0</v>
      </c>
      <c r="B2155" s="77" t="s">
        <v>186</v>
      </c>
      <c r="C2155" s="77" t="s">
        <v>80</v>
      </c>
      <c r="D2155" s="78"/>
      <c r="E2155" s="78"/>
      <c r="F2155" s="20">
        <f t="shared" si="24"/>
        <v>0</v>
      </c>
      <c r="G2155" s="67">
        <f>IFERROR(VLOOKUP(B2155,DADOS!$A$2:$H$252,8,0),"")</f>
        <v>25</v>
      </c>
      <c r="H2155" s="79"/>
      <c r="I2155" s="23">
        <f>IFERROR(VLOOKUP(B2155,DADOS!$A$2:$H$252,4,0)*H2155,"")</f>
        <v>0</v>
      </c>
      <c r="J2155" s="80">
        <v>1.0</v>
      </c>
      <c r="K2155" s="25">
        <f>IFERROR(VLOOKUP(B2155,DADOS!$A$2:$H$252,4,0)*J2155,"")</f>
        <v>0.277344</v>
      </c>
      <c r="L2155" s="26">
        <f t="shared" si="23"/>
        <v>0</v>
      </c>
      <c r="M2155" s="81" t="s">
        <v>39</v>
      </c>
      <c r="N2155" s="81" t="s">
        <v>163</v>
      </c>
      <c r="O2155" s="82"/>
      <c r="P2155" s="82"/>
      <c r="Q2155" s="82"/>
      <c r="R2155" s="82"/>
      <c r="S2155" s="82"/>
      <c r="T2155" s="83"/>
      <c r="U2155" s="83"/>
      <c r="V2155" s="83"/>
      <c r="W2155" s="83"/>
      <c r="X2155" s="83"/>
      <c r="Y2155" s="83"/>
      <c r="Z2155" s="83"/>
      <c r="AA2155" s="83"/>
      <c r="AB2155" s="83"/>
      <c r="AC2155" s="83"/>
      <c r="AD2155" s="83"/>
      <c r="AE2155" s="83"/>
      <c r="AF2155" s="83"/>
      <c r="AG2155" s="83"/>
      <c r="AH2155" s="83"/>
      <c r="AI2155" s="83"/>
      <c r="AJ2155" s="83"/>
    </row>
    <row r="2156">
      <c r="A2156" s="76">
        <v>46071.0</v>
      </c>
      <c r="B2156" s="77" t="s">
        <v>31</v>
      </c>
      <c r="C2156" s="77" t="s">
        <v>80</v>
      </c>
      <c r="D2156" s="78"/>
      <c r="E2156" s="78"/>
      <c r="F2156" s="20">
        <f t="shared" si="24"/>
        <v>0</v>
      </c>
      <c r="G2156" s="67">
        <f>IFERROR(VLOOKUP(B2156,DADOS!$A$2:$H$252,8,0),"")</f>
        <v>10</v>
      </c>
      <c r="H2156" s="79"/>
      <c r="I2156" s="23">
        <f>IFERROR(VLOOKUP(B2156,DADOS!$A$2:$H$252,4,0)*H2156,"")</f>
        <v>0</v>
      </c>
      <c r="J2156" s="80">
        <v>1.0</v>
      </c>
      <c r="K2156" s="25">
        <f>IFERROR(VLOOKUP(B2156,DADOS!$A$2:$H$252,4,0)*J2156,"")</f>
        <v>0.1355904</v>
      </c>
      <c r="L2156" s="26">
        <f t="shared" si="23"/>
        <v>0</v>
      </c>
      <c r="M2156" s="81" t="s">
        <v>39</v>
      </c>
      <c r="N2156" s="81" t="s">
        <v>163</v>
      </c>
      <c r="O2156" s="82"/>
      <c r="P2156" s="82"/>
      <c r="Q2156" s="82"/>
      <c r="R2156" s="82"/>
      <c r="S2156" s="82"/>
      <c r="T2156" s="83"/>
      <c r="U2156" s="83"/>
      <c r="V2156" s="83"/>
      <c r="W2156" s="83"/>
      <c r="X2156" s="83"/>
      <c r="Y2156" s="83"/>
      <c r="Z2156" s="83"/>
      <c r="AA2156" s="83"/>
      <c r="AB2156" s="83"/>
      <c r="AC2156" s="83"/>
      <c r="AD2156" s="83"/>
      <c r="AE2156" s="83"/>
      <c r="AF2156" s="83"/>
      <c r="AG2156" s="83"/>
      <c r="AH2156" s="83"/>
      <c r="AI2156" s="83"/>
      <c r="AJ2156" s="83"/>
    </row>
    <row r="2157">
      <c r="A2157" s="76">
        <v>46071.0</v>
      </c>
      <c r="B2157" s="77" t="s">
        <v>62</v>
      </c>
      <c r="C2157" s="77" t="s">
        <v>80</v>
      </c>
      <c r="D2157" s="78"/>
      <c r="E2157" s="78"/>
      <c r="F2157" s="20">
        <f t="shared" si="24"/>
        <v>0</v>
      </c>
      <c r="G2157" s="67">
        <f>IFERROR(VLOOKUP(B2157,DADOS!$A$2:$H$252,8,0),"")</f>
        <v>14</v>
      </c>
      <c r="H2157" s="79"/>
      <c r="I2157" s="23">
        <f>IFERROR(VLOOKUP(B2157,DADOS!$A$2:$H$252,4,0)*H2157,"")</f>
        <v>0</v>
      </c>
      <c r="J2157" s="80">
        <v>1.0</v>
      </c>
      <c r="K2157" s="25">
        <f>IFERROR(VLOOKUP(B2157,DADOS!$A$2:$H$252,4,0)*J2157,"")</f>
        <v>0.0849794</v>
      </c>
      <c r="L2157" s="26">
        <f t="shared" si="23"/>
        <v>0</v>
      </c>
      <c r="M2157" s="81" t="s">
        <v>39</v>
      </c>
      <c r="N2157" s="81" t="s">
        <v>120</v>
      </c>
      <c r="O2157" s="82"/>
      <c r="P2157" s="82"/>
      <c r="Q2157" s="82"/>
      <c r="R2157" s="82"/>
      <c r="S2157" s="82"/>
      <c r="T2157" s="83"/>
      <c r="U2157" s="83"/>
      <c r="V2157" s="83"/>
      <c r="W2157" s="83"/>
      <c r="X2157" s="83"/>
      <c r="Y2157" s="83"/>
      <c r="Z2157" s="83"/>
      <c r="AA2157" s="83"/>
      <c r="AB2157" s="83"/>
      <c r="AC2157" s="83"/>
      <c r="AD2157" s="83"/>
      <c r="AE2157" s="83"/>
      <c r="AF2157" s="83"/>
      <c r="AG2157" s="83"/>
      <c r="AH2157" s="83"/>
      <c r="AI2157" s="83"/>
      <c r="AJ2157" s="83"/>
    </row>
    <row r="2158">
      <c r="A2158" s="76">
        <v>46071.0</v>
      </c>
      <c r="B2158" s="77" t="s">
        <v>24</v>
      </c>
      <c r="C2158" s="77" t="s">
        <v>80</v>
      </c>
      <c r="D2158" s="78"/>
      <c r="E2158" s="78"/>
      <c r="F2158" s="20">
        <f t="shared" si="24"/>
        <v>0</v>
      </c>
      <c r="G2158" s="67">
        <f>IFERROR(VLOOKUP(B2158,DADOS!$A$2:$H$252,8,0),"")</f>
        <v>37</v>
      </c>
      <c r="H2158" s="79"/>
      <c r="I2158" s="23">
        <f>IFERROR(VLOOKUP(B2158,DADOS!$A$2:$H$252,4,0)*H2158,"")</f>
        <v>0</v>
      </c>
      <c r="J2158" s="80">
        <v>1.0</v>
      </c>
      <c r="K2158" s="25">
        <f>IFERROR(VLOOKUP(B2158,DADOS!$A$2:$H$252,4,0)*J2158,"")</f>
        <v>0.1139336</v>
      </c>
      <c r="L2158" s="26">
        <f t="shared" si="23"/>
        <v>0</v>
      </c>
      <c r="M2158" s="81" t="s">
        <v>39</v>
      </c>
      <c r="N2158" s="81" t="s">
        <v>120</v>
      </c>
      <c r="O2158" s="82"/>
      <c r="P2158" s="82"/>
      <c r="Q2158" s="82"/>
      <c r="R2158" s="82"/>
      <c r="S2158" s="82"/>
      <c r="T2158" s="83"/>
      <c r="U2158" s="83"/>
      <c r="V2158" s="83"/>
      <c r="W2158" s="83"/>
      <c r="X2158" s="83"/>
      <c r="Y2158" s="83"/>
      <c r="Z2158" s="83"/>
      <c r="AA2158" s="83"/>
      <c r="AB2158" s="83"/>
      <c r="AC2158" s="83"/>
      <c r="AD2158" s="83"/>
      <c r="AE2158" s="83"/>
      <c r="AF2158" s="83"/>
      <c r="AG2158" s="83"/>
      <c r="AH2158" s="83"/>
      <c r="AI2158" s="83"/>
      <c r="AJ2158" s="83"/>
    </row>
    <row r="2159">
      <c r="A2159" s="76">
        <v>46071.0</v>
      </c>
      <c r="B2159" s="77" t="s">
        <v>22</v>
      </c>
      <c r="C2159" s="77" t="s">
        <v>80</v>
      </c>
      <c r="D2159" s="78"/>
      <c r="E2159" s="78"/>
      <c r="F2159" s="20">
        <f t="shared" si="24"/>
        <v>0</v>
      </c>
      <c r="G2159" s="67">
        <f>IFERROR(VLOOKUP(B2159,DADOS!$A$2:$H$252,8,0),"")</f>
        <v>15</v>
      </c>
      <c r="H2159" s="79"/>
      <c r="I2159" s="23">
        <f>IFERROR(VLOOKUP(B2159,DADOS!$A$2:$H$252,4,0)*H2159,"")</f>
        <v>0</v>
      </c>
      <c r="J2159" s="80">
        <v>2.0</v>
      </c>
      <c r="K2159" s="25">
        <f>IFERROR(VLOOKUP(B2159,DADOS!$A$2:$H$252,4,0)*J2159,"")</f>
        <v>1.2245508</v>
      </c>
      <c r="L2159" s="26">
        <f t="shared" si="23"/>
        <v>0</v>
      </c>
      <c r="M2159" s="81" t="s">
        <v>39</v>
      </c>
      <c r="N2159" s="81" t="s">
        <v>120</v>
      </c>
      <c r="O2159" s="28"/>
      <c r="P2159" s="28"/>
      <c r="Q2159" s="28"/>
      <c r="R2159" s="28"/>
      <c r="S2159" s="28"/>
    </row>
    <row r="2160">
      <c r="A2160" s="17">
        <v>46072.0</v>
      </c>
      <c r="B2160" s="18" t="s">
        <v>196</v>
      </c>
      <c r="C2160" s="18" t="s">
        <v>165</v>
      </c>
      <c r="D2160" s="19">
        <v>0.3333333333333333</v>
      </c>
      <c r="E2160" s="19">
        <v>0.3541666666666667</v>
      </c>
      <c r="F2160" s="20">
        <f t="shared" si="24"/>
        <v>0.02083333333</v>
      </c>
      <c r="G2160" s="67">
        <f>IFERROR(VLOOKUP(B2160,DADOS!$A$2:$H$252,8,0),"")</f>
        <v>15</v>
      </c>
      <c r="H2160" s="22">
        <v>25.0</v>
      </c>
      <c r="I2160" s="23">
        <f>IFERROR(VLOOKUP(B2160,DADOS!$A$2:$H$252,4,0)*H2160,"")</f>
        <v>1.56006</v>
      </c>
      <c r="J2160" s="36"/>
      <c r="K2160" s="25">
        <f>IFERROR(VLOOKUP(B2160,DADOS!$A$2:$H$252,4,0)*J2160,"")</f>
        <v>0</v>
      </c>
      <c r="L2160" s="26">
        <f t="shared" si="23"/>
        <v>0</v>
      </c>
      <c r="M2160" s="27"/>
      <c r="N2160" s="30"/>
      <c r="O2160" s="28"/>
      <c r="P2160" s="28"/>
      <c r="Q2160" s="28"/>
      <c r="R2160" s="28"/>
      <c r="S2160" s="28"/>
    </row>
    <row r="2161">
      <c r="A2161" s="17">
        <v>46072.0</v>
      </c>
      <c r="B2161" s="18" t="s">
        <v>49</v>
      </c>
      <c r="C2161" s="18" t="s">
        <v>165</v>
      </c>
      <c r="D2161" s="19">
        <v>0.4166666666666667</v>
      </c>
      <c r="E2161" s="19">
        <v>0.71875</v>
      </c>
      <c r="F2161" s="20">
        <f t="shared" si="24"/>
        <v>0.3020833333</v>
      </c>
      <c r="G2161" s="67">
        <f>IFERROR(VLOOKUP(B2161,DADOS!$A$2:$H$252,8,0),"")</f>
        <v>42</v>
      </c>
      <c r="H2161" s="22">
        <v>86.0</v>
      </c>
      <c r="I2161" s="23">
        <f>IFERROR(VLOOKUP(B2161,DADOS!$A$2:$H$252,4,0)*H2161,"")</f>
        <v>5.8506316</v>
      </c>
      <c r="J2161" s="24">
        <v>5.0</v>
      </c>
      <c r="K2161" s="25">
        <f>IFERROR(VLOOKUP(B2161,DADOS!$A$2:$H$252,4,0)*J2161,"")</f>
        <v>0.340153</v>
      </c>
      <c r="L2161" s="26">
        <f t="shared" si="23"/>
        <v>0</v>
      </c>
      <c r="M2161" s="27"/>
      <c r="N2161" s="30"/>
      <c r="O2161" s="28"/>
      <c r="P2161" s="28"/>
      <c r="Q2161" s="28"/>
      <c r="R2161" s="28"/>
      <c r="S2161" s="28"/>
    </row>
    <row r="2162">
      <c r="A2162" s="17">
        <v>46073.0</v>
      </c>
      <c r="B2162" s="18" t="s">
        <v>26</v>
      </c>
      <c r="C2162" s="18" t="s">
        <v>19</v>
      </c>
      <c r="D2162" s="19"/>
      <c r="E2162" s="19"/>
      <c r="F2162" s="20">
        <f t="shared" si="24"/>
        <v>0</v>
      </c>
      <c r="G2162" s="67">
        <f>IFERROR(VLOOKUP(B2162,DADOS!$A$2:$H$252,8,0),"")</f>
        <v>50</v>
      </c>
      <c r="H2162" s="22">
        <v>44.0</v>
      </c>
      <c r="I2162" s="23">
        <f>IFERROR(VLOOKUP(B2162,DADOS!$A$2:$H$252,4,0)*H2162,"")</f>
        <v>5.0130784</v>
      </c>
      <c r="J2162" s="36"/>
      <c r="K2162" s="25">
        <f>IFERROR(VLOOKUP(B2162,DADOS!$A$2:$H$252,4,0)*J2162,"")</f>
        <v>0</v>
      </c>
      <c r="L2162" s="26">
        <f t="shared" si="23"/>
        <v>0</v>
      </c>
      <c r="M2162" s="27"/>
      <c r="N2162" s="30"/>
      <c r="O2162" s="28"/>
      <c r="P2162" s="28"/>
      <c r="Q2162" s="28"/>
      <c r="R2162" s="28"/>
      <c r="S2162" s="28"/>
    </row>
    <row r="2163">
      <c r="A2163" s="17">
        <v>46073.0</v>
      </c>
      <c r="B2163" s="18" t="s">
        <v>49</v>
      </c>
      <c r="C2163" s="18" t="s">
        <v>165</v>
      </c>
      <c r="D2163" s="19">
        <v>0.3159722222222222</v>
      </c>
      <c r="E2163" s="19">
        <v>0.4583333333333333</v>
      </c>
      <c r="F2163" s="20">
        <f t="shared" si="24"/>
        <v>0.1423611111</v>
      </c>
      <c r="G2163" s="67">
        <f>IFERROR(VLOOKUP(B2163,DADOS!$A$2:$H$252,8,0),"")</f>
        <v>42</v>
      </c>
      <c r="H2163" s="22">
        <v>64.0</v>
      </c>
      <c r="I2163" s="23">
        <f>IFERROR(VLOOKUP(B2163,DADOS!$A$2:$H$252,4,0)*H2163,"")</f>
        <v>4.3539584</v>
      </c>
      <c r="J2163" s="24">
        <v>2.0</v>
      </c>
      <c r="K2163" s="25">
        <f>IFERROR(VLOOKUP(B2163,DADOS!$A$2:$H$252,4,0)*J2163,"")</f>
        <v>0.1360612</v>
      </c>
      <c r="L2163" s="26">
        <f t="shared" si="23"/>
        <v>0</v>
      </c>
      <c r="M2163" s="27"/>
      <c r="N2163" s="30"/>
      <c r="O2163" s="28"/>
      <c r="P2163" s="28"/>
      <c r="Q2163" s="28"/>
      <c r="R2163" s="28"/>
      <c r="S2163" s="28"/>
    </row>
    <row r="2164">
      <c r="A2164" s="17">
        <v>46073.0</v>
      </c>
      <c r="B2164" s="18" t="s">
        <v>18</v>
      </c>
      <c r="C2164" s="18" t="s">
        <v>165</v>
      </c>
      <c r="D2164" s="19">
        <v>0.4722222222222222</v>
      </c>
      <c r="E2164" s="19">
        <v>0.6805555555555556</v>
      </c>
      <c r="F2164" s="20">
        <f t="shared" si="24"/>
        <v>0.2083333333</v>
      </c>
      <c r="G2164" s="67">
        <f>IFERROR(VLOOKUP(B2164,DADOS!$A$2:$H$252,8,0),"")</f>
        <v>21</v>
      </c>
      <c r="H2164" s="22">
        <v>36.0</v>
      </c>
      <c r="I2164" s="23">
        <f>IFERROR(VLOOKUP(B2164,DADOS!$A$2:$H$252,4,0)*H2164,"")</f>
        <v>10.546776</v>
      </c>
      <c r="J2164" s="36"/>
      <c r="K2164" s="25">
        <f>IFERROR(VLOOKUP(B2164,DADOS!$A$2:$H$252,4,0)*J2164,"")</f>
        <v>0</v>
      </c>
      <c r="L2164" s="26">
        <f t="shared" si="23"/>
        <v>0</v>
      </c>
      <c r="M2164" s="27"/>
      <c r="N2164" s="30"/>
      <c r="O2164" s="28"/>
      <c r="P2164" s="28"/>
      <c r="Q2164" s="28"/>
      <c r="R2164" s="28"/>
      <c r="S2164" s="28"/>
    </row>
    <row r="2165">
      <c r="A2165" s="17">
        <v>46076.0</v>
      </c>
      <c r="B2165" s="18" t="s">
        <v>190</v>
      </c>
      <c r="C2165" s="18" t="s">
        <v>166</v>
      </c>
      <c r="D2165" s="19">
        <v>0.3402777777777778</v>
      </c>
      <c r="E2165" s="19">
        <v>0.4722222222222222</v>
      </c>
      <c r="F2165" s="20">
        <f t="shared" si="24"/>
        <v>0.1319444444</v>
      </c>
      <c r="G2165" s="67">
        <f>IFERROR(VLOOKUP(B2165,DADOS!$A$2:$H$252,8,0),"")</f>
        <v>12</v>
      </c>
      <c r="H2165" s="22">
        <v>50.0</v>
      </c>
      <c r="I2165" s="23">
        <f>IFERROR(VLOOKUP(B2165,DADOS!$A$2:$H$252,4,0)*H2165,"")</f>
        <v>19.7843</v>
      </c>
      <c r="J2165" s="36"/>
      <c r="K2165" s="25">
        <f>IFERROR(VLOOKUP(B2165,DADOS!$A$2:$H$252,4,0)*J2165,"")</f>
        <v>0</v>
      </c>
      <c r="L2165" s="26">
        <f t="shared" si="23"/>
        <v>0</v>
      </c>
      <c r="M2165" s="27"/>
      <c r="N2165" s="30"/>
      <c r="O2165" s="28"/>
      <c r="P2165" s="28"/>
      <c r="Q2165" s="28"/>
      <c r="R2165" s="28"/>
      <c r="S2165" s="28"/>
    </row>
    <row r="2166">
      <c r="A2166" s="17">
        <v>46076.0</v>
      </c>
      <c r="B2166" s="18" t="s">
        <v>18</v>
      </c>
      <c r="C2166" s="18" t="s">
        <v>165</v>
      </c>
      <c r="D2166" s="19">
        <v>0.3159722222222222</v>
      </c>
      <c r="E2166" s="19">
        <v>0.59375</v>
      </c>
      <c r="F2166" s="20">
        <f t="shared" si="24"/>
        <v>0.2777777778</v>
      </c>
      <c r="G2166" s="67">
        <f>IFERROR(VLOOKUP(B2166,DADOS!$A$2:$H$252,8,0),"")</f>
        <v>21</v>
      </c>
      <c r="H2166" s="22">
        <v>67.0</v>
      </c>
      <c r="I2166" s="23">
        <f>IFERROR(VLOOKUP(B2166,DADOS!$A$2:$H$252,4,0)*H2166,"")</f>
        <v>19.628722</v>
      </c>
      <c r="J2166" s="36"/>
      <c r="K2166" s="25">
        <f>IFERROR(VLOOKUP(B2166,DADOS!$A$2:$H$252,4,0)*J2166,"")</f>
        <v>0</v>
      </c>
      <c r="L2166" s="26">
        <f t="shared" si="23"/>
        <v>0</v>
      </c>
      <c r="M2166" s="27"/>
      <c r="N2166" s="30"/>
      <c r="O2166" s="28"/>
      <c r="P2166" s="28"/>
      <c r="Q2166" s="28"/>
      <c r="R2166" s="28"/>
      <c r="S2166" s="28"/>
    </row>
    <row r="2167">
      <c r="A2167" s="17">
        <v>46076.0</v>
      </c>
      <c r="B2167" s="18" t="s">
        <v>195</v>
      </c>
      <c r="C2167" s="18" t="s">
        <v>165</v>
      </c>
      <c r="D2167" s="19">
        <v>0.6381944444444444</v>
      </c>
      <c r="E2167" s="19">
        <v>0.7083333333333334</v>
      </c>
      <c r="F2167" s="20">
        <f t="shared" si="24"/>
        <v>0.07013888889</v>
      </c>
      <c r="G2167" s="67">
        <f>IFERROR(VLOOKUP(B2167,DADOS!$A$2:$H$252,8,0),"")</f>
        <v>43</v>
      </c>
      <c r="H2167" s="22">
        <v>23.0</v>
      </c>
      <c r="I2167" s="23">
        <f>IFERROR(VLOOKUP(B2167,DADOS!$A$2:$H$252,4,0)*H2167,"")</f>
        <v>4.87278</v>
      </c>
      <c r="J2167" s="36"/>
      <c r="K2167" s="25">
        <f>IFERROR(VLOOKUP(B2167,DADOS!$A$2:$H$252,4,0)*J2167,"")</f>
        <v>0</v>
      </c>
      <c r="L2167" s="26">
        <f t="shared" si="23"/>
        <v>0</v>
      </c>
      <c r="M2167" s="27"/>
      <c r="N2167" s="30"/>
      <c r="O2167" s="28"/>
      <c r="P2167" s="28"/>
      <c r="Q2167" s="28"/>
      <c r="R2167" s="28"/>
      <c r="S2167" s="28"/>
    </row>
    <row r="2168">
      <c r="A2168" s="17">
        <v>46077.0</v>
      </c>
      <c r="B2168" s="18" t="s">
        <v>22</v>
      </c>
      <c r="C2168" s="18" t="s">
        <v>166</v>
      </c>
      <c r="D2168" s="19"/>
      <c r="E2168" s="19"/>
      <c r="F2168" s="20">
        <f t="shared" si="24"/>
        <v>0</v>
      </c>
      <c r="G2168" s="67">
        <f>IFERROR(VLOOKUP(B2168,DADOS!$A$2:$H$252,8,0),"")</f>
        <v>15</v>
      </c>
      <c r="H2168" s="22">
        <v>1.0</v>
      </c>
      <c r="I2168" s="23">
        <f>IFERROR(VLOOKUP(B2168,DADOS!$A$2:$H$252,4,0)*H2168,"")</f>
        <v>0.6122754</v>
      </c>
      <c r="J2168" s="36"/>
      <c r="K2168" s="25">
        <f>IFERROR(VLOOKUP(B2168,DADOS!$A$2:$H$252,4,0)*J2168,"")</f>
        <v>0</v>
      </c>
      <c r="L2168" s="26">
        <f t="shared" si="23"/>
        <v>0</v>
      </c>
      <c r="M2168" s="27"/>
      <c r="N2168" s="30"/>
      <c r="O2168" s="28"/>
      <c r="P2168" s="28"/>
      <c r="Q2168" s="28"/>
      <c r="R2168" s="28"/>
      <c r="S2168" s="28"/>
    </row>
    <row r="2169">
      <c r="A2169" s="17">
        <v>46077.0</v>
      </c>
      <c r="B2169" s="18" t="s">
        <v>32</v>
      </c>
      <c r="C2169" s="18" t="s">
        <v>166</v>
      </c>
      <c r="D2169" s="19"/>
      <c r="E2169" s="19"/>
      <c r="F2169" s="20">
        <f t="shared" si="24"/>
        <v>0</v>
      </c>
      <c r="G2169" s="67">
        <f>IFERROR(VLOOKUP(B2169,DADOS!$A$2:$H$252,8,0),"")</f>
        <v>10</v>
      </c>
      <c r="H2169" s="22">
        <v>32.0</v>
      </c>
      <c r="I2169" s="23">
        <f>IFERROR(VLOOKUP(B2169,DADOS!$A$2:$H$252,4,0)*H2169,"")</f>
        <v>19.5928128</v>
      </c>
      <c r="J2169" s="36"/>
      <c r="K2169" s="25">
        <f>IFERROR(VLOOKUP(B2169,DADOS!$A$2:$H$252,4,0)*J2169,"")</f>
        <v>0</v>
      </c>
      <c r="L2169" s="26">
        <f t="shared" si="23"/>
        <v>0</v>
      </c>
      <c r="M2169" s="27"/>
      <c r="N2169" s="30"/>
      <c r="O2169" s="28"/>
      <c r="P2169" s="28"/>
      <c r="Q2169" s="28"/>
      <c r="R2169" s="28"/>
      <c r="S2169" s="28"/>
    </row>
    <row r="2170">
      <c r="A2170" s="17">
        <v>46077.0</v>
      </c>
      <c r="B2170" s="18" t="s">
        <v>195</v>
      </c>
      <c r="C2170" s="18" t="s">
        <v>165</v>
      </c>
      <c r="D2170" s="19">
        <v>0.3333333333333333</v>
      </c>
      <c r="E2170" s="19">
        <v>0.6180555555555556</v>
      </c>
      <c r="F2170" s="20">
        <f t="shared" si="24"/>
        <v>0.2847222222</v>
      </c>
      <c r="G2170" s="67">
        <f>IFERROR(VLOOKUP(B2170,DADOS!$A$2:$H$252,8,0),"")</f>
        <v>43</v>
      </c>
      <c r="H2170" s="22">
        <v>66.0</v>
      </c>
      <c r="I2170" s="23">
        <f>IFERROR(VLOOKUP(B2170,DADOS!$A$2:$H$252,4,0)*H2170,"")</f>
        <v>13.98276</v>
      </c>
      <c r="J2170" s="36"/>
      <c r="K2170" s="25">
        <f>IFERROR(VLOOKUP(B2170,DADOS!$A$2:$H$252,4,0)*J2170,"")</f>
        <v>0</v>
      </c>
      <c r="L2170" s="26">
        <f t="shared" si="23"/>
        <v>0</v>
      </c>
      <c r="M2170" s="27"/>
      <c r="N2170" s="30"/>
      <c r="O2170" s="28"/>
      <c r="P2170" s="28"/>
      <c r="Q2170" s="28"/>
      <c r="R2170" s="28"/>
      <c r="S2170" s="28"/>
    </row>
    <row r="2171">
      <c r="A2171" s="17">
        <v>46077.0</v>
      </c>
      <c r="B2171" s="18" t="s">
        <v>18</v>
      </c>
      <c r="C2171" s="18" t="s">
        <v>165</v>
      </c>
      <c r="D2171" s="29">
        <v>0.6458333333333334</v>
      </c>
      <c r="E2171" s="19">
        <v>0.7118055555555556</v>
      </c>
      <c r="F2171" s="20">
        <f t="shared" si="24"/>
        <v>0.06597222222</v>
      </c>
      <c r="G2171" s="67">
        <f>IFERROR(VLOOKUP(B2171,DADOS!$A$2:$H$252,8,0),"")</f>
        <v>21</v>
      </c>
      <c r="H2171" s="22">
        <v>20.0</v>
      </c>
      <c r="I2171" s="23">
        <f>IFERROR(VLOOKUP(B2171,DADOS!$A$2:$H$252,4,0)*H2171,"")</f>
        <v>5.85932</v>
      </c>
      <c r="J2171" s="36"/>
      <c r="K2171" s="25">
        <f>IFERROR(VLOOKUP(B2171,DADOS!$A$2:$H$252,4,0)*J2171,"")</f>
        <v>0</v>
      </c>
      <c r="L2171" s="26">
        <f t="shared" si="23"/>
        <v>0</v>
      </c>
      <c r="M2171" s="27"/>
      <c r="N2171" s="30"/>
      <c r="O2171" s="28"/>
      <c r="P2171" s="28"/>
      <c r="Q2171" s="28"/>
      <c r="R2171" s="28"/>
      <c r="S2171" s="28"/>
    </row>
    <row r="2172">
      <c r="A2172" s="17">
        <v>46078.0</v>
      </c>
      <c r="B2172" s="18" t="s">
        <v>22</v>
      </c>
      <c r="C2172" s="18" t="s">
        <v>166</v>
      </c>
      <c r="D2172" s="19">
        <v>0.3333333333333333</v>
      </c>
      <c r="E2172" s="19"/>
      <c r="F2172" s="20">
        <f t="shared" si="24"/>
        <v>-0.3333333333</v>
      </c>
      <c r="G2172" s="67">
        <f>IFERROR(VLOOKUP(B2172,DADOS!$A$2:$H$252,8,0),"")</f>
        <v>15</v>
      </c>
      <c r="H2172" s="22">
        <v>30.0</v>
      </c>
      <c r="I2172" s="23">
        <f>IFERROR(VLOOKUP(B2172,DADOS!$A$2:$H$252,4,0)*H2172,"")</f>
        <v>18.368262</v>
      </c>
      <c r="J2172" s="36"/>
      <c r="K2172" s="25">
        <f>IFERROR(VLOOKUP(B2172,DADOS!$A$2:$H$252,4,0)*J2172,"")</f>
        <v>0</v>
      </c>
      <c r="L2172" s="26">
        <f t="shared" si="23"/>
        <v>0</v>
      </c>
      <c r="M2172" s="27"/>
      <c r="N2172" s="30"/>
      <c r="O2172" s="28"/>
      <c r="P2172" s="28"/>
      <c r="Q2172" s="28"/>
      <c r="R2172" s="28"/>
      <c r="S2172" s="28"/>
    </row>
    <row r="2173">
      <c r="A2173" s="17">
        <v>46078.0</v>
      </c>
      <c r="B2173" s="18" t="s">
        <v>217</v>
      </c>
      <c r="C2173" s="18" t="s">
        <v>166</v>
      </c>
      <c r="D2173" s="19"/>
      <c r="E2173" s="19">
        <v>0.4722222222222222</v>
      </c>
      <c r="F2173" s="20">
        <f t="shared" si="24"/>
        <v>0.4722222222</v>
      </c>
      <c r="G2173" s="67">
        <f>IFERROR(VLOOKUP(B2173,DADOS!$A$2:$H$252,8,0),"")</f>
        <v>12</v>
      </c>
      <c r="H2173" s="22">
        <v>20.0</v>
      </c>
      <c r="I2173" s="23">
        <f>IFERROR(VLOOKUP(B2173,DADOS!$A$2:$H$252,4,0)*H2173,"")</f>
        <v>7.91372</v>
      </c>
      <c r="J2173" s="36"/>
      <c r="K2173" s="25">
        <f>IFERROR(VLOOKUP(B2173,DADOS!$A$2:$H$252,4,0)*J2173,"")</f>
        <v>0</v>
      </c>
      <c r="L2173" s="26">
        <f t="shared" si="23"/>
        <v>0</v>
      </c>
      <c r="M2173" s="27"/>
      <c r="N2173" s="30"/>
      <c r="O2173" s="28"/>
      <c r="P2173" s="28"/>
      <c r="Q2173" s="28"/>
      <c r="R2173" s="28"/>
      <c r="S2173" s="28"/>
    </row>
    <row r="2174">
      <c r="A2174" s="17">
        <v>46078.0</v>
      </c>
      <c r="B2174" s="18" t="s">
        <v>199</v>
      </c>
      <c r="C2174" s="18" t="s">
        <v>165</v>
      </c>
      <c r="D2174" s="19">
        <v>0.3194444444444444</v>
      </c>
      <c r="E2174" s="19">
        <v>0.3541666666666667</v>
      </c>
      <c r="F2174" s="20">
        <f t="shared" si="24"/>
        <v>0.03472222222</v>
      </c>
      <c r="G2174" s="67">
        <f>IFERROR(VLOOKUP(B2174,DADOS!$A$2:$H$252,8,0),"")</f>
        <v>15</v>
      </c>
      <c r="H2174" s="22">
        <v>17.0</v>
      </c>
      <c r="I2174" s="23">
        <f>IFERROR(VLOOKUP(B2174,DADOS!$A$2:$H$252,4,0)*H2174,"")</f>
        <v>5.253272</v>
      </c>
      <c r="J2174" s="24">
        <v>1.0</v>
      </c>
      <c r="K2174" s="25">
        <f>IFERROR(VLOOKUP(B2174,DADOS!$A$2:$H$252,4,0)*J2174,"")</f>
        <v>0.309016</v>
      </c>
      <c r="L2174" s="26">
        <f t="shared" si="23"/>
        <v>0</v>
      </c>
      <c r="M2174" s="27"/>
      <c r="N2174" s="30"/>
      <c r="O2174" s="28"/>
      <c r="P2174" s="28"/>
      <c r="Q2174" s="28"/>
      <c r="R2174" s="28"/>
      <c r="S2174" s="28"/>
    </row>
    <row r="2175">
      <c r="A2175" s="17">
        <v>46078.0</v>
      </c>
      <c r="B2175" s="18" t="s">
        <v>179</v>
      </c>
      <c r="C2175" s="18" t="s">
        <v>165</v>
      </c>
      <c r="D2175" s="19">
        <v>0.5416666666666666</v>
      </c>
      <c r="E2175" s="19">
        <v>0.6041666666666666</v>
      </c>
      <c r="F2175" s="20">
        <f t="shared" si="24"/>
        <v>0.0625</v>
      </c>
      <c r="G2175" s="67">
        <f>IFERROR(VLOOKUP(B2175,DADOS!$A$2:$H$252,8,0),"")</f>
        <v>15</v>
      </c>
      <c r="H2175" s="22">
        <v>70.0</v>
      </c>
      <c r="I2175" s="23">
        <f>IFERROR(VLOOKUP(B2175,DADOS!$A$2:$H$252,4,0)*H2175,"")</f>
        <v>11.74432</v>
      </c>
      <c r="J2175" s="36"/>
      <c r="K2175" s="25">
        <f>IFERROR(VLOOKUP(B2175,DADOS!$A$2:$H$252,4,0)*J2175,"")</f>
        <v>0</v>
      </c>
      <c r="L2175" s="26">
        <f t="shared" si="23"/>
        <v>0</v>
      </c>
      <c r="M2175" s="27"/>
      <c r="N2175" s="30"/>
      <c r="O2175" s="28"/>
      <c r="P2175" s="28"/>
      <c r="Q2175" s="28"/>
      <c r="R2175" s="28"/>
      <c r="S2175" s="28"/>
    </row>
    <row r="2176">
      <c r="A2176" s="17">
        <v>46078.0</v>
      </c>
      <c r="B2176" s="18" t="s">
        <v>18</v>
      </c>
      <c r="C2176" s="18" t="s">
        <v>165</v>
      </c>
      <c r="D2176" s="19">
        <v>0.3541666666666667</v>
      </c>
      <c r="E2176" s="19">
        <v>0.4895833333333333</v>
      </c>
      <c r="F2176" s="20">
        <f t="shared" si="24"/>
        <v>0.1354166667</v>
      </c>
      <c r="G2176" s="67">
        <f>IFERROR(VLOOKUP(B2176,DADOS!$A$2:$H$252,8,0),"")</f>
        <v>21</v>
      </c>
      <c r="H2176" s="22">
        <v>41.0</v>
      </c>
      <c r="I2176" s="23">
        <f>IFERROR(VLOOKUP(B2176,DADOS!$A$2:$H$252,4,0)*H2176,"")</f>
        <v>12.011606</v>
      </c>
      <c r="J2176" s="36"/>
      <c r="K2176" s="25">
        <f>IFERROR(VLOOKUP(B2176,DADOS!$A$2:$H$252,4,0)*J2176,"")</f>
        <v>0</v>
      </c>
      <c r="L2176" s="26">
        <f t="shared" si="23"/>
        <v>0</v>
      </c>
      <c r="M2176" s="27"/>
      <c r="N2176" s="30"/>
      <c r="O2176" s="28"/>
      <c r="P2176" s="28"/>
      <c r="Q2176" s="28"/>
      <c r="R2176" s="28"/>
      <c r="S2176" s="28"/>
    </row>
    <row r="2177">
      <c r="A2177" s="17">
        <v>46078.0</v>
      </c>
      <c r="B2177" s="18" t="s">
        <v>99</v>
      </c>
      <c r="C2177" s="18" t="s">
        <v>165</v>
      </c>
      <c r="D2177" s="19">
        <v>0.6458333333333334</v>
      </c>
      <c r="E2177" s="19">
        <v>0.7083333333333334</v>
      </c>
      <c r="F2177" s="20">
        <f t="shared" si="24"/>
        <v>0.0625</v>
      </c>
      <c r="G2177" s="67">
        <f>IFERROR(VLOOKUP(B2177,DADOS!$A$2:$H$252,8,0),"")</f>
        <v>26</v>
      </c>
      <c r="H2177" s="22">
        <v>34.0</v>
      </c>
      <c r="I2177" s="23">
        <f>IFERROR(VLOOKUP(B2177,DADOS!$A$2:$H$252,4,0)*H2177,"")</f>
        <v>3.20144</v>
      </c>
      <c r="J2177" s="24">
        <v>3.0</v>
      </c>
      <c r="K2177" s="25">
        <f>IFERROR(VLOOKUP(B2177,DADOS!$A$2:$H$252,4,0)*J2177,"")</f>
        <v>0.28248</v>
      </c>
      <c r="L2177" s="26">
        <f t="shared" si="23"/>
        <v>0</v>
      </c>
      <c r="M2177" s="27"/>
      <c r="N2177" s="30"/>
      <c r="O2177" s="28"/>
      <c r="P2177" s="28"/>
      <c r="Q2177" s="28"/>
      <c r="R2177" s="28"/>
      <c r="S2177" s="28"/>
    </row>
    <row r="2178">
      <c r="A2178" s="17">
        <v>46079.0</v>
      </c>
      <c r="B2178" s="18" t="s">
        <v>44</v>
      </c>
      <c r="C2178" s="18" t="s">
        <v>166</v>
      </c>
      <c r="D2178" s="19">
        <v>0.3402777777777778</v>
      </c>
      <c r="E2178" s="19">
        <v>0.4930555555555556</v>
      </c>
      <c r="F2178" s="20">
        <f t="shared" si="24"/>
        <v>0.1527777778</v>
      </c>
      <c r="G2178" s="67">
        <f>IFERROR(VLOOKUP(B2178,DADOS!$A$2:$H$252,8,0),"")</f>
        <v>15</v>
      </c>
      <c r="H2178" s="22">
        <v>50.0</v>
      </c>
      <c r="I2178" s="23">
        <f>IFERROR(VLOOKUP(B2178,DADOS!$A$2:$H$252,4,0)*H2178,"")</f>
        <v>9.22768</v>
      </c>
      <c r="J2178" s="36"/>
      <c r="K2178" s="25">
        <f>IFERROR(VLOOKUP(B2178,DADOS!$A$2:$H$252,4,0)*J2178,"")</f>
        <v>0</v>
      </c>
      <c r="L2178" s="26">
        <f t="shared" si="23"/>
        <v>0</v>
      </c>
      <c r="M2178" s="27"/>
      <c r="N2178" s="30"/>
      <c r="O2178" s="28"/>
      <c r="P2178" s="28"/>
      <c r="Q2178" s="28"/>
      <c r="R2178" s="28"/>
      <c r="S2178" s="28"/>
    </row>
    <row r="2179">
      <c r="A2179" s="17">
        <v>46079.0</v>
      </c>
      <c r="B2179" s="18" t="s">
        <v>96</v>
      </c>
      <c r="C2179" s="18" t="s">
        <v>165</v>
      </c>
      <c r="D2179" s="19">
        <v>0.3402777777777778</v>
      </c>
      <c r="E2179" s="19"/>
      <c r="F2179" s="20">
        <f t="shared" si="24"/>
        <v>-0.3402777778</v>
      </c>
      <c r="G2179" s="67">
        <f>IFERROR(VLOOKUP(B2179,DADOS!$A$2:$H$252,8,0),"")</f>
        <v>27</v>
      </c>
      <c r="H2179" s="22">
        <v>62.0</v>
      </c>
      <c r="I2179" s="23">
        <f>IFERROR(VLOOKUP(B2179,DADOS!$A$2:$H$252,4,0)*H2179,"")</f>
        <v>5.83792</v>
      </c>
      <c r="J2179" s="36"/>
      <c r="K2179" s="25">
        <f>IFERROR(VLOOKUP(B2179,DADOS!$A$2:$H$252,4,0)*J2179,"")</f>
        <v>0</v>
      </c>
      <c r="L2179" s="26">
        <f t="shared" si="23"/>
        <v>0</v>
      </c>
      <c r="M2179" s="27"/>
      <c r="N2179" s="30"/>
      <c r="O2179" s="28"/>
      <c r="P2179" s="28"/>
      <c r="Q2179" s="28"/>
      <c r="R2179" s="28"/>
      <c r="S2179" s="28"/>
    </row>
    <row r="2180">
      <c r="A2180" s="17">
        <v>46079.0</v>
      </c>
      <c r="B2180" s="18" t="s">
        <v>99</v>
      </c>
      <c r="C2180" s="18" t="s">
        <v>165</v>
      </c>
      <c r="D2180" s="19"/>
      <c r="E2180" s="19">
        <v>0.7083333333333334</v>
      </c>
      <c r="F2180" s="20">
        <f t="shared" si="24"/>
        <v>0.7083333333</v>
      </c>
      <c r="G2180" s="67">
        <f>IFERROR(VLOOKUP(B2180,DADOS!$A$2:$H$252,8,0),"")</f>
        <v>26</v>
      </c>
      <c r="H2180" s="22">
        <v>111.0</v>
      </c>
      <c r="I2180" s="23">
        <f>IFERROR(VLOOKUP(B2180,DADOS!$A$2:$H$252,4,0)*H2180,"")</f>
        <v>10.45176</v>
      </c>
      <c r="J2180" s="24">
        <v>6.0</v>
      </c>
      <c r="K2180" s="25">
        <f>IFERROR(VLOOKUP(B2180,DADOS!$A$2:$H$252,4,0)*J2180,"")</f>
        <v>0.56496</v>
      </c>
      <c r="L2180" s="26">
        <f t="shared" si="23"/>
        <v>0</v>
      </c>
      <c r="M2180" s="27"/>
      <c r="N2180" s="30"/>
      <c r="O2180" s="28"/>
      <c r="P2180" s="28"/>
      <c r="Q2180" s="28"/>
      <c r="R2180" s="28"/>
      <c r="S2180" s="28"/>
    </row>
    <row r="2181">
      <c r="A2181" s="17">
        <v>46080.0</v>
      </c>
      <c r="B2181" s="18" t="s">
        <v>31</v>
      </c>
      <c r="C2181" s="18" t="s">
        <v>166</v>
      </c>
      <c r="D2181" s="19">
        <v>0.3333333333333333</v>
      </c>
      <c r="E2181" s="19">
        <v>0.4722222222222222</v>
      </c>
      <c r="F2181" s="20">
        <f t="shared" si="24"/>
        <v>0.1388888889</v>
      </c>
      <c r="G2181" s="67">
        <f>IFERROR(VLOOKUP(B2181,DADOS!$A$2:$H$252,8,0),"")</f>
        <v>10</v>
      </c>
      <c r="H2181" s="22">
        <v>29.0</v>
      </c>
      <c r="I2181" s="23">
        <f>IFERROR(VLOOKUP(B2181,DADOS!$A$2:$H$252,4,0)*H2181,"")</f>
        <v>3.9321216</v>
      </c>
      <c r="J2181" s="24">
        <v>1.0</v>
      </c>
      <c r="K2181" s="25">
        <f>IFERROR(VLOOKUP(B2181,DADOS!$A$2:$H$252,4,0)*J2181,"")</f>
        <v>0.1355904</v>
      </c>
      <c r="L2181" s="26">
        <f t="shared" si="23"/>
        <v>0</v>
      </c>
      <c r="M2181" s="27"/>
      <c r="N2181" s="30"/>
      <c r="O2181" s="28"/>
      <c r="P2181" s="28"/>
      <c r="Q2181" s="28"/>
      <c r="R2181" s="28"/>
      <c r="S2181" s="28"/>
    </row>
    <row r="2182">
      <c r="A2182" s="17">
        <v>46080.0</v>
      </c>
      <c r="B2182" s="18" t="s">
        <v>126</v>
      </c>
      <c r="C2182" s="18" t="s">
        <v>19</v>
      </c>
      <c r="D2182" s="19"/>
      <c r="E2182" s="19"/>
      <c r="F2182" s="20">
        <f t="shared" si="24"/>
        <v>0</v>
      </c>
      <c r="G2182" s="67">
        <f>IFERROR(VLOOKUP(B2182,DADOS!$A$2:$H$252,8,0),"")</f>
        <v>100</v>
      </c>
      <c r="H2182" s="22">
        <v>100.0</v>
      </c>
      <c r="I2182" s="23">
        <f>IFERROR(VLOOKUP(B2182,DADOS!$A$2:$H$252,4,0)*H2182,"")</f>
        <v>5.2965</v>
      </c>
      <c r="J2182" s="24">
        <v>1.0</v>
      </c>
      <c r="K2182" s="25">
        <f>IFERROR(VLOOKUP(B2182,DADOS!$A$2:$H$252,4,0)*J2182,"")</f>
        <v>0.052965</v>
      </c>
      <c r="L2182" s="26">
        <f t="shared" si="23"/>
        <v>0</v>
      </c>
      <c r="M2182" s="27"/>
      <c r="N2182" s="30"/>
      <c r="O2182" s="28"/>
      <c r="P2182" s="28"/>
      <c r="Q2182" s="28"/>
      <c r="R2182" s="28"/>
      <c r="S2182" s="28"/>
    </row>
    <row r="2183">
      <c r="A2183" s="17">
        <v>46080.0</v>
      </c>
      <c r="B2183" s="18" t="s">
        <v>56</v>
      </c>
      <c r="C2183" s="18" t="s">
        <v>19</v>
      </c>
      <c r="D2183" s="19"/>
      <c r="E2183" s="19"/>
      <c r="F2183" s="20">
        <f t="shared" si="24"/>
        <v>0</v>
      </c>
      <c r="G2183" s="67">
        <f>IFERROR(VLOOKUP(B2183,DADOS!$A$2:$H$252,8,0),"")</f>
        <v>162</v>
      </c>
      <c r="H2183" s="22">
        <v>18.0</v>
      </c>
      <c r="I2183" s="23">
        <f>IFERROR(VLOOKUP(B2183,DADOS!$A$2:$H$252,4,0)*H2183,"")</f>
        <v>0.17334</v>
      </c>
      <c r="J2183" s="24">
        <v>1.0</v>
      </c>
      <c r="K2183" s="25">
        <f>IFERROR(VLOOKUP(B2183,DADOS!$A$2:$H$252,4,0)*J2183,"")</f>
        <v>0.00963</v>
      </c>
      <c r="L2183" s="26">
        <f t="shared" si="23"/>
        <v>0</v>
      </c>
      <c r="M2183" s="27"/>
      <c r="N2183" s="30"/>
      <c r="O2183" s="28"/>
      <c r="P2183" s="28"/>
      <c r="Q2183" s="28"/>
      <c r="R2183" s="28"/>
      <c r="S2183" s="28"/>
    </row>
    <row r="2184">
      <c r="A2184" s="17">
        <v>46080.0</v>
      </c>
      <c r="B2184" s="18" t="s">
        <v>96</v>
      </c>
      <c r="C2184" s="18" t="s">
        <v>165</v>
      </c>
      <c r="D2184" s="19">
        <v>0.3194444444444444</v>
      </c>
      <c r="E2184" s="19">
        <v>0.3715277777777778</v>
      </c>
      <c r="F2184" s="20">
        <f t="shared" si="24"/>
        <v>0.05208333333</v>
      </c>
      <c r="G2184" s="67">
        <f>IFERROR(VLOOKUP(B2184,DADOS!$A$2:$H$252,8,0),"")</f>
        <v>27</v>
      </c>
      <c r="H2184" s="22">
        <v>30.0</v>
      </c>
      <c r="I2184" s="23">
        <f>IFERROR(VLOOKUP(B2184,DADOS!$A$2:$H$252,4,0)*H2184,"")</f>
        <v>2.8248</v>
      </c>
      <c r="J2184" s="36"/>
      <c r="K2184" s="25">
        <f>IFERROR(VLOOKUP(B2184,DADOS!$A$2:$H$252,4,0)*J2184,"")</f>
        <v>0</v>
      </c>
      <c r="L2184" s="26">
        <f t="shared" si="23"/>
        <v>0</v>
      </c>
      <c r="M2184" s="27"/>
      <c r="N2184" s="30"/>
      <c r="O2184" s="28"/>
      <c r="P2184" s="28"/>
      <c r="Q2184" s="28"/>
      <c r="R2184" s="28"/>
      <c r="S2184" s="28"/>
    </row>
    <row r="2185">
      <c r="A2185" s="17">
        <v>46080.0</v>
      </c>
      <c r="B2185" s="18" t="s">
        <v>66</v>
      </c>
      <c r="C2185" s="18" t="s">
        <v>165</v>
      </c>
      <c r="D2185" s="19">
        <v>0.4375</v>
      </c>
      <c r="E2185" s="19">
        <v>0.6666666666666666</v>
      </c>
      <c r="F2185" s="20">
        <f t="shared" si="24"/>
        <v>0.2291666667</v>
      </c>
      <c r="G2185" s="67" t="str">
        <f>IFERROR(VLOOKUP(B2185,DADOS!$A$2:$H$252,8,0),"")</f>
        <v/>
      </c>
      <c r="H2185" s="22">
        <v>39.0</v>
      </c>
      <c r="I2185" s="23">
        <f>IFERROR(VLOOKUP(B2185,DADOS!$A$2:$H$252,4,0)*H2185,"")</f>
        <v>5.21625</v>
      </c>
      <c r="J2185" s="24">
        <v>2.0</v>
      </c>
      <c r="K2185" s="25">
        <f>IFERROR(VLOOKUP(B2185,DADOS!$A$2:$H$252,4,0)*J2185,"")</f>
        <v>0.2675</v>
      </c>
      <c r="L2185" s="26">
        <f t="shared" si="23"/>
        <v>0</v>
      </c>
      <c r="M2185" s="27"/>
      <c r="N2185" s="30"/>
      <c r="O2185" s="28"/>
      <c r="P2185" s="28"/>
      <c r="Q2185" s="28"/>
      <c r="R2185" s="28"/>
      <c r="S2185" s="28"/>
    </row>
    <row r="2186">
      <c r="A2186" s="17">
        <v>46083.0</v>
      </c>
      <c r="B2186" s="18" t="s">
        <v>190</v>
      </c>
      <c r="C2186" s="18" t="s">
        <v>166</v>
      </c>
      <c r="D2186" s="19">
        <v>0.3333333333333333</v>
      </c>
      <c r="E2186" s="19"/>
      <c r="F2186" s="20">
        <f t="shared" si="24"/>
        <v>-0.3333333333</v>
      </c>
      <c r="G2186" s="67">
        <f>IFERROR(VLOOKUP(B2186,DADOS!$A$2:$H$252,8,0),"")</f>
        <v>12</v>
      </c>
      <c r="H2186" s="22">
        <v>42.0</v>
      </c>
      <c r="I2186" s="23">
        <f>IFERROR(VLOOKUP(B2186,DADOS!$A$2:$H$252,4,0)*H2186,"")</f>
        <v>16.618812</v>
      </c>
      <c r="J2186" s="36"/>
      <c r="K2186" s="25">
        <f>IFERROR(VLOOKUP(B2186,DADOS!$A$2:$H$252,4,0)*J2186,"")</f>
        <v>0</v>
      </c>
      <c r="L2186" s="26">
        <f t="shared" si="23"/>
        <v>0</v>
      </c>
      <c r="M2186" s="27"/>
      <c r="N2186" s="30"/>
      <c r="O2186" s="28"/>
      <c r="P2186" s="28"/>
      <c r="Q2186" s="28"/>
      <c r="R2186" s="28"/>
      <c r="S2186" s="28"/>
    </row>
    <row r="2187">
      <c r="A2187" s="17">
        <v>46083.0</v>
      </c>
      <c r="B2187" s="18" t="s">
        <v>187</v>
      </c>
      <c r="C2187" s="18" t="s">
        <v>166</v>
      </c>
      <c r="D2187" s="19"/>
      <c r="E2187" s="19">
        <v>0.5</v>
      </c>
      <c r="F2187" s="20">
        <f t="shared" si="24"/>
        <v>0.5</v>
      </c>
      <c r="G2187" s="67">
        <f>IFERROR(VLOOKUP(B2187,DADOS!$A$2:$H$252,8,0),"")</f>
        <v>40</v>
      </c>
      <c r="H2187" s="22">
        <v>50.0</v>
      </c>
      <c r="I2187" s="23">
        <f>IFERROR(VLOOKUP(B2187,DADOS!$A$2:$H$252,4,0)*H2187,"")</f>
        <v>13.8672</v>
      </c>
      <c r="J2187" s="36"/>
      <c r="K2187" s="25">
        <f>IFERROR(VLOOKUP(B2187,DADOS!$A$2:$H$252,4,0)*J2187,"")</f>
        <v>0</v>
      </c>
      <c r="L2187" s="26">
        <f t="shared" si="23"/>
        <v>0</v>
      </c>
      <c r="M2187" s="27"/>
      <c r="N2187" s="30"/>
      <c r="O2187" s="28"/>
      <c r="P2187" s="28"/>
      <c r="Q2187" s="28"/>
      <c r="R2187" s="28"/>
      <c r="S2187" s="28"/>
    </row>
    <row r="2188">
      <c r="A2188" s="17">
        <v>46083.0</v>
      </c>
      <c r="B2188" s="18" t="s">
        <v>66</v>
      </c>
      <c r="C2188" s="18" t="s">
        <v>165</v>
      </c>
      <c r="D2188" s="19">
        <v>0.3194444444444444</v>
      </c>
      <c r="E2188" s="19">
        <v>0.625</v>
      </c>
      <c r="F2188" s="20">
        <f t="shared" si="24"/>
        <v>0.3055555556</v>
      </c>
      <c r="G2188" s="67" t="str">
        <f>IFERROR(VLOOKUP(B2188,DADOS!$A$2:$H$252,8,0),"")</f>
        <v/>
      </c>
      <c r="H2188" s="22">
        <v>57.0</v>
      </c>
      <c r="I2188" s="23">
        <f>IFERROR(VLOOKUP(B2188,DADOS!$A$2:$H$252,4,0)*H2188,"")</f>
        <v>7.62375</v>
      </c>
      <c r="J2188" s="24">
        <v>2.0</v>
      </c>
      <c r="K2188" s="25">
        <f>IFERROR(VLOOKUP(B2188,DADOS!$A$2:$H$252,4,0)*J2188,"")</f>
        <v>0.2675</v>
      </c>
      <c r="L2188" s="26">
        <f t="shared" si="23"/>
        <v>0</v>
      </c>
      <c r="M2188" s="27"/>
      <c r="N2188" s="30"/>
      <c r="O2188" s="28"/>
      <c r="P2188" s="28"/>
      <c r="Q2188" s="28"/>
      <c r="R2188" s="28"/>
      <c r="S2188" s="28"/>
    </row>
    <row r="2189">
      <c r="A2189" s="17">
        <v>46084.0</v>
      </c>
      <c r="B2189" s="18" t="s">
        <v>56</v>
      </c>
      <c r="C2189" s="18" t="s">
        <v>165</v>
      </c>
      <c r="D2189" s="19"/>
      <c r="E2189" s="19"/>
      <c r="F2189" s="20">
        <f t="shared" si="24"/>
        <v>0</v>
      </c>
      <c r="G2189" s="67">
        <f>IFERROR(VLOOKUP(B2189,DADOS!$A$2:$H$252,8,0),"")</f>
        <v>162</v>
      </c>
      <c r="H2189" s="22">
        <v>227.0</v>
      </c>
      <c r="I2189" s="23">
        <f>IFERROR(VLOOKUP(B2189,DADOS!$A$2:$H$252,4,0)*H2189,"")</f>
        <v>2.18601</v>
      </c>
      <c r="J2189" s="24">
        <v>3.0</v>
      </c>
      <c r="K2189" s="25">
        <f>IFERROR(VLOOKUP(B2189,DADOS!$A$2:$H$252,4,0)*J2189,"")</f>
        <v>0.02889</v>
      </c>
      <c r="L2189" s="26">
        <f t="shared" si="23"/>
        <v>0</v>
      </c>
      <c r="M2189" s="27"/>
      <c r="N2189" s="30"/>
      <c r="O2189" s="28"/>
      <c r="P2189" s="28"/>
      <c r="Q2189" s="28"/>
      <c r="R2189" s="28"/>
      <c r="S2189" s="28"/>
    </row>
    <row r="2190">
      <c r="A2190" s="17">
        <v>46085.0</v>
      </c>
      <c r="B2190" s="18" t="s">
        <v>178</v>
      </c>
      <c r="C2190" s="18" t="s">
        <v>166</v>
      </c>
      <c r="D2190" s="19"/>
      <c r="E2190" s="19"/>
      <c r="F2190" s="20">
        <f t="shared" si="24"/>
        <v>0</v>
      </c>
      <c r="G2190" s="67">
        <f>IFERROR(VLOOKUP(B2190,DADOS!$A$2:$H$252,8,0),"")</f>
        <v>35</v>
      </c>
      <c r="H2190" s="22">
        <v>22.0</v>
      </c>
      <c r="I2190" s="23">
        <f>IFERROR(VLOOKUP(B2190,DADOS!$A$2:$H$252,4,0)*H2190,"")</f>
        <v>4.66092</v>
      </c>
      <c r="J2190" s="36"/>
      <c r="K2190" s="25">
        <f>IFERROR(VLOOKUP(B2190,DADOS!$A$2:$H$252,4,0)*J2190,"")</f>
        <v>0</v>
      </c>
      <c r="L2190" s="26">
        <f t="shared" si="23"/>
        <v>0</v>
      </c>
      <c r="M2190" s="27"/>
      <c r="N2190" s="30"/>
      <c r="O2190" s="28"/>
      <c r="P2190" s="28"/>
      <c r="Q2190" s="28"/>
      <c r="R2190" s="28"/>
      <c r="S2190" s="28"/>
    </row>
    <row r="2191">
      <c r="A2191" s="17">
        <v>46085.0</v>
      </c>
      <c r="B2191" s="18" t="s">
        <v>24</v>
      </c>
      <c r="C2191" s="18" t="s">
        <v>166</v>
      </c>
      <c r="D2191" s="19"/>
      <c r="E2191" s="19"/>
      <c r="F2191" s="20">
        <f t="shared" si="24"/>
        <v>0</v>
      </c>
      <c r="G2191" s="67">
        <f>IFERROR(VLOOKUP(B2191,DADOS!$A$2:$H$252,8,0),"")</f>
        <v>37</v>
      </c>
      <c r="H2191" s="22">
        <v>50.0</v>
      </c>
      <c r="I2191" s="23">
        <f>IFERROR(VLOOKUP(B2191,DADOS!$A$2:$H$252,4,0)*H2191,"")</f>
        <v>5.69668</v>
      </c>
      <c r="J2191" s="36"/>
      <c r="K2191" s="25">
        <f>IFERROR(VLOOKUP(B2191,DADOS!$A$2:$H$252,4,0)*J2191,"")</f>
        <v>0</v>
      </c>
      <c r="L2191" s="26">
        <f t="shared" si="23"/>
        <v>0</v>
      </c>
      <c r="M2191" s="27"/>
      <c r="N2191" s="30"/>
      <c r="O2191" s="28"/>
      <c r="P2191" s="28"/>
      <c r="Q2191" s="28"/>
      <c r="R2191" s="28"/>
      <c r="S2191" s="28"/>
    </row>
    <row r="2192">
      <c r="A2192" s="17">
        <v>46085.0</v>
      </c>
      <c r="B2192" s="18" t="s">
        <v>56</v>
      </c>
      <c r="C2192" s="18" t="s">
        <v>165</v>
      </c>
      <c r="D2192" s="19"/>
      <c r="E2192" s="19"/>
      <c r="F2192" s="20">
        <f t="shared" si="24"/>
        <v>0</v>
      </c>
      <c r="G2192" s="67">
        <f>IFERROR(VLOOKUP(B2192,DADOS!$A$2:$H$252,8,0),"")</f>
        <v>162</v>
      </c>
      <c r="H2192" s="22">
        <v>316.0</v>
      </c>
      <c r="I2192" s="23">
        <f>IFERROR(VLOOKUP(B2192,DADOS!$A$2:$H$252,4,0)*H2192,"")</f>
        <v>3.04308</v>
      </c>
      <c r="J2192" s="36"/>
      <c r="K2192" s="25">
        <f>IFERROR(VLOOKUP(B2192,DADOS!$A$2:$H$252,4,0)*J2192,"")</f>
        <v>0</v>
      </c>
      <c r="L2192" s="26">
        <f t="shared" si="23"/>
        <v>0</v>
      </c>
      <c r="M2192" s="27"/>
      <c r="N2192" s="30"/>
      <c r="O2192" s="28"/>
      <c r="P2192" s="28"/>
      <c r="Q2192" s="28"/>
      <c r="R2192" s="28"/>
      <c r="S2192" s="28"/>
    </row>
    <row r="2193">
      <c r="A2193" s="17">
        <v>46086.0</v>
      </c>
      <c r="B2193" s="18" t="s">
        <v>113</v>
      </c>
      <c r="C2193" s="18" t="s">
        <v>166</v>
      </c>
      <c r="D2193" s="19"/>
      <c r="E2193" s="19"/>
      <c r="F2193" s="20">
        <f t="shared" si="24"/>
        <v>0</v>
      </c>
      <c r="G2193" s="67">
        <f>IFERROR(VLOOKUP(B2193,DADOS!$A$2:$H$252,8,0),"")</f>
        <v>8</v>
      </c>
      <c r="H2193" s="22">
        <v>39.0</v>
      </c>
      <c r="I2193" s="23">
        <f>IFERROR(VLOOKUP(B2193,DADOS!$A$2:$H$252,4,0)*H2193,"")</f>
        <v>24.8243424</v>
      </c>
      <c r="J2193" s="36"/>
      <c r="K2193" s="25">
        <f>IFERROR(VLOOKUP(B2193,DADOS!$A$2:$H$252,4,0)*J2193,"")</f>
        <v>0</v>
      </c>
      <c r="L2193" s="26">
        <f t="shared" si="23"/>
        <v>0</v>
      </c>
      <c r="M2193" s="27"/>
      <c r="N2193" s="30"/>
      <c r="O2193" s="28"/>
      <c r="P2193" s="28"/>
      <c r="Q2193" s="28"/>
      <c r="R2193" s="28"/>
      <c r="S2193" s="28"/>
    </row>
    <row r="2194">
      <c r="A2194" s="17">
        <v>46086.0</v>
      </c>
      <c r="B2194" s="18" t="s">
        <v>56</v>
      </c>
      <c r="C2194" s="18" t="s">
        <v>165</v>
      </c>
      <c r="D2194" s="19"/>
      <c r="E2194" s="19"/>
      <c r="F2194" s="20">
        <f t="shared" si="24"/>
        <v>0</v>
      </c>
      <c r="G2194" s="67">
        <f>IFERROR(VLOOKUP(B2194,DADOS!$A$2:$H$252,8,0),"")</f>
        <v>162</v>
      </c>
      <c r="H2194" s="22">
        <v>211.0</v>
      </c>
      <c r="I2194" s="23">
        <f>IFERROR(VLOOKUP(B2194,DADOS!$A$2:$H$252,4,0)*H2194,"")</f>
        <v>2.03193</v>
      </c>
      <c r="J2194" s="36"/>
      <c r="K2194" s="25">
        <f>IFERROR(VLOOKUP(B2194,DADOS!$A$2:$H$252,4,0)*J2194,"")</f>
        <v>0</v>
      </c>
      <c r="L2194" s="26">
        <f t="shared" si="23"/>
        <v>0</v>
      </c>
      <c r="M2194" s="27"/>
      <c r="N2194" s="30"/>
      <c r="O2194" s="28"/>
      <c r="P2194" s="28"/>
      <c r="Q2194" s="28"/>
      <c r="R2194" s="28"/>
      <c r="S2194" s="28"/>
    </row>
    <row r="2195">
      <c r="A2195" s="17">
        <v>46086.0</v>
      </c>
      <c r="B2195" s="18" t="s">
        <v>37</v>
      </c>
      <c r="C2195" s="18" t="s">
        <v>165</v>
      </c>
      <c r="D2195" s="19"/>
      <c r="E2195" s="19"/>
      <c r="F2195" s="20">
        <f t="shared" si="24"/>
        <v>0</v>
      </c>
      <c r="G2195" s="67" t="str">
        <f>IFERROR(VLOOKUP(B2195,DADOS!$A$2:$H$252,8,0),"")</f>
        <v/>
      </c>
      <c r="H2195" s="22">
        <v>126.0</v>
      </c>
      <c r="I2195" s="23" t="str">
        <f>IFERROR(VLOOKUP(B2195,DADOS!$A$2:$H$252,4,0)*H2195,"")</f>
        <v/>
      </c>
      <c r="J2195" s="36"/>
      <c r="K2195" s="25" t="str">
        <f>IFERROR(VLOOKUP(B2195,DADOS!$A$2:$H$252,4,0)*J2195,"")</f>
        <v/>
      </c>
      <c r="L2195" s="26" t="str">
        <f t="shared" si="23"/>
        <v/>
      </c>
      <c r="M2195" s="27"/>
      <c r="N2195" s="30"/>
      <c r="O2195" s="28"/>
      <c r="P2195" s="28"/>
      <c r="Q2195" s="28"/>
      <c r="R2195" s="28"/>
      <c r="S2195" s="28"/>
    </row>
    <row r="2196">
      <c r="A2196" s="17">
        <v>46087.0</v>
      </c>
      <c r="B2196" s="18" t="s">
        <v>29</v>
      </c>
      <c r="C2196" s="18" t="s">
        <v>165</v>
      </c>
      <c r="D2196" s="19"/>
      <c r="E2196" s="19"/>
      <c r="F2196" s="20">
        <f t="shared" si="24"/>
        <v>0</v>
      </c>
      <c r="G2196" s="67">
        <f>IFERROR(VLOOKUP(B2196,DADOS!$A$2:$H$252,8,0),"")</f>
        <v>12</v>
      </c>
      <c r="H2196" s="22">
        <v>30.0</v>
      </c>
      <c r="I2196" s="23">
        <f>IFERROR(VLOOKUP(B2196,DADOS!$A$2:$H$252,4,0)*H2196,"")</f>
        <v>26.209008</v>
      </c>
      <c r="J2196" s="36"/>
      <c r="K2196" s="25">
        <f>IFERROR(VLOOKUP(B2196,DADOS!$A$2:$H$252,4,0)*J2196,"")</f>
        <v>0</v>
      </c>
      <c r="L2196" s="26">
        <f t="shared" si="23"/>
        <v>0</v>
      </c>
      <c r="M2196" s="27"/>
      <c r="N2196" s="30"/>
      <c r="O2196" s="28"/>
      <c r="P2196" s="28"/>
      <c r="Q2196" s="28"/>
      <c r="R2196" s="28"/>
      <c r="S2196" s="28"/>
    </row>
    <row r="2197">
      <c r="A2197" s="17">
        <v>46087.0</v>
      </c>
      <c r="B2197" s="18" t="s">
        <v>47</v>
      </c>
      <c r="C2197" s="18" t="s">
        <v>165</v>
      </c>
      <c r="D2197" s="19"/>
      <c r="E2197" s="19"/>
      <c r="F2197" s="20">
        <f t="shared" si="24"/>
        <v>0</v>
      </c>
      <c r="G2197" s="67">
        <f>IFERROR(VLOOKUP(B2197,DADOS!$A$2:$H$252,8,0),"")</f>
        <v>35</v>
      </c>
      <c r="H2197" s="22">
        <v>10.0</v>
      </c>
      <c r="I2197" s="23">
        <f>IFERROR(VLOOKUP(B2197,DADOS!$A$2:$H$252,4,0)*H2197,"")</f>
        <v>1.139336</v>
      </c>
      <c r="J2197" s="36"/>
      <c r="K2197" s="25">
        <f>IFERROR(VLOOKUP(B2197,DADOS!$A$2:$H$252,4,0)*J2197,"")</f>
        <v>0</v>
      </c>
      <c r="L2197" s="26">
        <f t="shared" si="23"/>
        <v>0</v>
      </c>
      <c r="M2197" s="27"/>
      <c r="N2197" s="30"/>
      <c r="O2197" s="28"/>
      <c r="P2197" s="28"/>
      <c r="Q2197" s="28"/>
      <c r="R2197" s="28"/>
      <c r="S2197" s="28"/>
    </row>
    <row r="2198">
      <c r="A2198" s="17">
        <v>46087.0</v>
      </c>
      <c r="B2198" s="18" t="s">
        <v>37</v>
      </c>
      <c r="C2198" s="18" t="s">
        <v>165</v>
      </c>
      <c r="D2198" s="19"/>
      <c r="E2198" s="19"/>
      <c r="F2198" s="20">
        <f t="shared" si="24"/>
        <v>0</v>
      </c>
      <c r="G2198" s="67" t="str">
        <f>IFERROR(VLOOKUP(B2198,DADOS!$A$2:$H$252,8,0),"")</f>
        <v/>
      </c>
      <c r="H2198" s="22">
        <v>235.0</v>
      </c>
      <c r="I2198" s="23" t="str">
        <f>IFERROR(VLOOKUP(B2198,DADOS!$A$2:$H$252,4,0)*H2198,"")</f>
        <v/>
      </c>
      <c r="J2198" s="36"/>
      <c r="K2198" s="25" t="str">
        <f>IFERROR(VLOOKUP(B2198,DADOS!$A$2:$H$252,4,0)*J2198,"")</f>
        <v/>
      </c>
      <c r="L2198" s="26" t="str">
        <f t="shared" si="23"/>
        <v/>
      </c>
      <c r="M2198" s="27"/>
      <c r="N2198" s="30"/>
      <c r="O2198" s="28"/>
      <c r="P2198" s="28"/>
      <c r="Q2198" s="28"/>
      <c r="R2198" s="28"/>
      <c r="S2198" s="28"/>
    </row>
    <row r="2199">
      <c r="A2199" s="17">
        <v>46088.0</v>
      </c>
      <c r="B2199" s="18" t="s">
        <v>71</v>
      </c>
      <c r="C2199" s="18" t="s">
        <v>193</v>
      </c>
      <c r="D2199" s="19"/>
      <c r="E2199" s="19"/>
      <c r="F2199" s="20">
        <f t="shared" si="24"/>
        <v>0</v>
      </c>
      <c r="G2199" s="67">
        <f>IFERROR(VLOOKUP(B2199,DADOS!$A$2:$H$252,8,0),"")</f>
        <v>7</v>
      </c>
      <c r="H2199" s="22">
        <v>60.0</v>
      </c>
      <c r="I2199" s="23">
        <f>IFERROR(VLOOKUP(B2199,DADOS!$A$2:$H$252,4,0)*H2199,"")</f>
        <v>84.144372</v>
      </c>
      <c r="J2199" s="36"/>
      <c r="K2199" s="25">
        <f>IFERROR(VLOOKUP(B2199,DADOS!$A$2:$H$252,4,0)*J2199,"")</f>
        <v>0</v>
      </c>
      <c r="L2199" s="26">
        <f t="shared" si="23"/>
        <v>0</v>
      </c>
      <c r="M2199" s="27"/>
      <c r="N2199" s="30"/>
      <c r="O2199" s="28"/>
      <c r="P2199" s="28"/>
      <c r="Q2199" s="28"/>
      <c r="R2199" s="28"/>
      <c r="S2199" s="28"/>
    </row>
    <row r="2200">
      <c r="A2200" s="17">
        <v>46090.0</v>
      </c>
      <c r="B2200" s="18" t="s">
        <v>37</v>
      </c>
      <c r="C2200" s="18" t="s">
        <v>165</v>
      </c>
      <c r="D2200" s="19"/>
      <c r="E2200" s="19"/>
      <c r="F2200" s="20">
        <f t="shared" si="24"/>
        <v>0</v>
      </c>
      <c r="G2200" s="67" t="str">
        <f>IFERROR(VLOOKUP(B2200,DADOS!$A$2:$H$252,8,0),"")</f>
        <v/>
      </c>
      <c r="H2200" s="22">
        <v>70.0</v>
      </c>
      <c r="I2200" s="23" t="str">
        <f>IFERROR(VLOOKUP(B2200,DADOS!$A$2:$H$252,4,0)*H2200,"")</f>
        <v/>
      </c>
      <c r="J2200" s="24">
        <v>3.0</v>
      </c>
      <c r="K2200" s="25" t="str">
        <f>IFERROR(VLOOKUP(B2200,DADOS!$A$2:$H$252,4,0)*J2200,"")</f>
        <v/>
      </c>
      <c r="L2200" s="26" t="str">
        <f t="shared" si="23"/>
        <v/>
      </c>
      <c r="M2200" s="27"/>
      <c r="N2200" s="30"/>
      <c r="O2200" s="28"/>
      <c r="P2200" s="28"/>
      <c r="Q2200" s="28"/>
      <c r="R2200" s="28"/>
      <c r="S2200" s="28"/>
    </row>
    <row r="2201">
      <c r="A2201" s="17">
        <v>46091.0</v>
      </c>
      <c r="B2201" s="18" t="s">
        <v>178</v>
      </c>
      <c r="C2201" s="18" t="s">
        <v>166</v>
      </c>
      <c r="D2201" s="19"/>
      <c r="E2201" s="19"/>
      <c r="F2201" s="20">
        <f t="shared" si="24"/>
        <v>0</v>
      </c>
      <c r="G2201" s="67">
        <f>IFERROR(VLOOKUP(B2201,DADOS!$A$2:$H$252,8,0),"")</f>
        <v>35</v>
      </c>
      <c r="H2201" s="22">
        <v>50.0</v>
      </c>
      <c r="I2201" s="23">
        <f>IFERROR(VLOOKUP(B2201,DADOS!$A$2:$H$252,4,0)*H2201,"")</f>
        <v>10.593</v>
      </c>
      <c r="J2201" s="36"/>
      <c r="K2201" s="25">
        <f>IFERROR(VLOOKUP(B2201,DADOS!$A$2:$H$252,4,0)*J2201,"")</f>
        <v>0</v>
      </c>
      <c r="L2201" s="26">
        <f t="shared" si="23"/>
        <v>0</v>
      </c>
      <c r="M2201" s="27"/>
      <c r="N2201" s="30"/>
      <c r="O2201" s="28"/>
      <c r="P2201" s="28"/>
      <c r="Q2201" s="28"/>
      <c r="R2201" s="28"/>
      <c r="S2201" s="28"/>
    </row>
    <row r="2202">
      <c r="A2202" s="17">
        <v>46091.0</v>
      </c>
      <c r="B2202" s="18" t="s">
        <v>185</v>
      </c>
      <c r="C2202" s="18" t="s">
        <v>166</v>
      </c>
      <c r="D2202" s="19"/>
      <c r="E2202" s="19"/>
      <c r="F2202" s="20">
        <f t="shared" si="24"/>
        <v>0</v>
      </c>
      <c r="G2202" s="67">
        <f>IFERROR(VLOOKUP(B2202,DADOS!$A$2:$H$252,8,0),"")</f>
        <v>35</v>
      </c>
      <c r="H2202" s="22">
        <v>40.0</v>
      </c>
      <c r="I2202" s="23">
        <f>IFERROR(VLOOKUP(B2202,DADOS!$A$2:$H$252,4,0)*H2202,"")</f>
        <v>8.4744</v>
      </c>
      <c r="J2202" s="36"/>
      <c r="K2202" s="25">
        <f>IFERROR(VLOOKUP(B2202,DADOS!$A$2:$H$252,4,0)*J2202,"")</f>
        <v>0</v>
      </c>
      <c r="L2202" s="26">
        <f t="shared" si="23"/>
        <v>0</v>
      </c>
      <c r="M2202" s="27"/>
      <c r="N2202" s="30"/>
      <c r="O2202" s="28"/>
      <c r="P2202" s="28"/>
      <c r="Q2202" s="28"/>
      <c r="R2202" s="28"/>
      <c r="S2202" s="28"/>
    </row>
    <row r="2203">
      <c r="A2203" s="17">
        <v>46091.0</v>
      </c>
      <c r="B2203" s="18" t="s">
        <v>218</v>
      </c>
      <c r="C2203" s="18" t="s">
        <v>19</v>
      </c>
      <c r="D2203" s="19"/>
      <c r="E2203" s="19"/>
      <c r="F2203" s="20">
        <f t="shared" si="24"/>
        <v>0</v>
      </c>
      <c r="G2203" s="67">
        <f>IFERROR(VLOOKUP(B2203,DADOS!$A$2:$H$252,8,0),"")</f>
        <v>14</v>
      </c>
      <c r="H2203" s="22">
        <v>49.0</v>
      </c>
      <c r="I2203" s="23">
        <f>IFERROR(VLOOKUP(B2203,DADOS!$A$2:$H$252,4,0)*H2203,"")</f>
        <v>0.8881642</v>
      </c>
      <c r="J2203" s="24">
        <v>1.0</v>
      </c>
      <c r="K2203" s="25">
        <f>IFERROR(VLOOKUP(B2203,DADOS!$A$2:$H$252,4,0)*J2203,"")</f>
        <v>0.0181258</v>
      </c>
      <c r="L2203" s="26">
        <f t="shared" si="23"/>
        <v>0</v>
      </c>
      <c r="M2203" s="27"/>
      <c r="N2203" s="30"/>
      <c r="O2203" s="28"/>
      <c r="P2203" s="28"/>
      <c r="Q2203" s="28"/>
      <c r="R2203" s="28"/>
      <c r="S2203" s="28"/>
    </row>
    <row r="2204">
      <c r="A2204" s="17">
        <v>46091.0</v>
      </c>
      <c r="B2204" s="18" t="s">
        <v>25</v>
      </c>
      <c r="C2204" s="18" t="s">
        <v>165</v>
      </c>
      <c r="D2204" s="19"/>
      <c r="E2204" s="19"/>
      <c r="F2204" s="20">
        <f t="shared" si="24"/>
        <v>0</v>
      </c>
      <c r="G2204" s="67">
        <f>IFERROR(VLOOKUP(B2204,DADOS!$A$2:$H$252,8,0),"")</f>
        <v>40</v>
      </c>
      <c r="H2204" s="22">
        <v>83.0</v>
      </c>
      <c r="I2204" s="23">
        <f>IFERROR(VLOOKUP(B2204,DADOS!$A$2:$H$252,4,0)*H2204,"")</f>
        <v>8.596808</v>
      </c>
      <c r="J2204" s="36"/>
      <c r="K2204" s="25">
        <f>IFERROR(VLOOKUP(B2204,DADOS!$A$2:$H$252,4,0)*J2204,"")</f>
        <v>0</v>
      </c>
      <c r="L2204" s="26">
        <f t="shared" si="23"/>
        <v>0</v>
      </c>
      <c r="M2204" s="27"/>
      <c r="N2204" s="30"/>
      <c r="O2204" s="28"/>
      <c r="P2204" s="28"/>
      <c r="Q2204" s="28"/>
      <c r="R2204" s="28"/>
      <c r="S2204" s="28"/>
    </row>
    <row r="2205">
      <c r="A2205" s="17">
        <v>46092.0</v>
      </c>
      <c r="B2205" s="18" t="s">
        <v>48</v>
      </c>
      <c r="C2205" s="18" t="s">
        <v>166</v>
      </c>
      <c r="D2205" s="19"/>
      <c r="E2205" s="19"/>
      <c r="F2205" s="20">
        <f t="shared" si="24"/>
        <v>0</v>
      </c>
      <c r="G2205" s="67">
        <f>IFERROR(VLOOKUP(B2205,DADOS!$A$2:$H$252,8,0),"")</f>
        <v>6</v>
      </c>
      <c r="H2205" s="22">
        <v>27.0</v>
      </c>
      <c r="I2205" s="23">
        <f>IFERROR(VLOOKUP(B2205,DADOS!$A$2:$H$252,4,0)*H2205,"")</f>
        <v>3.0762072</v>
      </c>
      <c r="J2205" s="36"/>
      <c r="K2205" s="25">
        <f>IFERROR(VLOOKUP(B2205,DADOS!$A$2:$H$252,4,0)*J2205,"")</f>
        <v>0</v>
      </c>
      <c r="L2205" s="26">
        <f t="shared" si="23"/>
        <v>0</v>
      </c>
      <c r="M2205" s="27"/>
      <c r="N2205" s="30"/>
      <c r="O2205" s="28"/>
      <c r="P2205" s="28"/>
      <c r="Q2205" s="28"/>
      <c r="R2205" s="28"/>
      <c r="S2205" s="28"/>
    </row>
    <row r="2206">
      <c r="A2206" s="17">
        <v>46092.0</v>
      </c>
      <c r="B2206" s="18" t="s">
        <v>135</v>
      </c>
      <c r="C2206" s="18" t="s">
        <v>165</v>
      </c>
      <c r="D2206" s="19"/>
      <c r="E2206" s="19"/>
      <c r="F2206" s="20">
        <f t="shared" si="24"/>
        <v>0</v>
      </c>
      <c r="G2206" s="67">
        <f>IFERROR(VLOOKUP(B2206,DADOS!$A$2:$H$252,8,0),"")</f>
        <v>18</v>
      </c>
      <c r="H2206" s="22">
        <v>16.0</v>
      </c>
      <c r="I2206" s="23">
        <f>IFERROR(VLOOKUP(B2206,DADOS!$A$2:$H$252,4,0)*H2206,"")</f>
        <v>5.207904</v>
      </c>
      <c r="J2206" s="36"/>
      <c r="K2206" s="25">
        <f>IFERROR(VLOOKUP(B2206,DADOS!$A$2:$H$252,4,0)*J2206,"")</f>
        <v>0</v>
      </c>
      <c r="L2206" s="26">
        <f t="shared" si="23"/>
        <v>0</v>
      </c>
      <c r="M2206" s="27"/>
      <c r="N2206" s="30"/>
      <c r="O2206" s="28"/>
      <c r="P2206" s="28"/>
      <c r="Q2206" s="28"/>
      <c r="R2206" s="28"/>
      <c r="S2206" s="28"/>
    </row>
    <row r="2207">
      <c r="A2207" s="17">
        <v>46093.0</v>
      </c>
      <c r="B2207" s="18" t="s">
        <v>48</v>
      </c>
      <c r="C2207" s="18" t="s">
        <v>166</v>
      </c>
      <c r="D2207" s="19"/>
      <c r="E2207" s="19"/>
      <c r="F2207" s="20">
        <f t="shared" si="24"/>
        <v>0</v>
      </c>
      <c r="G2207" s="67">
        <f>IFERROR(VLOOKUP(B2207,DADOS!$A$2:$H$252,8,0),"")</f>
        <v>6</v>
      </c>
      <c r="H2207" s="22">
        <v>29.0</v>
      </c>
      <c r="I2207" s="23">
        <f>IFERROR(VLOOKUP(B2207,DADOS!$A$2:$H$252,4,0)*H2207,"")</f>
        <v>3.3040744</v>
      </c>
      <c r="J2207" s="24">
        <v>2.0</v>
      </c>
      <c r="K2207" s="25">
        <f>IFERROR(VLOOKUP(B2207,DADOS!$A$2:$H$252,4,0)*J2207,"")</f>
        <v>0.2278672</v>
      </c>
      <c r="L2207" s="26">
        <f t="shared" si="23"/>
        <v>0</v>
      </c>
      <c r="M2207" s="27"/>
      <c r="N2207" s="30"/>
      <c r="O2207" s="28"/>
      <c r="P2207" s="28"/>
      <c r="Q2207" s="28"/>
      <c r="R2207" s="28"/>
      <c r="S2207" s="28"/>
    </row>
    <row r="2208">
      <c r="A2208" s="17">
        <v>46093.0</v>
      </c>
      <c r="B2208" s="18" t="s">
        <v>53</v>
      </c>
      <c r="C2208" s="18" t="s">
        <v>65</v>
      </c>
      <c r="D2208" s="19"/>
      <c r="E2208" s="19"/>
      <c r="F2208" s="20">
        <f t="shared" si="24"/>
        <v>0</v>
      </c>
      <c r="G2208" s="67">
        <f>IFERROR(VLOOKUP(B2208,DADOS!$A$2:$H$252,8,0),"")</f>
        <v>120</v>
      </c>
      <c r="H2208" s="22">
        <v>100.0</v>
      </c>
      <c r="I2208" s="23">
        <f>IFERROR(VLOOKUP(B2208,DADOS!$A$2:$H$252,4,0)*H2208,"")</f>
        <v>0.963</v>
      </c>
      <c r="J2208" s="36"/>
      <c r="K2208" s="25">
        <f>IFERROR(VLOOKUP(B2208,DADOS!$A$2:$H$252,4,0)*J2208,"")</f>
        <v>0</v>
      </c>
      <c r="L2208" s="26">
        <f t="shared" si="23"/>
        <v>0</v>
      </c>
      <c r="M2208" s="27"/>
      <c r="N2208" s="30"/>
      <c r="O2208" s="28"/>
      <c r="P2208" s="28"/>
      <c r="Q2208" s="28"/>
      <c r="R2208" s="28"/>
      <c r="S2208" s="28"/>
    </row>
    <row r="2209">
      <c r="A2209" s="17">
        <v>46093.0</v>
      </c>
      <c r="B2209" s="18" t="s">
        <v>135</v>
      </c>
      <c r="C2209" s="18" t="s">
        <v>165</v>
      </c>
      <c r="D2209" s="19"/>
      <c r="E2209" s="19"/>
      <c r="F2209" s="20">
        <f t="shared" si="24"/>
        <v>0</v>
      </c>
      <c r="G2209" s="67">
        <f>IFERROR(VLOOKUP(B2209,DADOS!$A$2:$H$252,8,0),"")</f>
        <v>18</v>
      </c>
      <c r="H2209" s="22">
        <v>13.0</v>
      </c>
      <c r="I2209" s="23">
        <f>IFERROR(VLOOKUP(B2209,DADOS!$A$2:$H$252,4,0)*H2209,"")</f>
        <v>4.231422</v>
      </c>
      <c r="J2209" s="36"/>
      <c r="K2209" s="25">
        <f>IFERROR(VLOOKUP(B2209,DADOS!$A$2:$H$252,4,0)*J2209,"")</f>
        <v>0</v>
      </c>
      <c r="L2209" s="26">
        <f t="shared" si="23"/>
        <v>0</v>
      </c>
      <c r="M2209" s="27"/>
      <c r="N2209" s="30"/>
      <c r="O2209" s="28"/>
      <c r="P2209" s="28"/>
      <c r="Q2209" s="28"/>
      <c r="R2209" s="28"/>
      <c r="S2209" s="28"/>
    </row>
    <row r="2210">
      <c r="A2210" s="17">
        <v>46093.0</v>
      </c>
      <c r="B2210" s="18" t="s">
        <v>105</v>
      </c>
      <c r="C2210" s="18" t="s">
        <v>165</v>
      </c>
      <c r="D2210" s="19"/>
      <c r="E2210" s="19"/>
      <c r="F2210" s="20">
        <f t="shared" si="24"/>
        <v>0</v>
      </c>
      <c r="G2210" s="67">
        <f>IFERROR(VLOOKUP(B2210,DADOS!$A$2:$H$252,8,0),"")</f>
        <v>18</v>
      </c>
      <c r="H2210" s="22">
        <v>44.0</v>
      </c>
      <c r="I2210" s="23">
        <f>IFERROR(VLOOKUP(B2210,DADOS!$A$2:$H$252,4,0)*H2210,"")</f>
        <v>3.7390936</v>
      </c>
      <c r="J2210" s="24">
        <v>1.0</v>
      </c>
      <c r="K2210" s="25">
        <f>IFERROR(VLOOKUP(B2210,DADOS!$A$2:$H$252,4,0)*J2210,"")</f>
        <v>0.0849794</v>
      </c>
      <c r="L2210" s="26">
        <f t="shared" si="23"/>
        <v>0</v>
      </c>
      <c r="M2210" s="27"/>
      <c r="N2210" s="30"/>
      <c r="O2210" s="28"/>
      <c r="P2210" s="28"/>
      <c r="Q2210" s="28"/>
      <c r="R2210" s="28"/>
      <c r="S2210" s="28"/>
    </row>
    <row r="2211">
      <c r="A2211" s="17">
        <v>46094.0</v>
      </c>
      <c r="B2211" s="18" t="s">
        <v>53</v>
      </c>
      <c r="C2211" s="18" t="s">
        <v>65</v>
      </c>
      <c r="D2211" s="19"/>
      <c r="E2211" s="19"/>
      <c r="F2211" s="20">
        <f t="shared" si="24"/>
        <v>0</v>
      </c>
      <c r="G2211" s="67">
        <f>IFERROR(VLOOKUP(B2211,DADOS!$A$2:$H$252,8,0),"")</f>
        <v>120</v>
      </c>
      <c r="H2211" s="22">
        <v>177.0</v>
      </c>
      <c r="I2211" s="23">
        <f>IFERROR(VLOOKUP(B2211,DADOS!$A$2:$H$252,4,0)*H2211,"")</f>
        <v>1.70451</v>
      </c>
      <c r="J2211" s="36"/>
      <c r="K2211" s="25">
        <f>IFERROR(VLOOKUP(B2211,DADOS!$A$2:$H$252,4,0)*J2211,"")</f>
        <v>0</v>
      </c>
      <c r="L2211" s="26">
        <f t="shared" si="23"/>
        <v>0</v>
      </c>
      <c r="M2211" s="27"/>
      <c r="N2211" s="30"/>
      <c r="O2211" s="28"/>
      <c r="P2211" s="28"/>
      <c r="Q2211" s="28"/>
      <c r="R2211" s="28"/>
      <c r="S2211" s="28"/>
    </row>
    <row r="2212">
      <c r="A2212" s="17">
        <v>46094.0</v>
      </c>
      <c r="B2212" s="18" t="s">
        <v>16</v>
      </c>
      <c r="C2212" s="18" t="s">
        <v>65</v>
      </c>
      <c r="D2212" s="19"/>
      <c r="E2212" s="19"/>
      <c r="F2212" s="20">
        <f t="shared" si="24"/>
        <v>0</v>
      </c>
      <c r="G2212" s="67">
        <f>IFERROR(VLOOKUP(B2212,DADOS!$A$2:$H$252,8,0),"")</f>
        <v>150</v>
      </c>
      <c r="H2212" s="22">
        <v>206.0</v>
      </c>
      <c r="I2212" s="23">
        <f>IFERROR(VLOOKUP(B2212,DADOS!$A$2:$H$252,4,0)*H2212,"")</f>
        <v>5.9601568</v>
      </c>
      <c r="J2212" s="36"/>
      <c r="K2212" s="25">
        <f>IFERROR(VLOOKUP(B2212,DADOS!$A$2:$H$252,4,0)*J2212,"")</f>
        <v>0</v>
      </c>
      <c r="L2212" s="26">
        <f t="shared" si="23"/>
        <v>0</v>
      </c>
      <c r="M2212" s="27"/>
      <c r="N2212" s="30"/>
      <c r="O2212" s="28"/>
      <c r="P2212" s="28"/>
      <c r="Q2212" s="28"/>
      <c r="R2212" s="28"/>
      <c r="S2212" s="28"/>
    </row>
    <row r="2213">
      <c r="A2213" s="17">
        <v>46094.0</v>
      </c>
      <c r="B2213" s="18" t="s">
        <v>105</v>
      </c>
      <c r="C2213" s="18" t="s">
        <v>165</v>
      </c>
      <c r="D2213" s="19"/>
      <c r="E2213" s="19"/>
      <c r="F2213" s="20">
        <f t="shared" si="24"/>
        <v>0</v>
      </c>
      <c r="G2213" s="67">
        <f>IFERROR(VLOOKUP(B2213,DADOS!$A$2:$H$252,8,0),"")</f>
        <v>18</v>
      </c>
      <c r="H2213" s="22">
        <v>25.0</v>
      </c>
      <c r="I2213" s="23">
        <f>IFERROR(VLOOKUP(B2213,DADOS!$A$2:$H$252,4,0)*H2213,"")</f>
        <v>2.124485</v>
      </c>
      <c r="J2213" s="36"/>
      <c r="K2213" s="25">
        <f>IFERROR(VLOOKUP(B2213,DADOS!$A$2:$H$252,4,0)*J2213,"")</f>
        <v>0</v>
      </c>
      <c r="L2213" s="26">
        <f t="shared" si="23"/>
        <v>0</v>
      </c>
      <c r="M2213" s="27"/>
      <c r="N2213" s="30"/>
      <c r="O2213" s="28"/>
      <c r="P2213" s="28"/>
      <c r="Q2213" s="28"/>
      <c r="R2213" s="28"/>
      <c r="S2213" s="28"/>
    </row>
    <row r="2214">
      <c r="A2214" s="17">
        <v>46094.0</v>
      </c>
      <c r="B2214" s="18" t="s">
        <v>122</v>
      </c>
      <c r="C2214" s="18" t="s">
        <v>165</v>
      </c>
      <c r="D2214" s="19"/>
      <c r="E2214" s="19"/>
      <c r="F2214" s="20">
        <f t="shared" si="24"/>
        <v>0</v>
      </c>
      <c r="G2214" s="67">
        <f>IFERROR(VLOOKUP(B2214,DADOS!$A$2:$H$252,8,0),"")</f>
        <v>17</v>
      </c>
      <c r="H2214" s="22">
        <v>30.0</v>
      </c>
      <c r="I2214" s="23">
        <f>IFERROR(VLOOKUP(B2214,DADOS!$A$2:$H$252,4,0)*H2214,"")</f>
        <v>5.148198</v>
      </c>
      <c r="J2214" s="36"/>
      <c r="K2214" s="25">
        <f>IFERROR(VLOOKUP(B2214,DADOS!$A$2:$H$252,4,0)*J2214,"")</f>
        <v>0</v>
      </c>
      <c r="L2214" s="26">
        <f t="shared" si="23"/>
        <v>0</v>
      </c>
      <c r="M2214" s="27"/>
      <c r="N2214" s="30"/>
      <c r="O2214" s="28"/>
      <c r="P2214" s="28"/>
      <c r="Q2214" s="28"/>
      <c r="R2214" s="28"/>
      <c r="S2214" s="28"/>
    </row>
    <row r="2215">
      <c r="A2215" s="17">
        <v>46095.0</v>
      </c>
      <c r="B2215" s="18" t="s">
        <v>26</v>
      </c>
      <c r="C2215" s="18" t="s">
        <v>193</v>
      </c>
      <c r="D2215" s="19"/>
      <c r="E2215" s="19"/>
      <c r="F2215" s="20">
        <f t="shared" si="24"/>
        <v>0</v>
      </c>
      <c r="G2215" s="67">
        <f>IFERROR(VLOOKUP(B2215,DADOS!$A$2:$H$252,8,0),"")</f>
        <v>50</v>
      </c>
      <c r="H2215" s="22">
        <v>87.0</v>
      </c>
      <c r="I2215" s="23">
        <f>IFERROR(VLOOKUP(B2215,DADOS!$A$2:$H$252,4,0)*H2215,"")</f>
        <v>9.9122232</v>
      </c>
      <c r="J2215" s="24">
        <v>3.0</v>
      </c>
      <c r="K2215" s="25">
        <f>IFERROR(VLOOKUP(B2215,DADOS!$A$2:$H$252,4,0)*J2215,"")</f>
        <v>0.3418008</v>
      </c>
      <c r="L2215" s="26">
        <f t="shared" si="23"/>
        <v>0</v>
      </c>
      <c r="M2215" s="27"/>
      <c r="N2215" s="30"/>
      <c r="O2215" s="28"/>
      <c r="P2215" s="28"/>
      <c r="Q2215" s="28"/>
      <c r="R2215" s="28"/>
      <c r="S2215" s="28"/>
    </row>
    <row r="2216">
      <c r="A2216" s="17">
        <v>46097.0</v>
      </c>
      <c r="B2216" s="18" t="s">
        <v>101</v>
      </c>
      <c r="C2216" s="18" t="s">
        <v>19</v>
      </c>
      <c r="D2216" s="19"/>
      <c r="E2216" s="19"/>
      <c r="F2216" s="20">
        <f t="shared" si="24"/>
        <v>0</v>
      </c>
      <c r="G2216" s="67" t="str">
        <f>IFERROR(VLOOKUP(B2216,DADOS!$A$2:$H$252,8,0),"")</f>
        <v/>
      </c>
      <c r="H2216" s="22">
        <v>18.0</v>
      </c>
      <c r="I2216" s="23">
        <f>IFERROR(VLOOKUP(B2216,DADOS!$A$2:$H$252,4,0)*H2216,"")</f>
        <v>2.8643472</v>
      </c>
      <c r="J2216" s="36"/>
      <c r="K2216" s="25">
        <f>IFERROR(VLOOKUP(B2216,DADOS!$A$2:$H$252,4,0)*J2216,"")</f>
        <v>0</v>
      </c>
      <c r="L2216" s="26">
        <f t="shared" si="23"/>
        <v>0</v>
      </c>
      <c r="M2216" s="27"/>
      <c r="N2216" s="30"/>
      <c r="O2216" s="28"/>
      <c r="P2216" s="28"/>
      <c r="Q2216" s="28"/>
      <c r="R2216" s="28"/>
      <c r="S2216" s="28"/>
    </row>
    <row r="2217">
      <c r="A2217" s="17">
        <v>46097.0</v>
      </c>
      <c r="B2217" s="18" t="s">
        <v>119</v>
      </c>
      <c r="C2217" s="18" t="s">
        <v>19</v>
      </c>
      <c r="D2217" s="19"/>
      <c r="E2217" s="19"/>
      <c r="F2217" s="20">
        <f t="shared" si="24"/>
        <v>0</v>
      </c>
      <c r="G2217" s="67">
        <f>IFERROR(VLOOKUP(B2217,DADOS!$A$2:$H$252,8,0),"")</f>
        <v>25</v>
      </c>
      <c r="H2217" s="22">
        <v>1.0</v>
      </c>
      <c r="I2217" s="23">
        <f>IFERROR(VLOOKUP(B2217,DADOS!$A$2:$H$252,4,0)*H2217,"")</f>
        <v>0.1301976</v>
      </c>
      <c r="J2217" s="36"/>
      <c r="K2217" s="25">
        <f>IFERROR(VLOOKUP(B2217,DADOS!$A$2:$H$252,4,0)*J2217,"")</f>
        <v>0</v>
      </c>
      <c r="L2217" s="26">
        <f t="shared" si="23"/>
        <v>0</v>
      </c>
      <c r="M2217" s="27"/>
      <c r="N2217" s="30"/>
      <c r="O2217" s="28"/>
      <c r="P2217" s="28"/>
      <c r="Q2217" s="28"/>
      <c r="R2217" s="28"/>
      <c r="S2217" s="28"/>
    </row>
    <row r="2218">
      <c r="A2218" s="17">
        <v>46097.0</v>
      </c>
      <c r="B2218" s="18" t="s">
        <v>16</v>
      </c>
      <c r="C2218" s="18" t="s">
        <v>65</v>
      </c>
      <c r="D2218" s="19"/>
      <c r="E2218" s="19"/>
      <c r="F2218" s="20">
        <f t="shared" si="24"/>
        <v>0</v>
      </c>
      <c r="G2218" s="67">
        <f>IFERROR(VLOOKUP(B2218,DADOS!$A$2:$H$252,8,0),"")</f>
        <v>150</v>
      </c>
      <c r="H2218" s="22">
        <v>482.0</v>
      </c>
      <c r="I2218" s="23">
        <f>IFERROR(VLOOKUP(B2218,DADOS!$A$2:$H$252,4,0)*H2218,"")</f>
        <v>13.9456096</v>
      </c>
      <c r="J2218" s="36"/>
      <c r="K2218" s="25">
        <f>IFERROR(VLOOKUP(B2218,DADOS!$A$2:$H$252,4,0)*J2218,"")</f>
        <v>0</v>
      </c>
      <c r="L2218" s="26">
        <f t="shared" si="23"/>
        <v>0</v>
      </c>
      <c r="M2218" s="27"/>
      <c r="N2218" s="30"/>
      <c r="O2218" s="28"/>
      <c r="P2218" s="28"/>
      <c r="Q2218" s="28"/>
      <c r="R2218" s="28"/>
      <c r="S2218" s="28"/>
    </row>
    <row r="2219">
      <c r="A2219" s="17">
        <v>46097.0</v>
      </c>
      <c r="B2219" s="18" t="s">
        <v>122</v>
      </c>
      <c r="C2219" s="18" t="s">
        <v>165</v>
      </c>
      <c r="D2219" s="19"/>
      <c r="E2219" s="19"/>
      <c r="F2219" s="20">
        <f t="shared" si="24"/>
        <v>0</v>
      </c>
      <c r="G2219" s="67">
        <f>IFERROR(VLOOKUP(B2219,DADOS!$A$2:$H$252,8,0),"")</f>
        <v>17</v>
      </c>
      <c r="H2219" s="22">
        <v>15.0</v>
      </c>
      <c r="I2219" s="23">
        <f>IFERROR(VLOOKUP(B2219,DADOS!$A$2:$H$252,4,0)*H2219,"")</f>
        <v>2.574099</v>
      </c>
      <c r="J2219" s="36"/>
      <c r="K2219" s="25">
        <f>IFERROR(VLOOKUP(B2219,DADOS!$A$2:$H$252,4,0)*J2219,"")</f>
        <v>0</v>
      </c>
      <c r="L2219" s="26">
        <f t="shared" si="23"/>
        <v>0</v>
      </c>
      <c r="M2219" s="27"/>
      <c r="N2219" s="30"/>
      <c r="O2219" s="28"/>
      <c r="P2219" s="28"/>
      <c r="Q2219" s="28"/>
      <c r="R2219" s="28"/>
      <c r="S2219" s="28"/>
    </row>
    <row r="2220">
      <c r="A2220" s="17">
        <v>46097.0</v>
      </c>
      <c r="B2220" s="18" t="s">
        <v>18</v>
      </c>
      <c r="C2220" s="18" t="s">
        <v>165</v>
      </c>
      <c r="D2220" s="19"/>
      <c r="E2220" s="19"/>
      <c r="F2220" s="20">
        <f t="shared" si="24"/>
        <v>0</v>
      </c>
      <c r="G2220" s="67">
        <f>IFERROR(VLOOKUP(B2220,DADOS!$A$2:$H$252,8,0),"")</f>
        <v>21</v>
      </c>
      <c r="H2220" s="22">
        <v>17.0</v>
      </c>
      <c r="I2220" s="23">
        <f>IFERROR(VLOOKUP(B2220,DADOS!$A$2:$H$252,4,0)*H2220,"")</f>
        <v>4.980422</v>
      </c>
      <c r="J2220" s="36"/>
      <c r="K2220" s="25">
        <f>IFERROR(VLOOKUP(B2220,DADOS!$A$2:$H$252,4,0)*J2220,"")</f>
        <v>0</v>
      </c>
      <c r="L2220" s="26">
        <f t="shared" si="23"/>
        <v>0</v>
      </c>
      <c r="M2220" s="27"/>
      <c r="N2220" s="30"/>
      <c r="O2220" s="28"/>
      <c r="P2220" s="28"/>
      <c r="Q2220" s="28"/>
      <c r="R2220" s="28"/>
      <c r="S2220" s="28"/>
    </row>
    <row r="2221">
      <c r="A2221" s="17">
        <v>46099.0</v>
      </c>
      <c r="B2221" s="18" t="s">
        <v>16</v>
      </c>
      <c r="C2221" s="18" t="s">
        <v>65</v>
      </c>
      <c r="D2221" s="19"/>
      <c r="E2221" s="19"/>
      <c r="F2221" s="20">
        <f t="shared" si="24"/>
        <v>0</v>
      </c>
      <c r="G2221" s="67">
        <f>IFERROR(VLOOKUP(B2221,DADOS!$A$2:$H$252,8,0),"")</f>
        <v>150</v>
      </c>
      <c r="H2221" s="22">
        <v>587.0</v>
      </c>
      <c r="I2221" s="23">
        <f>IFERROR(VLOOKUP(B2221,DADOS!$A$2:$H$252,4,0)*H2221,"")</f>
        <v>16.9835536</v>
      </c>
      <c r="J2221" s="24">
        <v>3.0</v>
      </c>
      <c r="K2221" s="25">
        <f>IFERROR(VLOOKUP(B2221,DADOS!$A$2:$H$252,4,0)*J2221,"")</f>
        <v>0.0867984</v>
      </c>
      <c r="L2221" s="26">
        <f t="shared" si="23"/>
        <v>0</v>
      </c>
      <c r="M2221" s="27"/>
      <c r="N2221" s="30"/>
      <c r="O2221" s="28"/>
      <c r="P2221" s="28"/>
      <c r="Q2221" s="28"/>
      <c r="R2221" s="28"/>
      <c r="S2221" s="28"/>
    </row>
    <row r="2222">
      <c r="A2222" s="17">
        <v>46099.0</v>
      </c>
      <c r="B2222" s="18" t="s">
        <v>18</v>
      </c>
      <c r="C2222" s="18" t="s">
        <v>165</v>
      </c>
      <c r="D2222" s="19"/>
      <c r="E2222" s="19"/>
      <c r="F2222" s="20">
        <f t="shared" si="24"/>
        <v>0</v>
      </c>
      <c r="G2222" s="67">
        <f>IFERROR(VLOOKUP(B2222,DADOS!$A$2:$H$252,8,0),"")</f>
        <v>21</v>
      </c>
      <c r="H2222" s="22">
        <v>60.0</v>
      </c>
      <c r="I2222" s="23">
        <f>IFERROR(VLOOKUP(B2222,DADOS!$A$2:$H$252,4,0)*H2222,"")</f>
        <v>17.57796</v>
      </c>
      <c r="J2222" s="36"/>
      <c r="K2222" s="25">
        <f>IFERROR(VLOOKUP(B2222,DADOS!$A$2:$H$252,4,0)*J2222,"")</f>
        <v>0</v>
      </c>
      <c r="L2222" s="26">
        <f t="shared" si="23"/>
        <v>0</v>
      </c>
      <c r="M2222" s="27"/>
      <c r="N2222" s="30"/>
      <c r="O2222" s="28"/>
      <c r="P2222" s="28"/>
      <c r="Q2222" s="28"/>
      <c r="R2222" s="28"/>
      <c r="S2222" s="28"/>
    </row>
    <row r="2223">
      <c r="A2223" s="17">
        <v>46100.0</v>
      </c>
      <c r="B2223" s="18" t="s">
        <v>16</v>
      </c>
      <c r="C2223" s="18" t="s">
        <v>65</v>
      </c>
      <c r="D2223" s="19"/>
      <c r="E2223" s="19"/>
      <c r="F2223" s="20">
        <f t="shared" si="24"/>
        <v>0</v>
      </c>
      <c r="G2223" s="67">
        <f>IFERROR(VLOOKUP(B2223,DADOS!$A$2:$H$252,8,0),"")</f>
        <v>150</v>
      </c>
      <c r="H2223" s="22">
        <v>314.0</v>
      </c>
      <c r="I2223" s="23">
        <f>IFERROR(VLOOKUP(B2223,DADOS!$A$2:$H$252,4,0)*H2223,"")</f>
        <v>9.0848992</v>
      </c>
      <c r="J2223" s="36"/>
      <c r="K2223" s="25">
        <f>IFERROR(VLOOKUP(B2223,DADOS!$A$2:$H$252,4,0)*J2223,"")</f>
        <v>0</v>
      </c>
      <c r="L2223" s="26">
        <f t="shared" si="23"/>
        <v>0</v>
      </c>
      <c r="M2223" s="27"/>
      <c r="N2223" s="30"/>
      <c r="O2223" s="28"/>
      <c r="P2223" s="28"/>
      <c r="Q2223" s="28"/>
      <c r="R2223" s="28"/>
      <c r="S2223" s="28"/>
    </row>
    <row r="2224">
      <c r="A2224" s="17">
        <v>46100.0</v>
      </c>
      <c r="B2224" s="18" t="s">
        <v>18</v>
      </c>
      <c r="C2224" s="18" t="s">
        <v>165</v>
      </c>
      <c r="D2224" s="19"/>
      <c r="E2224" s="19"/>
      <c r="F2224" s="20">
        <f t="shared" si="24"/>
        <v>0</v>
      </c>
      <c r="G2224" s="67">
        <f>IFERROR(VLOOKUP(B2224,DADOS!$A$2:$H$252,8,0),"")</f>
        <v>21</v>
      </c>
      <c r="H2224" s="22">
        <v>84.0</v>
      </c>
      <c r="I2224" s="23">
        <f>IFERROR(VLOOKUP(B2224,DADOS!$A$2:$H$252,4,0)*H2224,"")</f>
        <v>24.609144</v>
      </c>
      <c r="J2224" s="36"/>
      <c r="K2224" s="25">
        <f>IFERROR(VLOOKUP(B2224,DADOS!$A$2:$H$252,4,0)*J2224,"")</f>
        <v>0</v>
      </c>
      <c r="L2224" s="26">
        <f t="shared" si="23"/>
        <v>0</v>
      </c>
      <c r="M2224" s="27"/>
      <c r="N2224" s="30"/>
      <c r="O2224" s="28"/>
      <c r="P2224" s="28"/>
      <c r="Q2224" s="28"/>
      <c r="R2224" s="28"/>
      <c r="S2224" s="28"/>
    </row>
    <row r="2225">
      <c r="A2225" s="17">
        <v>46101.0</v>
      </c>
      <c r="B2225" s="18" t="s">
        <v>101</v>
      </c>
      <c r="C2225" s="18" t="s">
        <v>165</v>
      </c>
      <c r="D2225" s="19"/>
      <c r="E2225" s="19"/>
      <c r="F2225" s="20">
        <f t="shared" si="24"/>
        <v>0</v>
      </c>
      <c r="G2225" s="67" t="str">
        <f>IFERROR(VLOOKUP(B2225,DADOS!$A$2:$H$252,8,0),"")</f>
        <v/>
      </c>
      <c r="H2225" s="22">
        <v>8.0</v>
      </c>
      <c r="I2225" s="23">
        <f>IFERROR(VLOOKUP(B2225,DADOS!$A$2:$H$252,4,0)*H2225,"")</f>
        <v>1.2730432</v>
      </c>
      <c r="J2225" s="24">
        <v>5.0</v>
      </c>
      <c r="K2225" s="25">
        <f>IFERROR(VLOOKUP(B2225,DADOS!$A$2:$H$252,4,0)*J2225,"")</f>
        <v>0.795652</v>
      </c>
      <c r="L2225" s="26">
        <f t="shared" si="23"/>
        <v>0</v>
      </c>
      <c r="M2225" s="27"/>
      <c r="N2225" s="30"/>
      <c r="O2225" s="28"/>
      <c r="P2225" s="28"/>
      <c r="Q2225" s="28"/>
      <c r="R2225" s="28"/>
      <c r="S2225" s="28"/>
    </row>
    <row r="2226">
      <c r="A2226" s="17">
        <v>46101.0</v>
      </c>
      <c r="B2226" s="18" t="s">
        <v>219</v>
      </c>
      <c r="C2226" s="18" t="s">
        <v>165</v>
      </c>
      <c r="D2226" s="19"/>
      <c r="E2226" s="19"/>
      <c r="F2226" s="20">
        <f t="shared" si="24"/>
        <v>0</v>
      </c>
      <c r="G2226" s="67">
        <f>IFERROR(VLOOKUP(B2226,DADOS!$A$2:$H$252,8,0),"")</f>
        <v>130</v>
      </c>
      <c r="H2226" s="22">
        <v>46.0</v>
      </c>
      <c r="I2226" s="23">
        <f>IFERROR(VLOOKUP(B2226,DADOS!$A$2:$H$252,4,0)*H2226,"")</f>
        <v>4.6867284</v>
      </c>
      <c r="J2226" s="36"/>
      <c r="K2226" s="25">
        <f>IFERROR(VLOOKUP(B2226,DADOS!$A$2:$H$252,4,0)*J2226,"")</f>
        <v>0</v>
      </c>
      <c r="L2226" s="26">
        <f t="shared" si="23"/>
        <v>0</v>
      </c>
      <c r="M2226" s="27"/>
      <c r="N2226" s="30"/>
      <c r="O2226" s="28"/>
      <c r="P2226" s="28"/>
      <c r="Q2226" s="28"/>
      <c r="R2226" s="28"/>
      <c r="S2226" s="28"/>
    </row>
    <row r="2227">
      <c r="A2227" s="17">
        <v>46104.0</v>
      </c>
      <c r="B2227" s="18" t="s">
        <v>16</v>
      </c>
      <c r="C2227" s="18" t="s">
        <v>65</v>
      </c>
      <c r="D2227" s="19"/>
      <c r="E2227" s="19"/>
      <c r="F2227" s="20">
        <f t="shared" si="24"/>
        <v>0</v>
      </c>
      <c r="G2227" s="67">
        <f>IFERROR(VLOOKUP(B2227,DADOS!$A$2:$H$252,8,0),"")</f>
        <v>150</v>
      </c>
      <c r="H2227" s="22">
        <v>700.0</v>
      </c>
      <c r="I2227" s="23">
        <f>IFERROR(VLOOKUP(B2227,DADOS!$A$2:$H$252,4,0)*H2227,"")</f>
        <v>20.25296</v>
      </c>
      <c r="J2227" s="36"/>
      <c r="K2227" s="25">
        <f>IFERROR(VLOOKUP(B2227,DADOS!$A$2:$H$252,4,0)*J2227,"")</f>
        <v>0</v>
      </c>
      <c r="L2227" s="26">
        <f t="shared" si="23"/>
        <v>0</v>
      </c>
      <c r="M2227" s="27"/>
      <c r="N2227" s="30"/>
      <c r="O2227" s="28"/>
      <c r="P2227" s="28"/>
      <c r="Q2227" s="28"/>
      <c r="R2227" s="28"/>
      <c r="S2227" s="28"/>
    </row>
    <row r="2228">
      <c r="A2228" s="17">
        <v>46104.0</v>
      </c>
      <c r="B2228" s="18" t="s">
        <v>62</v>
      </c>
      <c r="C2228" s="18" t="s">
        <v>165</v>
      </c>
      <c r="D2228" s="19"/>
      <c r="E2228" s="19"/>
      <c r="F2228" s="20">
        <f t="shared" si="24"/>
        <v>0</v>
      </c>
      <c r="G2228" s="67">
        <f>IFERROR(VLOOKUP(B2228,DADOS!$A$2:$H$252,8,0),"")</f>
        <v>14</v>
      </c>
      <c r="H2228" s="22">
        <v>35.0</v>
      </c>
      <c r="I2228" s="23">
        <f>IFERROR(VLOOKUP(B2228,DADOS!$A$2:$H$252,4,0)*H2228,"")</f>
        <v>2.974279</v>
      </c>
      <c r="J2228" s="24">
        <v>3.0</v>
      </c>
      <c r="K2228" s="25">
        <f>IFERROR(VLOOKUP(B2228,DADOS!$A$2:$H$252,4,0)*J2228,"")</f>
        <v>0.2549382</v>
      </c>
      <c r="L2228" s="26">
        <f t="shared" si="23"/>
        <v>0</v>
      </c>
      <c r="M2228" s="27"/>
      <c r="N2228" s="30"/>
      <c r="O2228" s="28"/>
      <c r="P2228" s="28"/>
      <c r="Q2228" s="28"/>
      <c r="R2228" s="28"/>
      <c r="S2228" s="28"/>
    </row>
    <row r="2229">
      <c r="A2229" s="17">
        <v>46104.0</v>
      </c>
      <c r="B2229" s="18" t="s">
        <v>101</v>
      </c>
      <c r="C2229" s="18" t="s">
        <v>165</v>
      </c>
      <c r="D2229" s="19"/>
      <c r="E2229" s="19"/>
      <c r="F2229" s="20">
        <f t="shared" si="24"/>
        <v>0</v>
      </c>
      <c r="G2229" s="67" t="str">
        <f>IFERROR(VLOOKUP(B2229,DADOS!$A$2:$H$252,8,0),"")</f>
        <v/>
      </c>
      <c r="H2229" s="22">
        <v>15.0</v>
      </c>
      <c r="I2229" s="23">
        <f>IFERROR(VLOOKUP(B2229,DADOS!$A$2:$H$252,4,0)*H2229,"")</f>
        <v>2.386956</v>
      </c>
      <c r="J2229" s="24">
        <v>6.0</v>
      </c>
      <c r="K2229" s="25">
        <f>IFERROR(VLOOKUP(B2229,DADOS!$A$2:$H$252,4,0)*J2229,"")</f>
        <v>0.9547824</v>
      </c>
      <c r="L2229" s="26">
        <f t="shared" si="23"/>
        <v>0</v>
      </c>
      <c r="M2229" s="27"/>
      <c r="N2229" s="30"/>
      <c r="O2229" s="28"/>
      <c r="P2229" s="28"/>
      <c r="Q2229" s="28"/>
      <c r="R2229" s="28"/>
      <c r="S2229" s="28"/>
    </row>
    <row r="2230">
      <c r="A2230" s="17">
        <v>46105.0</v>
      </c>
      <c r="B2230" s="18" t="s">
        <v>61</v>
      </c>
      <c r="C2230" s="18" t="s">
        <v>65</v>
      </c>
      <c r="D2230" s="19"/>
      <c r="E2230" s="19"/>
      <c r="F2230" s="20">
        <f t="shared" si="24"/>
        <v>0</v>
      </c>
      <c r="G2230" s="67">
        <f>IFERROR(VLOOKUP(B2230,DADOS!$A$2:$H$252,8,0),"")</f>
        <v>112</v>
      </c>
      <c r="H2230" s="22">
        <v>82.0</v>
      </c>
      <c r="I2230" s="23">
        <f>IFERROR(VLOOKUP(B2230,DADOS!$A$2:$H$252,4,0)*H2230,"")</f>
        <v>1.22836</v>
      </c>
      <c r="J2230" s="36"/>
      <c r="K2230" s="25">
        <f>IFERROR(VLOOKUP(B2230,DADOS!$A$2:$H$252,4,0)*J2230,"")</f>
        <v>0</v>
      </c>
      <c r="L2230" s="26">
        <f t="shared" si="23"/>
        <v>0</v>
      </c>
      <c r="M2230" s="27"/>
      <c r="N2230" s="30"/>
      <c r="O2230" s="28"/>
      <c r="P2230" s="28"/>
      <c r="Q2230" s="28"/>
      <c r="R2230" s="28"/>
      <c r="S2230" s="28"/>
    </row>
    <row r="2231">
      <c r="A2231" s="17">
        <v>46105.0</v>
      </c>
      <c r="B2231" s="18" t="s">
        <v>101</v>
      </c>
      <c r="C2231" s="18" t="s">
        <v>165</v>
      </c>
      <c r="D2231" s="19"/>
      <c r="E2231" s="19"/>
      <c r="F2231" s="20">
        <f t="shared" si="24"/>
        <v>0</v>
      </c>
      <c r="G2231" s="67" t="str">
        <f>IFERROR(VLOOKUP(B2231,DADOS!$A$2:$H$252,8,0),"")</f>
        <v/>
      </c>
      <c r="H2231" s="22">
        <v>24.0</v>
      </c>
      <c r="I2231" s="23">
        <f>IFERROR(VLOOKUP(B2231,DADOS!$A$2:$H$252,4,0)*H2231,"")</f>
        <v>3.8191296</v>
      </c>
      <c r="J2231" s="24">
        <v>13.0</v>
      </c>
      <c r="K2231" s="25">
        <f>IFERROR(VLOOKUP(B2231,DADOS!$A$2:$H$252,4,0)*J2231,"")</f>
        <v>2.0686952</v>
      </c>
      <c r="L2231" s="26">
        <f t="shared" si="23"/>
        <v>0</v>
      </c>
      <c r="M2231" s="27"/>
      <c r="N2231" s="30"/>
      <c r="O2231" s="28"/>
      <c r="P2231" s="28"/>
      <c r="Q2231" s="28"/>
      <c r="R2231" s="28"/>
      <c r="S2231" s="28"/>
    </row>
    <row r="2232">
      <c r="A2232" s="17">
        <v>46106.0</v>
      </c>
      <c r="B2232" s="18" t="s">
        <v>61</v>
      </c>
      <c r="C2232" s="18" t="s">
        <v>65</v>
      </c>
      <c r="D2232" s="19"/>
      <c r="E2232" s="19"/>
      <c r="F2232" s="20">
        <f t="shared" si="24"/>
        <v>0</v>
      </c>
      <c r="G2232" s="67">
        <f>IFERROR(VLOOKUP(B2232,DADOS!$A$2:$H$252,8,0),"")</f>
        <v>112</v>
      </c>
      <c r="H2232" s="22">
        <v>211.0</v>
      </c>
      <c r="I2232" s="23">
        <f>IFERROR(VLOOKUP(B2232,DADOS!$A$2:$H$252,4,0)*H2232,"")</f>
        <v>3.16078</v>
      </c>
      <c r="J2232" s="36"/>
      <c r="K2232" s="25">
        <f>IFERROR(VLOOKUP(B2232,DADOS!$A$2:$H$252,4,0)*J2232,"")</f>
        <v>0</v>
      </c>
      <c r="L2232" s="26">
        <f t="shared" si="23"/>
        <v>0</v>
      </c>
      <c r="M2232" s="27"/>
      <c r="N2232" s="30"/>
      <c r="O2232" s="28"/>
      <c r="P2232" s="28"/>
      <c r="Q2232" s="28"/>
      <c r="R2232" s="28"/>
      <c r="S2232" s="28"/>
    </row>
    <row r="2233">
      <c r="A2233" s="17">
        <v>46106.0</v>
      </c>
      <c r="B2233" s="18" t="s">
        <v>220</v>
      </c>
      <c r="C2233" s="18" t="s">
        <v>165</v>
      </c>
      <c r="D2233" s="19"/>
      <c r="E2233" s="19"/>
      <c r="F2233" s="20">
        <f t="shared" si="24"/>
        <v>0</v>
      </c>
      <c r="G2233" s="67">
        <f>IFERROR(VLOOKUP(B2233,DADOS!$A$2:$H$252,8,0),"")</f>
        <v>12</v>
      </c>
      <c r="H2233" s="22">
        <v>28.0</v>
      </c>
      <c r="I2233" s="23">
        <f>IFERROR(VLOOKUP(B2233,DADOS!$A$2:$H$252,4,0)*H2233,"")</f>
        <v>3.1901408</v>
      </c>
      <c r="J2233" s="24">
        <v>2.0</v>
      </c>
      <c r="K2233" s="25">
        <f>IFERROR(VLOOKUP(B2233,DADOS!$A$2:$H$252,4,0)*J2233,"")</f>
        <v>0.2278672</v>
      </c>
      <c r="L2233" s="26">
        <f t="shared" si="23"/>
        <v>0</v>
      </c>
      <c r="M2233" s="27"/>
      <c r="N2233" s="30"/>
      <c r="O2233" s="28"/>
      <c r="P2233" s="28"/>
      <c r="Q2233" s="28"/>
      <c r="R2233" s="28"/>
      <c r="S2233" s="28"/>
    </row>
    <row r="2234">
      <c r="A2234" s="17">
        <v>46106.0</v>
      </c>
      <c r="B2234" s="18" t="s">
        <v>117</v>
      </c>
      <c r="C2234" s="18" t="s">
        <v>165</v>
      </c>
      <c r="D2234" s="19"/>
      <c r="E2234" s="19"/>
      <c r="F2234" s="20">
        <f t="shared" si="24"/>
        <v>0</v>
      </c>
      <c r="G2234" s="67">
        <f>IFERROR(VLOOKUP(B2234,DADOS!$A$2:$H$252,8,0),"")</f>
        <v>12</v>
      </c>
      <c r="H2234" s="22">
        <v>10.0</v>
      </c>
      <c r="I2234" s="23">
        <f>IFERROR(VLOOKUP(B2234,DADOS!$A$2:$H$252,4,0)*H2234,"")</f>
        <v>2.181088</v>
      </c>
      <c r="J2234" s="24">
        <v>2.0</v>
      </c>
      <c r="K2234" s="25">
        <f>IFERROR(VLOOKUP(B2234,DADOS!$A$2:$H$252,4,0)*J2234,"")</f>
        <v>0.4362176</v>
      </c>
      <c r="L2234" s="26">
        <f t="shared" si="23"/>
        <v>0</v>
      </c>
      <c r="M2234" s="27"/>
      <c r="N2234" s="30"/>
      <c r="O2234" s="28"/>
      <c r="P2234" s="28"/>
      <c r="Q2234" s="28"/>
      <c r="R2234" s="28"/>
      <c r="S2234" s="28"/>
    </row>
    <row r="2235">
      <c r="A2235" s="17">
        <v>46107.0</v>
      </c>
      <c r="B2235" s="18" t="s">
        <v>57</v>
      </c>
      <c r="C2235" s="18" t="s">
        <v>65</v>
      </c>
      <c r="D2235" s="19"/>
      <c r="E2235" s="19"/>
      <c r="F2235" s="20">
        <f t="shared" si="24"/>
        <v>0</v>
      </c>
      <c r="G2235" s="67">
        <f>IFERROR(VLOOKUP(B2235,DADOS!$A$2:$H$252,8,0),"")</f>
        <v>100</v>
      </c>
      <c r="H2235" s="22">
        <v>199.0</v>
      </c>
      <c r="I2235" s="23">
        <f>IFERROR(VLOOKUP(B2235,DADOS!$A$2:$H$252,4,0)*H2235,"")</f>
        <v>3.40688</v>
      </c>
      <c r="J2235" s="24">
        <v>2.0</v>
      </c>
      <c r="K2235" s="25">
        <f>IFERROR(VLOOKUP(B2235,DADOS!$A$2:$H$252,4,0)*J2235,"")</f>
        <v>0.03424</v>
      </c>
      <c r="L2235" s="26">
        <f t="shared" si="23"/>
        <v>0</v>
      </c>
      <c r="M2235" s="27"/>
      <c r="N2235" s="30"/>
      <c r="O2235" s="28"/>
      <c r="P2235" s="28"/>
      <c r="Q2235" s="28"/>
      <c r="R2235" s="28"/>
      <c r="S2235" s="28"/>
    </row>
    <row r="2236">
      <c r="A2236" s="17">
        <v>46107.0</v>
      </c>
      <c r="B2236" s="18" t="s">
        <v>74</v>
      </c>
      <c r="C2236" s="18" t="s">
        <v>65</v>
      </c>
      <c r="D2236" s="19"/>
      <c r="E2236" s="19"/>
      <c r="F2236" s="20">
        <f t="shared" si="24"/>
        <v>0</v>
      </c>
      <c r="G2236" s="67">
        <f>IFERROR(VLOOKUP(B2236,DADOS!$A$2:$H$252,8,0),"")</f>
        <v>60</v>
      </c>
      <c r="H2236" s="22">
        <v>120.0</v>
      </c>
      <c r="I2236" s="23">
        <f>IFERROR(VLOOKUP(B2236,DADOS!$A$2:$H$252,4,0)*H2236,"")</f>
        <v>166.4064</v>
      </c>
      <c r="J2236" s="36"/>
      <c r="K2236" s="25">
        <f>IFERROR(VLOOKUP(B2236,DADOS!$A$2:$H$252,4,0)*J2236,"")</f>
        <v>0</v>
      </c>
      <c r="L2236" s="26">
        <f t="shared" si="23"/>
        <v>0</v>
      </c>
      <c r="M2236" s="27"/>
      <c r="N2236" s="30"/>
      <c r="O2236" s="28"/>
      <c r="P2236" s="28"/>
      <c r="Q2236" s="28"/>
      <c r="R2236" s="28"/>
      <c r="S2236" s="28"/>
    </row>
    <row r="2237">
      <c r="A2237" s="17">
        <v>46107.0</v>
      </c>
      <c r="B2237" s="18" t="s">
        <v>117</v>
      </c>
      <c r="C2237" s="18" t="s">
        <v>165</v>
      </c>
      <c r="D2237" s="19"/>
      <c r="E2237" s="19"/>
      <c r="F2237" s="20">
        <f t="shared" si="24"/>
        <v>0</v>
      </c>
      <c r="G2237" s="67">
        <f>IFERROR(VLOOKUP(B2237,DADOS!$A$2:$H$252,8,0),"")</f>
        <v>12</v>
      </c>
      <c r="H2237" s="22">
        <v>25.0</v>
      </c>
      <c r="I2237" s="23">
        <f>IFERROR(VLOOKUP(B2237,DADOS!$A$2:$H$252,4,0)*H2237,"")</f>
        <v>5.45272</v>
      </c>
      <c r="J2237" s="24">
        <v>3.0</v>
      </c>
      <c r="K2237" s="25">
        <f>IFERROR(VLOOKUP(B2237,DADOS!$A$2:$H$252,4,0)*J2237,"")</f>
        <v>0.6543264</v>
      </c>
      <c r="L2237" s="26">
        <f t="shared" si="23"/>
        <v>0</v>
      </c>
      <c r="M2237" s="27"/>
      <c r="N2237" s="30"/>
      <c r="O2237" s="28"/>
      <c r="P2237" s="28"/>
      <c r="Q2237" s="28"/>
      <c r="R2237" s="28"/>
      <c r="S2237" s="28"/>
    </row>
    <row r="2238">
      <c r="A2238" s="17">
        <v>46107.0</v>
      </c>
      <c r="B2238" s="18" t="s">
        <v>74</v>
      </c>
      <c r="C2238" s="18" t="s">
        <v>65</v>
      </c>
      <c r="D2238" s="19"/>
      <c r="E2238" s="19"/>
      <c r="F2238" s="20">
        <f t="shared" si="24"/>
        <v>0</v>
      </c>
      <c r="G2238" s="67">
        <f>IFERROR(VLOOKUP(B2238,DADOS!$A$2:$H$252,8,0),"")</f>
        <v>60</v>
      </c>
      <c r="H2238" s="22">
        <v>124.0</v>
      </c>
      <c r="I2238" s="23">
        <f>IFERROR(VLOOKUP(B2238,DADOS!$A$2:$H$252,4,0)*H2238,"")</f>
        <v>171.95328</v>
      </c>
      <c r="J2238" s="24">
        <v>1.0</v>
      </c>
      <c r="K2238" s="25">
        <f>IFERROR(VLOOKUP(B2238,DADOS!$A$2:$H$252,4,0)*J2238,"")</f>
        <v>1.38672</v>
      </c>
      <c r="L2238" s="26">
        <f t="shared" si="23"/>
        <v>0</v>
      </c>
      <c r="M2238" s="27"/>
      <c r="N2238" s="30"/>
      <c r="O2238" s="28"/>
      <c r="P2238" s="28"/>
      <c r="Q2238" s="28"/>
      <c r="R2238" s="28"/>
      <c r="S2238" s="28"/>
    </row>
    <row r="2239">
      <c r="A2239" s="17">
        <v>46107.0</v>
      </c>
      <c r="B2239" s="18" t="s">
        <v>58</v>
      </c>
      <c r="C2239" s="18" t="s">
        <v>165</v>
      </c>
      <c r="D2239" s="19"/>
      <c r="E2239" s="19"/>
      <c r="F2239" s="20">
        <f t="shared" si="24"/>
        <v>0</v>
      </c>
      <c r="G2239" s="67">
        <f>IFERROR(VLOOKUP(B2239,DADOS!$A$2:$H$252,8,0),"")</f>
        <v>31</v>
      </c>
      <c r="H2239" s="22">
        <v>35.0</v>
      </c>
      <c r="I2239" s="23">
        <f>IFERROR(VLOOKUP(B2239,DADOS!$A$2:$H$252,4,0)*H2239,"")</f>
        <v>3.987676</v>
      </c>
      <c r="J2239" s="36"/>
      <c r="K2239" s="25">
        <f>IFERROR(VLOOKUP(B2239,DADOS!$A$2:$H$252,4,0)*J2239,"")</f>
        <v>0</v>
      </c>
      <c r="L2239" s="26">
        <f t="shared" si="23"/>
        <v>0</v>
      </c>
      <c r="M2239" s="27"/>
      <c r="N2239" s="30"/>
      <c r="O2239" s="28"/>
      <c r="P2239" s="28"/>
      <c r="Q2239" s="28"/>
      <c r="R2239" s="28"/>
      <c r="S2239" s="28"/>
    </row>
    <row r="2240">
      <c r="A2240" s="17">
        <v>46111.0</v>
      </c>
      <c r="B2240" s="18" t="s">
        <v>22</v>
      </c>
      <c r="C2240" s="18" t="s">
        <v>166</v>
      </c>
      <c r="D2240" s="19">
        <v>0.3333333333333333</v>
      </c>
      <c r="E2240" s="19">
        <v>0.4583333333333333</v>
      </c>
      <c r="F2240" s="20">
        <f t="shared" si="24"/>
        <v>0.125</v>
      </c>
      <c r="G2240" s="67">
        <f>IFERROR(VLOOKUP(B2240,DADOS!$A$2:$H$252,8,0),"")</f>
        <v>15</v>
      </c>
      <c r="H2240" s="22">
        <v>40.0</v>
      </c>
      <c r="I2240" s="23">
        <f>IFERROR(VLOOKUP(B2240,DADOS!$A$2:$H$252,4,0)*H2240,"")</f>
        <v>24.491016</v>
      </c>
      <c r="J2240" s="36"/>
      <c r="K2240" s="25">
        <f>IFERROR(VLOOKUP(B2240,DADOS!$A$2:$H$252,4,0)*J2240,"")</f>
        <v>0</v>
      </c>
      <c r="L2240" s="26">
        <f t="shared" si="23"/>
        <v>0</v>
      </c>
      <c r="M2240" s="27"/>
      <c r="N2240" s="30"/>
      <c r="O2240" s="28"/>
      <c r="P2240" s="28"/>
      <c r="Q2240" s="28"/>
      <c r="R2240" s="28"/>
      <c r="S2240" s="28"/>
    </row>
    <row r="2241">
      <c r="A2241" s="17">
        <v>46111.0</v>
      </c>
      <c r="B2241" s="18" t="s">
        <v>58</v>
      </c>
      <c r="C2241" s="18" t="s">
        <v>165</v>
      </c>
      <c r="D2241" s="19"/>
      <c r="E2241" s="19"/>
      <c r="F2241" s="20">
        <f t="shared" si="24"/>
        <v>0</v>
      </c>
      <c r="G2241" s="67">
        <f>IFERROR(VLOOKUP(B2241,DADOS!$A$2:$H$252,8,0),"")</f>
        <v>31</v>
      </c>
      <c r="H2241" s="22">
        <v>16.0</v>
      </c>
      <c r="I2241" s="23">
        <f>IFERROR(VLOOKUP(B2241,DADOS!$A$2:$H$252,4,0)*H2241,"")</f>
        <v>1.8229376</v>
      </c>
      <c r="J2241" s="24">
        <v>2.0</v>
      </c>
      <c r="K2241" s="25">
        <f>IFERROR(VLOOKUP(B2241,DADOS!$A$2:$H$252,4,0)*J2241,"")</f>
        <v>0.2278672</v>
      </c>
      <c r="L2241" s="26">
        <f t="shared" si="23"/>
        <v>0</v>
      </c>
      <c r="M2241" s="27"/>
      <c r="N2241" s="30"/>
      <c r="O2241" s="28"/>
      <c r="P2241" s="28"/>
      <c r="Q2241" s="28"/>
      <c r="R2241" s="28"/>
      <c r="S2241" s="28"/>
    </row>
    <row r="2242">
      <c r="A2242" s="17">
        <v>46111.0</v>
      </c>
      <c r="B2242" s="18" t="s">
        <v>125</v>
      </c>
      <c r="C2242" s="18" t="s">
        <v>165</v>
      </c>
      <c r="D2242" s="19"/>
      <c r="E2242" s="19"/>
      <c r="F2242" s="20">
        <f t="shared" si="24"/>
        <v>0</v>
      </c>
      <c r="G2242" s="67">
        <f>IFERROR(VLOOKUP(B2242,DADOS!$A$2:$H$252,8,0),"")</f>
        <v>12</v>
      </c>
      <c r="H2242" s="22">
        <v>26.0</v>
      </c>
      <c r="I2242" s="23">
        <f>IFERROR(VLOOKUP(B2242,DADOS!$A$2:$H$252,4,0)*H2242,"")</f>
        <v>4.7983936</v>
      </c>
      <c r="J2242" s="36"/>
      <c r="K2242" s="25">
        <f>IFERROR(VLOOKUP(B2242,DADOS!$A$2:$H$252,4,0)*J2242,"")</f>
        <v>0</v>
      </c>
      <c r="L2242" s="26">
        <f t="shared" si="23"/>
        <v>0</v>
      </c>
      <c r="M2242" s="27"/>
      <c r="N2242" s="30"/>
      <c r="O2242" s="28"/>
      <c r="P2242" s="28"/>
      <c r="Q2242" s="28"/>
      <c r="R2242" s="28"/>
      <c r="S2242" s="28"/>
    </row>
    <row r="2243">
      <c r="A2243" s="17">
        <v>46111.0</v>
      </c>
      <c r="B2243" s="18" t="s">
        <v>221</v>
      </c>
      <c r="C2243" s="18" t="s">
        <v>65</v>
      </c>
      <c r="D2243" s="19"/>
      <c r="E2243" s="19"/>
      <c r="F2243" s="20">
        <f t="shared" si="24"/>
        <v>0</v>
      </c>
      <c r="G2243" s="67">
        <f>IFERROR(VLOOKUP(B2243,DADOS!$A$2:$H$252,8,0),"")</f>
        <v>100</v>
      </c>
      <c r="H2243" s="22">
        <v>157.0</v>
      </c>
      <c r="I2243" s="23">
        <f>IFERROR(VLOOKUP(B2243,DADOS!$A$2:$H$252,4,0)*H2243,"")</f>
        <v>4.53573</v>
      </c>
      <c r="J2243" s="36"/>
      <c r="K2243" s="25">
        <f>IFERROR(VLOOKUP(B2243,DADOS!$A$2:$H$252,4,0)*J2243,"")</f>
        <v>0</v>
      </c>
      <c r="L2243" s="26">
        <f t="shared" si="23"/>
        <v>0</v>
      </c>
      <c r="M2243" s="27"/>
      <c r="N2243" s="30"/>
      <c r="O2243" s="28"/>
      <c r="P2243" s="28"/>
      <c r="Q2243" s="28"/>
      <c r="R2243" s="28"/>
      <c r="S2243" s="28"/>
    </row>
    <row r="2244">
      <c r="A2244" s="17">
        <v>46111.0</v>
      </c>
      <c r="B2244" s="18" t="s">
        <v>222</v>
      </c>
      <c r="C2244" s="18" t="s">
        <v>65</v>
      </c>
      <c r="D2244" s="19"/>
      <c r="E2244" s="19"/>
      <c r="F2244" s="20">
        <f t="shared" si="24"/>
        <v>0</v>
      </c>
      <c r="G2244" s="67">
        <f>IFERROR(VLOOKUP(B2244,DADOS!$A$2:$H$252,8,0),"")</f>
        <v>100</v>
      </c>
      <c r="H2244" s="22">
        <v>77.0</v>
      </c>
      <c r="I2244" s="23">
        <f>IFERROR(VLOOKUP(B2244,DADOS!$A$2:$H$252,4,0)*H2244,"")</f>
        <v>2.2278256</v>
      </c>
      <c r="J2244" s="36"/>
      <c r="K2244" s="25">
        <f>IFERROR(VLOOKUP(B2244,DADOS!$A$2:$H$252,4,0)*J2244,"")</f>
        <v>0</v>
      </c>
      <c r="L2244" s="26">
        <f t="shared" si="23"/>
        <v>0</v>
      </c>
      <c r="M2244" s="27"/>
      <c r="N2244" s="30"/>
      <c r="O2244" s="28"/>
      <c r="P2244" s="28"/>
      <c r="Q2244" s="28"/>
      <c r="R2244" s="28"/>
      <c r="S2244" s="28"/>
    </row>
    <row r="2245">
      <c r="A2245" s="17">
        <v>46112.0</v>
      </c>
      <c r="B2245" s="18" t="s">
        <v>31</v>
      </c>
      <c r="C2245" s="18" t="s">
        <v>166</v>
      </c>
      <c r="D2245" s="19"/>
      <c r="E2245" s="19"/>
      <c r="F2245" s="20">
        <f t="shared" si="24"/>
        <v>0</v>
      </c>
      <c r="G2245" s="67">
        <f>IFERROR(VLOOKUP(B2245,DADOS!$A$2:$H$252,8,0),"")</f>
        <v>10</v>
      </c>
      <c r="H2245" s="22">
        <v>39.0</v>
      </c>
      <c r="I2245" s="23">
        <f>IFERROR(VLOOKUP(B2245,DADOS!$A$2:$H$252,4,0)*H2245,"")</f>
        <v>5.2880256</v>
      </c>
      <c r="J2245" s="36"/>
      <c r="K2245" s="25">
        <f>IFERROR(VLOOKUP(B2245,DADOS!$A$2:$H$252,4,0)*J2245,"")</f>
        <v>0</v>
      </c>
      <c r="L2245" s="26">
        <f t="shared" si="23"/>
        <v>0</v>
      </c>
      <c r="M2245" s="27"/>
      <c r="N2245" s="30"/>
      <c r="O2245" s="28"/>
      <c r="P2245" s="28"/>
      <c r="Q2245" s="28"/>
      <c r="R2245" s="28"/>
      <c r="S2245" s="28"/>
    </row>
    <row r="2246">
      <c r="A2246" s="17">
        <v>46112.0</v>
      </c>
      <c r="B2246" s="18" t="s">
        <v>222</v>
      </c>
      <c r="C2246" s="18" t="s">
        <v>65</v>
      </c>
      <c r="D2246" s="101"/>
      <c r="E2246" s="101"/>
      <c r="F2246" s="20">
        <f t="shared" si="24"/>
        <v>0</v>
      </c>
      <c r="G2246" s="67">
        <f>IFERROR(VLOOKUP(B2246,DADOS!$A$2:$H$252,8,0),"")</f>
        <v>100</v>
      </c>
      <c r="H2246" s="22">
        <v>163.0</v>
      </c>
      <c r="I2246" s="23">
        <f>IFERROR(VLOOKUP(B2246,DADOS!$A$2:$H$252,4,0)*H2246,"")</f>
        <v>4.7160464</v>
      </c>
      <c r="J2246" s="36"/>
      <c r="K2246" s="25">
        <f>IFERROR(VLOOKUP(B2246,DADOS!$A$2:$H$252,4,0)*J2246,"")</f>
        <v>0</v>
      </c>
      <c r="L2246" s="26">
        <f t="shared" si="23"/>
        <v>0</v>
      </c>
      <c r="M2246" s="27"/>
      <c r="N2246" s="30"/>
      <c r="O2246" s="28"/>
      <c r="P2246" s="28"/>
      <c r="Q2246" s="28"/>
      <c r="R2246" s="28"/>
      <c r="S2246" s="28"/>
    </row>
    <row r="2247">
      <c r="A2247" s="17">
        <v>46112.0</v>
      </c>
      <c r="B2247" s="18" t="s">
        <v>125</v>
      </c>
      <c r="C2247" s="18" t="s">
        <v>165</v>
      </c>
      <c r="D2247" s="19"/>
      <c r="E2247" s="19"/>
      <c r="F2247" s="20">
        <f t="shared" si="24"/>
        <v>0</v>
      </c>
      <c r="G2247" s="67">
        <f>IFERROR(VLOOKUP(B2247,DADOS!$A$2:$H$252,8,0),"")</f>
        <v>12</v>
      </c>
      <c r="H2247" s="22">
        <v>20.0</v>
      </c>
      <c r="I2247" s="23">
        <f>IFERROR(VLOOKUP(B2247,DADOS!$A$2:$H$252,4,0)*H2247,"")</f>
        <v>3.691072</v>
      </c>
      <c r="J2247" s="24">
        <v>2.0</v>
      </c>
      <c r="K2247" s="25">
        <f>IFERROR(VLOOKUP(B2247,DADOS!$A$2:$H$252,4,0)*J2247,"")</f>
        <v>0.3691072</v>
      </c>
      <c r="L2247" s="26">
        <f t="shared" si="23"/>
        <v>0</v>
      </c>
      <c r="M2247" s="27"/>
      <c r="N2247" s="30"/>
      <c r="O2247" s="28"/>
      <c r="P2247" s="28"/>
      <c r="Q2247" s="28"/>
      <c r="R2247" s="28"/>
      <c r="S2247" s="28"/>
    </row>
    <row r="2248">
      <c r="A2248" s="17">
        <v>46112.0</v>
      </c>
      <c r="B2248" s="18" t="s">
        <v>55</v>
      </c>
      <c r="C2248" s="18" t="s">
        <v>65</v>
      </c>
      <c r="D2248" s="19"/>
      <c r="E2248" s="19"/>
      <c r="F2248" s="20">
        <f t="shared" si="24"/>
        <v>0</v>
      </c>
      <c r="G2248" s="67">
        <f>IFERROR(VLOOKUP(B2248,DADOS!$A$2:$H$252,8,0),"")</f>
        <v>60</v>
      </c>
      <c r="H2248" s="22">
        <v>54.0</v>
      </c>
      <c r="I2248" s="23">
        <f>IFERROR(VLOOKUP(B2248,DADOS!$A$2:$H$252,4,0)*H2248,"")</f>
        <v>0.92448</v>
      </c>
      <c r="J2248" s="36"/>
      <c r="K2248" s="25">
        <f>IFERROR(VLOOKUP(B2248,DADOS!$A$2:$H$252,4,0)*J2248,"")</f>
        <v>0</v>
      </c>
      <c r="L2248" s="26">
        <f t="shared" si="23"/>
        <v>0</v>
      </c>
      <c r="M2248" s="27"/>
      <c r="N2248" s="30"/>
      <c r="O2248" s="28"/>
      <c r="P2248" s="28"/>
      <c r="Q2248" s="28"/>
      <c r="R2248" s="28"/>
      <c r="S2248" s="28"/>
    </row>
    <row r="2249">
      <c r="A2249" s="17">
        <v>46112.0</v>
      </c>
      <c r="B2249" s="18" t="s">
        <v>197</v>
      </c>
      <c r="C2249" s="18" t="s">
        <v>165</v>
      </c>
      <c r="D2249" s="19"/>
      <c r="E2249" s="19"/>
      <c r="F2249" s="20">
        <f t="shared" si="24"/>
        <v>0</v>
      </c>
      <c r="G2249" s="67">
        <f>IFERROR(VLOOKUP(B2249,DADOS!$A$2:$H$252,8,0),"")</f>
        <v>15</v>
      </c>
      <c r="H2249" s="22">
        <v>69.0</v>
      </c>
      <c r="I2249" s="23">
        <f>IFERROR(VLOOKUP(B2249,DADOS!$A$2:$H$252,4,0)*H2249,"")</f>
        <v>7.811214</v>
      </c>
      <c r="J2249" s="24">
        <v>1.0</v>
      </c>
      <c r="K2249" s="25">
        <f>IFERROR(VLOOKUP(B2249,DADOS!$A$2:$H$252,4,0)*J2249,"")</f>
        <v>0.113206</v>
      </c>
      <c r="L2249" s="26">
        <f t="shared" si="23"/>
        <v>0</v>
      </c>
      <c r="M2249" s="27"/>
      <c r="N2249" s="30"/>
      <c r="O2249" s="28"/>
      <c r="P2249" s="28"/>
      <c r="Q2249" s="28"/>
      <c r="R2249" s="28"/>
      <c r="S2249" s="28"/>
    </row>
    <row r="2250">
      <c r="A2250" s="17">
        <v>46113.0</v>
      </c>
      <c r="B2250" s="18" t="s">
        <v>21</v>
      </c>
      <c r="C2250" s="18" t="s">
        <v>166</v>
      </c>
      <c r="D2250" s="19">
        <v>0.3402777777777778</v>
      </c>
      <c r="E2250" s="19">
        <v>0.4895833333333333</v>
      </c>
      <c r="F2250" s="20">
        <f t="shared" si="24"/>
        <v>0.1493055556</v>
      </c>
      <c r="G2250" s="67">
        <f>IFERROR(VLOOKUP(B2250,DADOS!$A$2:$H$252,8,0),"")</f>
        <v>33</v>
      </c>
      <c r="H2250" s="22">
        <v>40.0</v>
      </c>
      <c r="I2250" s="23">
        <f>IFERROR(VLOOKUP(B2250,DADOS!$A$2:$H$252,4,0)*H2250,"")</f>
        <v>4.557344</v>
      </c>
      <c r="J2250" s="36"/>
      <c r="K2250" s="25">
        <f>IFERROR(VLOOKUP(B2250,DADOS!$A$2:$H$252,4,0)*J2250,"")</f>
        <v>0</v>
      </c>
      <c r="L2250" s="26">
        <f t="shared" si="23"/>
        <v>0</v>
      </c>
      <c r="M2250" s="27"/>
      <c r="N2250" s="30"/>
      <c r="O2250" s="28"/>
      <c r="P2250" s="28"/>
      <c r="Q2250" s="28"/>
      <c r="R2250" s="28"/>
      <c r="S2250" s="28"/>
    </row>
    <row r="2251">
      <c r="A2251" s="17">
        <v>46113.0</v>
      </c>
      <c r="B2251" s="18" t="s">
        <v>211</v>
      </c>
      <c r="C2251" s="18" t="s">
        <v>65</v>
      </c>
      <c r="D2251" s="19"/>
      <c r="E2251" s="19"/>
      <c r="F2251" s="20">
        <f t="shared" si="24"/>
        <v>0</v>
      </c>
      <c r="G2251" s="67">
        <f>IFERROR(VLOOKUP(B2251,DADOS!$A$2:$H$252,8,0),"")</f>
        <v>50</v>
      </c>
      <c r="H2251" s="22">
        <v>75.0</v>
      </c>
      <c r="I2251" s="23">
        <f>IFERROR(VLOOKUP(B2251,DADOS!$A$2:$H$252,4,0)*H2251,"")</f>
        <v>2.16996</v>
      </c>
      <c r="J2251" s="36"/>
      <c r="K2251" s="25">
        <f>IFERROR(VLOOKUP(B2251,DADOS!$A$2:$H$252,4,0)*J2251,"")</f>
        <v>0</v>
      </c>
      <c r="L2251" s="26">
        <f t="shared" si="23"/>
        <v>0</v>
      </c>
      <c r="M2251" s="27"/>
      <c r="N2251" s="30"/>
      <c r="O2251" s="28"/>
      <c r="P2251" s="28"/>
      <c r="Q2251" s="28"/>
      <c r="R2251" s="28"/>
      <c r="S2251" s="28"/>
    </row>
    <row r="2252">
      <c r="A2252" s="17">
        <v>46113.0</v>
      </c>
      <c r="B2252" s="18" t="s">
        <v>55</v>
      </c>
      <c r="C2252" s="18" t="s">
        <v>65</v>
      </c>
      <c r="D2252" s="19"/>
      <c r="E2252" s="19"/>
      <c r="F2252" s="20">
        <f t="shared" si="24"/>
        <v>0</v>
      </c>
      <c r="G2252" s="67">
        <f>IFERROR(VLOOKUP(B2252,DADOS!$A$2:$H$252,8,0),"")</f>
        <v>60</v>
      </c>
      <c r="H2252" s="22">
        <v>72.0</v>
      </c>
      <c r="I2252" s="23">
        <f>IFERROR(VLOOKUP(B2252,DADOS!$A$2:$H$252,4,0)*H2252,"")</f>
        <v>1.23264</v>
      </c>
      <c r="J2252" s="36"/>
      <c r="K2252" s="25">
        <f>IFERROR(VLOOKUP(B2252,DADOS!$A$2:$H$252,4,0)*J2252,"")</f>
        <v>0</v>
      </c>
      <c r="L2252" s="26">
        <f t="shared" si="23"/>
        <v>0</v>
      </c>
      <c r="M2252" s="27"/>
      <c r="N2252" s="30"/>
      <c r="O2252" s="28"/>
      <c r="P2252" s="28"/>
      <c r="Q2252" s="28"/>
      <c r="R2252" s="28"/>
      <c r="S2252" s="28"/>
    </row>
    <row r="2253">
      <c r="A2253" s="17">
        <v>46114.0</v>
      </c>
      <c r="B2253" s="18" t="s">
        <v>211</v>
      </c>
      <c r="C2253" s="18" t="s">
        <v>65</v>
      </c>
      <c r="D2253" s="19"/>
      <c r="E2253" s="19"/>
      <c r="F2253" s="20">
        <f t="shared" si="24"/>
        <v>0</v>
      </c>
      <c r="G2253" s="67">
        <f>IFERROR(VLOOKUP(B2253,DADOS!$A$2:$H$252,8,0),"")</f>
        <v>50</v>
      </c>
      <c r="H2253" s="22">
        <v>124.0</v>
      </c>
      <c r="I2253" s="23">
        <f>IFERROR(VLOOKUP(B2253,DADOS!$A$2:$H$252,4,0)*H2253,"")</f>
        <v>3.5876672</v>
      </c>
      <c r="J2253" s="36"/>
      <c r="K2253" s="25">
        <f>IFERROR(VLOOKUP(B2253,DADOS!$A$2:$H$252,4,0)*J2253,"")</f>
        <v>0</v>
      </c>
      <c r="L2253" s="26">
        <f t="shared" si="23"/>
        <v>0</v>
      </c>
      <c r="M2253" s="27"/>
      <c r="N2253" s="30"/>
      <c r="O2253" s="28"/>
      <c r="P2253" s="28"/>
      <c r="Q2253" s="28"/>
      <c r="R2253" s="28"/>
      <c r="S2253" s="28"/>
    </row>
    <row r="2254">
      <c r="A2254" s="17">
        <v>46114.0</v>
      </c>
      <c r="B2254" s="18" t="s">
        <v>101</v>
      </c>
      <c r="C2254" s="18" t="s">
        <v>19</v>
      </c>
      <c r="D2254" s="19"/>
      <c r="E2254" s="19"/>
      <c r="F2254" s="20">
        <f t="shared" si="24"/>
        <v>0</v>
      </c>
      <c r="G2254" s="67" t="str">
        <f>IFERROR(VLOOKUP(B2254,DADOS!$A$2:$H$252,8,0),"")</f>
        <v/>
      </c>
      <c r="H2254" s="22">
        <v>42.0</v>
      </c>
      <c r="I2254" s="23">
        <f>IFERROR(VLOOKUP(B2254,DADOS!$A$2:$H$252,4,0)*H2254,"")</f>
        <v>6.6834768</v>
      </c>
      <c r="J2254" s="24">
        <v>8.0</v>
      </c>
      <c r="K2254" s="25">
        <f>IFERROR(VLOOKUP(B2254,DADOS!$A$2:$H$252,4,0)*J2254,"")</f>
        <v>1.2730432</v>
      </c>
      <c r="L2254" s="26">
        <f t="shared" si="23"/>
        <v>0</v>
      </c>
      <c r="M2254" s="27"/>
      <c r="N2254" s="30"/>
      <c r="O2254" s="28"/>
      <c r="P2254" s="28"/>
      <c r="Q2254" s="28"/>
      <c r="R2254" s="28"/>
      <c r="S2254" s="28"/>
    </row>
    <row r="2255">
      <c r="A2255" s="17">
        <v>46114.0</v>
      </c>
      <c r="B2255" s="18" t="s">
        <v>71</v>
      </c>
      <c r="C2255" s="18" t="s">
        <v>166</v>
      </c>
      <c r="D2255" s="19"/>
      <c r="E2255" s="19"/>
      <c r="F2255" s="20">
        <f t="shared" si="24"/>
        <v>0</v>
      </c>
      <c r="G2255" s="67">
        <f>IFERROR(VLOOKUP(B2255,DADOS!$A$2:$H$252,8,0),"")</f>
        <v>7</v>
      </c>
      <c r="H2255" s="22">
        <v>10.0</v>
      </c>
      <c r="I2255" s="23">
        <f>IFERROR(VLOOKUP(B2255,DADOS!$A$2:$H$252,4,0)*H2255,"")</f>
        <v>14.024062</v>
      </c>
      <c r="J2255" s="36"/>
      <c r="K2255" s="25">
        <f>IFERROR(VLOOKUP(B2255,DADOS!$A$2:$H$252,4,0)*J2255,"")</f>
        <v>0</v>
      </c>
      <c r="L2255" s="26">
        <f t="shared" si="23"/>
        <v>0</v>
      </c>
      <c r="M2255" s="27"/>
      <c r="N2255" s="30"/>
      <c r="O2255" s="28"/>
      <c r="P2255" s="28"/>
      <c r="Q2255" s="28"/>
      <c r="R2255" s="28"/>
      <c r="S2255" s="28"/>
    </row>
    <row r="2256">
      <c r="A2256" s="17">
        <v>46114.0</v>
      </c>
      <c r="B2256" s="18" t="s">
        <v>159</v>
      </c>
      <c r="C2256" s="18" t="s">
        <v>166</v>
      </c>
      <c r="D2256" s="19"/>
      <c r="E2256" s="19"/>
      <c r="F2256" s="20">
        <f t="shared" si="24"/>
        <v>0</v>
      </c>
      <c r="G2256" s="67">
        <f>IFERROR(VLOOKUP(B2256,DADOS!$A$2:$H$252,8,0),"")</f>
        <v>8</v>
      </c>
      <c r="H2256" s="22">
        <v>9.0</v>
      </c>
      <c r="I2256" s="23">
        <f>IFERROR(VLOOKUP(B2256,DADOS!$A$2:$H$252,4,0)*H2256,"")</f>
        <v>13.3427502</v>
      </c>
      <c r="J2256" s="36"/>
      <c r="K2256" s="25">
        <f>IFERROR(VLOOKUP(B2256,DADOS!$A$2:$H$252,4,0)*J2256,"")</f>
        <v>0</v>
      </c>
      <c r="L2256" s="26">
        <f t="shared" si="23"/>
        <v>0</v>
      </c>
      <c r="M2256" s="27"/>
      <c r="N2256" s="30"/>
      <c r="O2256" s="28"/>
      <c r="P2256" s="28"/>
      <c r="Q2256" s="28"/>
      <c r="R2256" s="28"/>
      <c r="S2256" s="28"/>
    </row>
    <row r="2257">
      <c r="A2257" s="43">
        <v>46118.0</v>
      </c>
      <c r="B2257" s="44" t="s">
        <v>96</v>
      </c>
      <c r="C2257" s="44"/>
      <c r="D2257" s="45"/>
      <c r="E2257" s="45"/>
      <c r="F2257" s="102">
        <f t="shared" si="24"/>
        <v>0</v>
      </c>
      <c r="G2257" s="46">
        <f>IFERROR(VLOOKUP(B2257,DADOS!$A$2:$H$252,8,0),"")</f>
        <v>27</v>
      </c>
      <c r="H2257" s="46">
        <v>1.0</v>
      </c>
      <c r="I2257" s="48">
        <f>IFERROR(VLOOKUP(B2257,DADOS!$A$2:$H$252,4,0)*H2257,"")</f>
        <v>0.09416</v>
      </c>
      <c r="J2257" s="47"/>
      <c r="K2257" s="49">
        <f>IFERROR(VLOOKUP(B2257,DADOS!$A$2:$H$252,4,0)*J2257,"")</f>
        <v>0</v>
      </c>
      <c r="L2257" s="50">
        <f t="shared" si="23"/>
        <v>0</v>
      </c>
      <c r="M2257" s="33" t="s">
        <v>83</v>
      </c>
      <c r="N2257" s="33" t="s">
        <v>88</v>
      </c>
      <c r="O2257" s="63"/>
      <c r="P2257" s="63"/>
      <c r="Q2257" s="63"/>
      <c r="R2257" s="63"/>
      <c r="S2257" s="63"/>
      <c r="T2257" s="64"/>
      <c r="U2257" s="64"/>
      <c r="V2257" s="64"/>
      <c r="W2257" s="64"/>
      <c r="X2257" s="64"/>
      <c r="Y2257" s="64"/>
      <c r="Z2257" s="64"/>
      <c r="AA2257" s="64"/>
      <c r="AB2257" s="64"/>
      <c r="AC2257" s="64"/>
      <c r="AD2257" s="64"/>
      <c r="AE2257" s="64"/>
      <c r="AF2257" s="64"/>
      <c r="AG2257" s="64"/>
      <c r="AH2257" s="64"/>
      <c r="AI2257" s="64"/>
      <c r="AJ2257" s="64"/>
    </row>
    <row r="2258">
      <c r="A2258" s="43">
        <v>46118.0</v>
      </c>
      <c r="B2258" s="44" t="s">
        <v>24</v>
      </c>
      <c r="C2258" s="44"/>
      <c r="D2258" s="45"/>
      <c r="E2258" s="45"/>
      <c r="F2258" s="102">
        <f t="shared" si="24"/>
        <v>0</v>
      </c>
      <c r="G2258" s="46">
        <f>IFERROR(VLOOKUP(B2258,DADOS!$A$2:$H$252,8,0),"")</f>
        <v>37</v>
      </c>
      <c r="H2258" s="46">
        <v>1.0</v>
      </c>
      <c r="I2258" s="48">
        <f>IFERROR(VLOOKUP(B2258,DADOS!$A$2:$H$252,4,0)*H2258,"")</f>
        <v>0.1139336</v>
      </c>
      <c r="J2258" s="47"/>
      <c r="K2258" s="49">
        <f>IFERROR(VLOOKUP(B2258,DADOS!$A$2:$H$252,4,0)*J2258,"")</f>
        <v>0</v>
      </c>
      <c r="L2258" s="50">
        <f t="shared" si="23"/>
        <v>0</v>
      </c>
      <c r="M2258" s="33" t="s">
        <v>83</v>
      </c>
      <c r="N2258" s="33" t="s">
        <v>88</v>
      </c>
      <c r="O2258" s="63"/>
      <c r="P2258" s="63"/>
      <c r="Q2258" s="63"/>
      <c r="R2258" s="63"/>
      <c r="S2258" s="63"/>
      <c r="T2258" s="64"/>
      <c r="U2258" s="64"/>
      <c r="V2258" s="64"/>
      <c r="W2258" s="64"/>
      <c r="X2258" s="64"/>
      <c r="Y2258" s="64"/>
      <c r="Z2258" s="64"/>
      <c r="AA2258" s="64"/>
      <c r="AB2258" s="64"/>
      <c r="AC2258" s="64"/>
      <c r="AD2258" s="64"/>
      <c r="AE2258" s="64"/>
      <c r="AF2258" s="64"/>
      <c r="AG2258" s="64"/>
      <c r="AH2258" s="64"/>
      <c r="AI2258" s="64"/>
      <c r="AJ2258" s="64"/>
    </row>
    <row r="2259">
      <c r="A2259" s="43">
        <v>46118.0</v>
      </c>
      <c r="B2259" s="44" t="s">
        <v>117</v>
      </c>
      <c r="C2259" s="44"/>
      <c r="D2259" s="45"/>
      <c r="E2259" s="45"/>
      <c r="F2259" s="102">
        <f t="shared" si="24"/>
        <v>0</v>
      </c>
      <c r="G2259" s="46">
        <f>IFERROR(VLOOKUP(B2259,DADOS!$A$2:$H$252,8,0),"")</f>
        <v>12</v>
      </c>
      <c r="H2259" s="46">
        <v>1.0</v>
      </c>
      <c r="I2259" s="48">
        <f>IFERROR(VLOOKUP(B2259,DADOS!$A$2:$H$252,4,0)*H2259,"")</f>
        <v>0.2181088</v>
      </c>
      <c r="J2259" s="47"/>
      <c r="K2259" s="49">
        <f>IFERROR(VLOOKUP(B2259,DADOS!$A$2:$H$252,4,0)*J2259,"")</f>
        <v>0</v>
      </c>
      <c r="L2259" s="50">
        <f t="shared" si="23"/>
        <v>0</v>
      </c>
      <c r="M2259" s="33" t="s">
        <v>83</v>
      </c>
      <c r="N2259" s="33" t="s">
        <v>88</v>
      </c>
      <c r="O2259" s="63"/>
      <c r="P2259" s="63"/>
      <c r="Q2259" s="63"/>
      <c r="R2259" s="63"/>
      <c r="S2259" s="63"/>
      <c r="T2259" s="64"/>
      <c r="U2259" s="64"/>
      <c r="V2259" s="64"/>
      <c r="W2259" s="64"/>
      <c r="X2259" s="64"/>
      <c r="Y2259" s="64"/>
      <c r="Z2259" s="64"/>
      <c r="AA2259" s="64"/>
      <c r="AB2259" s="64"/>
      <c r="AC2259" s="64"/>
      <c r="AD2259" s="64"/>
      <c r="AE2259" s="64"/>
      <c r="AF2259" s="64"/>
      <c r="AG2259" s="64"/>
      <c r="AH2259" s="64"/>
      <c r="AI2259" s="64"/>
      <c r="AJ2259" s="64"/>
    </row>
    <row r="2260">
      <c r="A2260" s="43">
        <v>46118.0</v>
      </c>
      <c r="B2260" s="44" t="s">
        <v>48</v>
      </c>
      <c r="C2260" s="44"/>
      <c r="D2260" s="45"/>
      <c r="E2260" s="45"/>
      <c r="F2260" s="102">
        <f t="shared" si="24"/>
        <v>0</v>
      </c>
      <c r="G2260" s="46">
        <f>IFERROR(VLOOKUP(B2260,DADOS!$A$2:$H$252,8,0),"")</f>
        <v>6</v>
      </c>
      <c r="H2260" s="46">
        <v>4.0</v>
      </c>
      <c r="I2260" s="48">
        <f>IFERROR(VLOOKUP(B2260,DADOS!$A$2:$H$252,4,0)*H2260,"")</f>
        <v>0.4557344</v>
      </c>
      <c r="J2260" s="47"/>
      <c r="K2260" s="49">
        <f>IFERROR(VLOOKUP(B2260,DADOS!$A$2:$H$252,4,0)*J2260,"")</f>
        <v>0</v>
      </c>
      <c r="L2260" s="50">
        <f t="shared" si="23"/>
        <v>0</v>
      </c>
      <c r="M2260" s="33" t="s">
        <v>39</v>
      </c>
      <c r="N2260" s="33" t="s">
        <v>86</v>
      </c>
      <c r="O2260" s="63"/>
      <c r="P2260" s="63"/>
      <c r="Q2260" s="63"/>
      <c r="R2260" s="63"/>
      <c r="S2260" s="63"/>
      <c r="T2260" s="64"/>
      <c r="U2260" s="64"/>
      <c r="V2260" s="64"/>
      <c r="W2260" s="64"/>
      <c r="X2260" s="64"/>
      <c r="Y2260" s="64"/>
      <c r="Z2260" s="64"/>
      <c r="AA2260" s="64"/>
      <c r="AB2260" s="64"/>
      <c r="AC2260" s="64"/>
      <c r="AD2260" s="64"/>
      <c r="AE2260" s="64"/>
      <c r="AF2260" s="64"/>
      <c r="AG2260" s="64"/>
      <c r="AH2260" s="64"/>
      <c r="AI2260" s="64"/>
      <c r="AJ2260" s="64"/>
    </row>
    <row r="2261">
      <c r="A2261" s="43">
        <v>46118.0</v>
      </c>
      <c r="B2261" s="44" t="s">
        <v>51</v>
      </c>
      <c r="C2261" s="44"/>
      <c r="D2261" s="45"/>
      <c r="E2261" s="45"/>
      <c r="F2261" s="102">
        <f t="shared" si="24"/>
        <v>0</v>
      </c>
      <c r="G2261" s="46">
        <f>IFERROR(VLOOKUP(B2261,DADOS!$A$2:$H$252,8,0),"")</f>
        <v>28</v>
      </c>
      <c r="H2261" s="46">
        <v>2.0</v>
      </c>
      <c r="I2261" s="48">
        <f>IFERROR(VLOOKUP(B2261,DADOS!$A$2:$H$252,4,0)*H2261,"")</f>
        <v>0.2278672</v>
      </c>
      <c r="J2261" s="47"/>
      <c r="K2261" s="49">
        <f>IFERROR(VLOOKUP(B2261,DADOS!$A$2:$H$252,4,0)*J2261,"")</f>
        <v>0</v>
      </c>
      <c r="L2261" s="50">
        <f t="shared" si="23"/>
        <v>0</v>
      </c>
      <c r="M2261" s="33" t="s">
        <v>39</v>
      </c>
      <c r="N2261" s="33" t="s">
        <v>86</v>
      </c>
      <c r="O2261" s="63"/>
      <c r="P2261" s="63"/>
      <c r="Q2261" s="63"/>
      <c r="R2261" s="63"/>
      <c r="S2261" s="63"/>
      <c r="T2261" s="64"/>
      <c r="U2261" s="64"/>
      <c r="V2261" s="64"/>
      <c r="W2261" s="64"/>
      <c r="X2261" s="64"/>
      <c r="Y2261" s="64"/>
      <c r="Z2261" s="64"/>
      <c r="AA2261" s="64"/>
      <c r="AB2261" s="64"/>
      <c r="AC2261" s="64"/>
      <c r="AD2261" s="64"/>
      <c r="AE2261" s="64"/>
      <c r="AF2261" s="64"/>
      <c r="AG2261" s="64"/>
      <c r="AH2261" s="64"/>
      <c r="AI2261" s="64"/>
      <c r="AJ2261" s="64"/>
    </row>
    <row r="2262">
      <c r="A2262" s="43">
        <v>46118.0</v>
      </c>
      <c r="B2262" s="44" t="s">
        <v>51</v>
      </c>
      <c r="C2262" s="44"/>
      <c r="D2262" s="45"/>
      <c r="E2262" s="45"/>
      <c r="F2262" s="102">
        <f t="shared" si="24"/>
        <v>0</v>
      </c>
      <c r="G2262" s="46">
        <f>IFERROR(VLOOKUP(B2262,DADOS!$A$2:$H$252,8,0),"")</f>
        <v>28</v>
      </c>
      <c r="H2262" s="46">
        <v>1.0</v>
      </c>
      <c r="I2262" s="48">
        <f>IFERROR(VLOOKUP(B2262,DADOS!$A$2:$H$252,4,0)*H2262,"")</f>
        <v>0.1139336</v>
      </c>
      <c r="J2262" s="47"/>
      <c r="K2262" s="49">
        <f>IFERROR(VLOOKUP(B2262,DADOS!$A$2:$H$252,4,0)*J2262,"")</f>
        <v>0</v>
      </c>
      <c r="L2262" s="50">
        <f t="shared" si="23"/>
        <v>0</v>
      </c>
      <c r="M2262" s="33" t="s">
        <v>83</v>
      </c>
      <c r="N2262" s="33" t="s">
        <v>88</v>
      </c>
      <c r="O2262" s="63"/>
      <c r="P2262" s="63"/>
      <c r="Q2262" s="63"/>
      <c r="R2262" s="63"/>
      <c r="S2262" s="63"/>
      <c r="T2262" s="64"/>
      <c r="U2262" s="64"/>
      <c r="V2262" s="64"/>
      <c r="W2262" s="64"/>
      <c r="X2262" s="64"/>
      <c r="Y2262" s="64"/>
      <c r="Z2262" s="64"/>
      <c r="AA2262" s="64"/>
      <c r="AB2262" s="64"/>
      <c r="AC2262" s="64"/>
      <c r="AD2262" s="64"/>
      <c r="AE2262" s="64"/>
      <c r="AF2262" s="64"/>
      <c r="AG2262" s="64"/>
      <c r="AH2262" s="64"/>
      <c r="AI2262" s="64"/>
      <c r="AJ2262" s="64"/>
    </row>
    <row r="2263">
      <c r="A2263" s="43">
        <v>46118.0</v>
      </c>
      <c r="B2263" s="44" t="s">
        <v>47</v>
      </c>
      <c r="C2263" s="44"/>
      <c r="D2263" s="45"/>
      <c r="E2263" s="45"/>
      <c r="F2263" s="102">
        <f t="shared" si="24"/>
        <v>0</v>
      </c>
      <c r="G2263" s="46">
        <f>IFERROR(VLOOKUP(B2263,DADOS!$A$2:$H$252,8,0),"")</f>
        <v>35</v>
      </c>
      <c r="H2263" s="46">
        <v>1.0</v>
      </c>
      <c r="I2263" s="48">
        <f>IFERROR(VLOOKUP(B2263,DADOS!$A$2:$H$252,4,0)*H2263,"")</f>
        <v>0.1139336</v>
      </c>
      <c r="J2263" s="47"/>
      <c r="K2263" s="49">
        <f>IFERROR(VLOOKUP(B2263,DADOS!$A$2:$H$252,4,0)*J2263,"")</f>
        <v>0</v>
      </c>
      <c r="L2263" s="50">
        <f t="shared" si="23"/>
        <v>0</v>
      </c>
      <c r="M2263" s="33" t="s">
        <v>39</v>
      </c>
      <c r="N2263" s="33" t="s">
        <v>89</v>
      </c>
      <c r="O2263" s="63"/>
      <c r="P2263" s="63"/>
      <c r="Q2263" s="63"/>
      <c r="R2263" s="63"/>
      <c r="S2263" s="63"/>
      <c r="T2263" s="64"/>
      <c r="U2263" s="64"/>
      <c r="V2263" s="64"/>
      <c r="W2263" s="64"/>
      <c r="X2263" s="64"/>
      <c r="Y2263" s="64"/>
      <c r="Z2263" s="64"/>
      <c r="AA2263" s="64"/>
      <c r="AB2263" s="64"/>
      <c r="AC2263" s="64"/>
      <c r="AD2263" s="64"/>
      <c r="AE2263" s="64"/>
      <c r="AF2263" s="64"/>
      <c r="AG2263" s="64"/>
      <c r="AH2263" s="64"/>
      <c r="AI2263" s="64"/>
      <c r="AJ2263" s="64"/>
    </row>
    <row r="2264">
      <c r="A2264" s="43">
        <v>46118.0</v>
      </c>
      <c r="B2264" s="44" t="s">
        <v>223</v>
      </c>
      <c r="C2264" s="44"/>
      <c r="D2264" s="45"/>
      <c r="E2264" s="45"/>
      <c r="F2264" s="102">
        <f t="shared" si="24"/>
        <v>0</v>
      </c>
      <c r="G2264" s="46" t="str">
        <f>IFERROR(VLOOKUP(B2264,DADOS!$A$2:$H$252,8,0),"")</f>
        <v/>
      </c>
      <c r="H2264" s="46">
        <v>1.0</v>
      </c>
      <c r="I2264" s="48">
        <f>IFERROR(VLOOKUP(B2264,DADOS!$A$2:$H$252,4,0)*H2264,"")</f>
        <v>0</v>
      </c>
      <c r="J2264" s="47"/>
      <c r="K2264" s="49">
        <f>IFERROR(VLOOKUP(B2264,DADOS!$A$2:$H$252,4,0)*J2264,"")</f>
        <v>0</v>
      </c>
      <c r="L2264" s="50" t="str">
        <f t="shared" si="23"/>
        <v/>
      </c>
      <c r="M2264" s="33" t="s">
        <v>83</v>
      </c>
      <c r="N2264" s="33" t="s">
        <v>88</v>
      </c>
      <c r="O2264" s="63"/>
      <c r="P2264" s="63"/>
      <c r="Q2264" s="63"/>
      <c r="R2264" s="63"/>
      <c r="S2264" s="63"/>
      <c r="T2264" s="64"/>
      <c r="U2264" s="64"/>
      <c r="V2264" s="64"/>
      <c r="W2264" s="64"/>
      <c r="X2264" s="64"/>
      <c r="Y2264" s="64"/>
      <c r="Z2264" s="64"/>
      <c r="AA2264" s="64"/>
      <c r="AB2264" s="64"/>
      <c r="AC2264" s="64"/>
      <c r="AD2264" s="64"/>
      <c r="AE2264" s="64"/>
      <c r="AF2264" s="64"/>
      <c r="AG2264" s="64"/>
      <c r="AH2264" s="64"/>
      <c r="AI2264" s="64"/>
      <c r="AJ2264" s="64"/>
    </row>
    <row r="2265">
      <c r="A2265" s="43">
        <v>46118.0</v>
      </c>
      <c r="B2265" s="44" t="s">
        <v>75</v>
      </c>
      <c r="C2265" s="44"/>
      <c r="D2265" s="45"/>
      <c r="E2265" s="45"/>
      <c r="F2265" s="102">
        <f t="shared" si="24"/>
        <v>0</v>
      </c>
      <c r="G2265" s="46">
        <f>IFERROR(VLOOKUP(B2265,DADOS!$A$2:$H$252,8,0),"")</f>
        <v>23</v>
      </c>
      <c r="H2265" s="46">
        <v>4.0</v>
      </c>
      <c r="I2265" s="48">
        <f>IFERROR(VLOOKUP(B2265,DADOS!$A$2:$H$252,4,0)*H2265,"")</f>
        <v>0.4557344</v>
      </c>
      <c r="J2265" s="47"/>
      <c r="K2265" s="49">
        <f>IFERROR(VLOOKUP(B2265,DADOS!$A$2:$H$252,4,0)*J2265,"")</f>
        <v>0</v>
      </c>
      <c r="L2265" s="50">
        <f t="shared" si="23"/>
        <v>0</v>
      </c>
      <c r="M2265" s="33" t="s">
        <v>83</v>
      </c>
      <c r="N2265" s="33" t="s">
        <v>88</v>
      </c>
      <c r="O2265" s="63"/>
      <c r="P2265" s="63"/>
      <c r="Q2265" s="63"/>
      <c r="R2265" s="63"/>
      <c r="S2265" s="63"/>
      <c r="T2265" s="64"/>
      <c r="U2265" s="64"/>
      <c r="V2265" s="64"/>
      <c r="W2265" s="64"/>
      <c r="X2265" s="64"/>
      <c r="Y2265" s="64"/>
      <c r="Z2265" s="64"/>
      <c r="AA2265" s="64"/>
      <c r="AB2265" s="64"/>
      <c r="AC2265" s="64"/>
      <c r="AD2265" s="64"/>
      <c r="AE2265" s="64"/>
      <c r="AF2265" s="64"/>
      <c r="AG2265" s="64"/>
      <c r="AH2265" s="64"/>
      <c r="AI2265" s="64"/>
      <c r="AJ2265" s="64"/>
    </row>
    <row r="2266">
      <c r="A2266" s="43">
        <v>46118.0</v>
      </c>
      <c r="B2266" s="44" t="s">
        <v>18</v>
      </c>
      <c r="C2266" s="44"/>
      <c r="D2266" s="45"/>
      <c r="E2266" s="45"/>
      <c r="F2266" s="102">
        <f t="shared" si="24"/>
        <v>0</v>
      </c>
      <c r="G2266" s="46">
        <f>IFERROR(VLOOKUP(B2266,DADOS!$A$2:$H$252,8,0),"")</f>
        <v>21</v>
      </c>
      <c r="H2266" s="46">
        <v>2.0</v>
      </c>
      <c r="I2266" s="48">
        <f>IFERROR(VLOOKUP(B2266,DADOS!$A$2:$H$252,4,0)*H2266,"")</f>
        <v>0.585932</v>
      </c>
      <c r="J2266" s="47"/>
      <c r="K2266" s="49">
        <f>IFERROR(VLOOKUP(B2266,DADOS!$A$2:$H$252,4,0)*J2266,"")</f>
        <v>0</v>
      </c>
      <c r="L2266" s="50">
        <f t="shared" si="23"/>
        <v>0</v>
      </c>
      <c r="M2266" s="33" t="s">
        <v>83</v>
      </c>
      <c r="N2266" s="33" t="s">
        <v>88</v>
      </c>
      <c r="O2266" s="63"/>
      <c r="P2266" s="63"/>
      <c r="Q2266" s="63"/>
      <c r="R2266" s="63"/>
      <c r="S2266" s="63"/>
      <c r="T2266" s="64"/>
      <c r="U2266" s="64"/>
      <c r="V2266" s="64"/>
      <c r="W2266" s="64"/>
      <c r="X2266" s="64"/>
      <c r="Y2266" s="64"/>
      <c r="Z2266" s="64"/>
      <c r="AA2266" s="64"/>
      <c r="AB2266" s="64"/>
      <c r="AC2266" s="64"/>
      <c r="AD2266" s="64"/>
      <c r="AE2266" s="64"/>
      <c r="AF2266" s="64"/>
      <c r="AG2266" s="64"/>
      <c r="AH2266" s="64"/>
      <c r="AI2266" s="64"/>
      <c r="AJ2266" s="64"/>
    </row>
    <row r="2267">
      <c r="A2267" s="43">
        <v>46118.0</v>
      </c>
      <c r="B2267" s="44" t="s">
        <v>190</v>
      </c>
      <c r="C2267" s="44"/>
      <c r="D2267" s="45"/>
      <c r="E2267" s="45"/>
      <c r="F2267" s="102">
        <f t="shared" si="24"/>
        <v>0</v>
      </c>
      <c r="G2267" s="46">
        <f>IFERROR(VLOOKUP(B2267,DADOS!$A$2:$H$252,8,0),"")</f>
        <v>12</v>
      </c>
      <c r="H2267" s="46">
        <v>1.0</v>
      </c>
      <c r="I2267" s="48">
        <f>IFERROR(VLOOKUP(B2267,DADOS!$A$2:$H$252,4,0)*H2267,"")</f>
        <v>0.395686</v>
      </c>
      <c r="J2267" s="47"/>
      <c r="K2267" s="49">
        <f>IFERROR(VLOOKUP(B2267,DADOS!$A$2:$H$252,4,0)*J2267,"")</f>
        <v>0</v>
      </c>
      <c r="L2267" s="50">
        <f t="shared" si="23"/>
        <v>0</v>
      </c>
      <c r="M2267" s="33" t="s">
        <v>83</v>
      </c>
      <c r="N2267" s="33" t="s">
        <v>88</v>
      </c>
      <c r="O2267" s="63"/>
      <c r="P2267" s="63"/>
      <c r="Q2267" s="63"/>
      <c r="R2267" s="63"/>
      <c r="S2267" s="63"/>
      <c r="T2267" s="64"/>
      <c r="U2267" s="64"/>
      <c r="V2267" s="64"/>
      <c r="W2267" s="64"/>
      <c r="X2267" s="64"/>
      <c r="Y2267" s="64"/>
      <c r="Z2267" s="64"/>
      <c r="AA2267" s="64"/>
      <c r="AB2267" s="64"/>
      <c r="AC2267" s="64"/>
      <c r="AD2267" s="64"/>
      <c r="AE2267" s="64"/>
      <c r="AF2267" s="64"/>
      <c r="AG2267" s="64"/>
      <c r="AH2267" s="64"/>
      <c r="AI2267" s="64"/>
      <c r="AJ2267" s="64"/>
    </row>
    <row r="2268">
      <c r="A2268" s="43">
        <v>46118.0</v>
      </c>
      <c r="B2268" s="44" t="s">
        <v>135</v>
      </c>
      <c r="C2268" s="44"/>
      <c r="D2268" s="45"/>
      <c r="E2268" s="45"/>
      <c r="F2268" s="102">
        <f t="shared" si="24"/>
        <v>0</v>
      </c>
      <c r="G2268" s="46">
        <f>IFERROR(VLOOKUP(B2268,DADOS!$A$2:$H$252,8,0),"")</f>
        <v>18</v>
      </c>
      <c r="H2268" s="46">
        <v>1.0</v>
      </c>
      <c r="I2268" s="48">
        <f>IFERROR(VLOOKUP(B2268,DADOS!$A$2:$H$252,4,0)*H2268,"")</f>
        <v>0.325494</v>
      </c>
      <c r="J2268" s="47"/>
      <c r="K2268" s="49">
        <f>IFERROR(VLOOKUP(B2268,DADOS!$A$2:$H$252,4,0)*J2268,"")</f>
        <v>0</v>
      </c>
      <c r="L2268" s="50">
        <f t="shared" si="23"/>
        <v>0</v>
      </c>
      <c r="M2268" s="33" t="s">
        <v>110</v>
      </c>
      <c r="N2268" s="33"/>
      <c r="O2268" s="63"/>
      <c r="P2268" s="63"/>
      <c r="Q2268" s="63"/>
      <c r="R2268" s="63"/>
      <c r="S2268" s="63"/>
      <c r="T2268" s="64"/>
      <c r="U2268" s="64"/>
      <c r="V2268" s="64"/>
      <c r="W2268" s="64"/>
      <c r="X2268" s="64"/>
      <c r="Y2268" s="64"/>
      <c r="Z2268" s="64"/>
      <c r="AA2268" s="64"/>
      <c r="AB2268" s="64"/>
      <c r="AC2268" s="64"/>
      <c r="AD2268" s="64"/>
      <c r="AE2268" s="64"/>
      <c r="AF2268" s="64"/>
      <c r="AG2268" s="64"/>
      <c r="AH2268" s="64"/>
      <c r="AI2268" s="64"/>
      <c r="AJ2268" s="64"/>
    </row>
    <row r="2269">
      <c r="A2269" s="43">
        <v>46118.0</v>
      </c>
      <c r="B2269" s="44" t="s">
        <v>150</v>
      </c>
      <c r="C2269" s="44"/>
      <c r="D2269" s="45"/>
      <c r="E2269" s="45"/>
      <c r="F2269" s="102">
        <f t="shared" si="24"/>
        <v>0</v>
      </c>
      <c r="G2269" s="46">
        <f>IFERROR(VLOOKUP(B2269,DADOS!$A$2:$H$252,8,0),"")</f>
        <v>12</v>
      </c>
      <c r="H2269" s="46">
        <v>1.0</v>
      </c>
      <c r="I2269" s="48">
        <f>IFERROR(VLOOKUP(B2269,DADOS!$A$2:$H$252,4,0)*H2269,"")</f>
        <v>0.1716066</v>
      </c>
      <c r="J2269" s="47"/>
      <c r="K2269" s="49">
        <f>IFERROR(VLOOKUP(B2269,DADOS!$A$2:$H$252,4,0)*J2269,"")</f>
        <v>0</v>
      </c>
      <c r="L2269" s="50">
        <f t="shared" si="23"/>
        <v>0</v>
      </c>
      <c r="M2269" s="33" t="s">
        <v>39</v>
      </c>
      <c r="N2269" s="33" t="s">
        <v>111</v>
      </c>
      <c r="O2269" s="63"/>
      <c r="P2269" s="63"/>
      <c r="Q2269" s="63"/>
      <c r="R2269" s="63"/>
      <c r="S2269" s="63"/>
      <c r="T2269" s="64"/>
      <c r="U2269" s="64"/>
      <c r="V2269" s="64"/>
      <c r="W2269" s="64"/>
      <c r="X2269" s="64"/>
      <c r="Y2269" s="64"/>
      <c r="Z2269" s="64"/>
      <c r="AA2269" s="64"/>
      <c r="AB2269" s="64"/>
      <c r="AC2269" s="64"/>
      <c r="AD2269" s="64"/>
      <c r="AE2269" s="64"/>
      <c r="AF2269" s="64"/>
      <c r="AG2269" s="64"/>
      <c r="AH2269" s="64"/>
      <c r="AI2269" s="64"/>
      <c r="AJ2269" s="64"/>
    </row>
    <row r="2270">
      <c r="A2270" s="17">
        <v>46118.0</v>
      </c>
      <c r="B2270" s="18" t="s">
        <v>159</v>
      </c>
      <c r="C2270" s="18" t="s">
        <v>166</v>
      </c>
      <c r="D2270" s="19"/>
      <c r="E2270" s="19"/>
      <c r="F2270" s="20">
        <f t="shared" si="24"/>
        <v>0</v>
      </c>
      <c r="G2270" s="67">
        <f>IFERROR(VLOOKUP(B2270,DADOS!$A$2:$H$252,8,0),"")</f>
        <v>8</v>
      </c>
      <c r="H2270" s="22">
        <v>11.0</v>
      </c>
      <c r="I2270" s="23">
        <f>IFERROR(VLOOKUP(B2270,DADOS!$A$2:$H$252,4,0)*H2270,"")</f>
        <v>16.3078058</v>
      </c>
      <c r="J2270" s="36"/>
      <c r="K2270" s="25">
        <f>IFERROR(VLOOKUP(B2270,DADOS!$A$2:$H$252,4,0)*J2270,"")</f>
        <v>0</v>
      </c>
      <c r="L2270" s="26">
        <f t="shared" si="23"/>
        <v>0</v>
      </c>
      <c r="M2270" s="27"/>
      <c r="N2270" s="30"/>
      <c r="O2270" s="28"/>
      <c r="P2270" s="28"/>
      <c r="Q2270" s="28"/>
      <c r="R2270" s="28"/>
      <c r="S2270" s="28"/>
    </row>
    <row r="2271">
      <c r="A2271" s="17">
        <v>46118.0</v>
      </c>
      <c r="B2271" s="18" t="s">
        <v>58</v>
      </c>
      <c r="C2271" s="18" t="s">
        <v>166</v>
      </c>
      <c r="D2271" s="19"/>
      <c r="E2271" s="19"/>
      <c r="F2271" s="20">
        <f t="shared" si="24"/>
        <v>0</v>
      </c>
      <c r="G2271" s="67">
        <f>IFERROR(VLOOKUP(B2271,DADOS!$A$2:$H$252,8,0),"")</f>
        <v>31</v>
      </c>
      <c r="H2271" s="22">
        <v>20.0</v>
      </c>
      <c r="I2271" s="23">
        <f>IFERROR(VLOOKUP(B2271,DADOS!$A$2:$H$252,4,0)*H2271,"")</f>
        <v>2.278672</v>
      </c>
      <c r="J2271" s="36"/>
      <c r="K2271" s="25">
        <f>IFERROR(VLOOKUP(B2271,DADOS!$A$2:$H$252,4,0)*J2271,"")</f>
        <v>0</v>
      </c>
      <c r="L2271" s="26">
        <f t="shared" si="23"/>
        <v>0</v>
      </c>
      <c r="M2271" s="27"/>
      <c r="N2271" s="30"/>
      <c r="O2271" s="28"/>
      <c r="P2271" s="28"/>
      <c r="Q2271" s="28"/>
      <c r="R2271" s="28"/>
      <c r="S2271" s="28"/>
    </row>
    <row r="2272">
      <c r="A2272" s="17">
        <v>46119.0</v>
      </c>
      <c r="B2272" s="18" t="s">
        <v>58</v>
      </c>
      <c r="C2272" s="18" t="s">
        <v>166</v>
      </c>
      <c r="D2272" s="19"/>
      <c r="E2272" s="19"/>
      <c r="F2272" s="20">
        <f t="shared" si="24"/>
        <v>0</v>
      </c>
      <c r="G2272" s="67">
        <f>IFERROR(VLOOKUP(B2272,DADOS!$A$2:$H$252,8,0),"")</f>
        <v>31</v>
      </c>
      <c r="H2272" s="22">
        <v>59.0</v>
      </c>
      <c r="I2272" s="23">
        <f>IFERROR(VLOOKUP(B2272,DADOS!$A$2:$H$252,4,0)*H2272,"")</f>
        <v>6.7220824</v>
      </c>
      <c r="J2272" s="36"/>
      <c r="K2272" s="25">
        <f>IFERROR(VLOOKUP(B2272,DADOS!$A$2:$H$252,4,0)*J2272,"")</f>
        <v>0</v>
      </c>
      <c r="L2272" s="26">
        <f t="shared" si="23"/>
        <v>0</v>
      </c>
      <c r="M2272" s="27"/>
      <c r="N2272" s="30"/>
      <c r="O2272" s="28"/>
      <c r="P2272" s="28"/>
      <c r="Q2272" s="28"/>
      <c r="R2272" s="28"/>
      <c r="S2272" s="28"/>
    </row>
    <row r="2273">
      <c r="A2273" s="17">
        <v>46119.0</v>
      </c>
      <c r="B2273" s="18" t="s">
        <v>18</v>
      </c>
      <c r="C2273" s="18" t="s">
        <v>19</v>
      </c>
      <c r="D2273" s="19"/>
      <c r="E2273" s="19"/>
      <c r="F2273" s="20">
        <f t="shared" si="24"/>
        <v>0</v>
      </c>
      <c r="G2273" s="67">
        <f>IFERROR(VLOOKUP(B2273,DADOS!$A$2:$H$252,8,0),"")</f>
        <v>21</v>
      </c>
      <c r="H2273" s="22">
        <v>40.0</v>
      </c>
      <c r="I2273" s="23">
        <f>IFERROR(VLOOKUP(B2273,DADOS!$A$2:$H$252,4,0)*H2273,"")</f>
        <v>11.71864</v>
      </c>
      <c r="J2273" s="36"/>
      <c r="K2273" s="25">
        <f>IFERROR(VLOOKUP(B2273,DADOS!$A$2:$H$252,4,0)*J2273,"")</f>
        <v>0</v>
      </c>
      <c r="L2273" s="26">
        <f t="shared" si="23"/>
        <v>0</v>
      </c>
      <c r="M2273" s="27"/>
      <c r="N2273" s="30"/>
      <c r="O2273" s="28"/>
      <c r="P2273" s="28"/>
      <c r="Q2273" s="28"/>
      <c r="R2273" s="28"/>
      <c r="S2273" s="28"/>
    </row>
    <row r="2274">
      <c r="A2274" s="17">
        <v>46119.0</v>
      </c>
      <c r="B2274" s="18" t="s">
        <v>196</v>
      </c>
      <c r="C2274" s="18" t="s">
        <v>65</v>
      </c>
      <c r="D2274" s="19"/>
      <c r="E2274" s="19"/>
      <c r="F2274" s="20">
        <f t="shared" si="24"/>
        <v>0</v>
      </c>
      <c r="G2274" s="67">
        <f>IFERROR(VLOOKUP(B2274,DADOS!$A$2:$H$252,8,0),"")</f>
        <v>15</v>
      </c>
      <c r="H2274" s="22">
        <v>44.0</v>
      </c>
      <c r="I2274" s="23">
        <f>IFERROR(VLOOKUP(B2274,DADOS!$A$2:$H$252,4,0)*H2274,"")</f>
        <v>2.7457056</v>
      </c>
      <c r="J2274" s="36"/>
      <c r="K2274" s="25">
        <f>IFERROR(VLOOKUP(B2274,DADOS!$A$2:$H$252,4,0)*J2274,"")</f>
        <v>0</v>
      </c>
      <c r="L2274" s="26">
        <f t="shared" si="23"/>
        <v>0</v>
      </c>
      <c r="M2274" s="27"/>
      <c r="N2274" s="30"/>
      <c r="O2274" s="28"/>
      <c r="P2274" s="28"/>
      <c r="Q2274" s="28"/>
      <c r="R2274" s="28"/>
      <c r="S2274" s="28"/>
    </row>
    <row r="2275">
      <c r="A2275" s="17">
        <v>46120.0</v>
      </c>
      <c r="B2275" s="18" t="s">
        <v>178</v>
      </c>
      <c r="C2275" s="18" t="s">
        <v>166</v>
      </c>
      <c r="D2275" s="19"/>
      <c r="E2275" s="19"/>
      <c r="F2275" s="20">
        <f t="shared" si="24"/>
        <v>0</v>
      </c>
      <c r="G2275" s="67">
        <f>IFERROR(VLOOKUP(B2275,DADOS!$A$2:$H$252,8,0),"")</f>
        <v>35</v>
      </c>
      <c r="H2275" s="22">
        <v>50.0</v>
      </c>
      <c r="I2275" s="23">
        <f>IFERROR(VLOOKUP(B2275,DADOS!$A$2:$H$252,4,0)*H2275,"")</f>
        <v>10.593</v>
      </c>
      <c r="J2275" s="36"/>
      <c r="K2275" s="25">
        <f>IFERROR(VLOOKUP(B2275,DADOS!$A$2:$H$252,4,0)*J2275,"")</f>
        <v>0</v>
      </c>
      <c r="L2275" s="26">
        <f t="shared" si="23"/>
        <v>0</v>
      </c>
      <c r="M2275" s="27"/>
      <c r="N2275" s="30"/>
      <c r="O2275" s="28"/>
      <c r="P2275" s="28"/>
      <c r="Q2275" s="28"/>
      <c r="R2275" s="28"/>
      <c r="S2275" s="28"/>
    </row>
    <row r="2276">
      <c r="A2276" s="17">
        <v>46120.0</v>
      </c>
      <c r="B2276" s="18" t="s">
        <v>101</v>
      </c>
      <c r="C2276" s="18" t="s">
        <v>19</v>
      </c>
      <c r="D2276" s="19"/>
      <c r="E2276" s="19"/>
      <c r="F2276" s="20">
        <f t="shared" si="24"/>
        <v>0</v>
      </c>
      <c r="G2276" s="67" t="str">
        <f>IFERROR(VLOOKUP(B2276,DADOS!$A$2:$H$252,8,0),"")</f>
        <v/>
      </c>
      <c r="H2276" s="22">
        <v>42.0</v>
      </c>
      <c r="I2276" s="23"/>
      <c r="J2276" s="36"/>
      <c r="K2276" s="25">
        <f>IFERROR(VLOOKUP(B2276,DADOS!$A$2:$H$252,4,0)*J2276,"")</f>
        <v>0</v>
      </c>
      <c r="L2276" s="26" t="str">
        <f t="shared" si="23"/>
        <v/>
      </c>
      <c r="M2276" s="27"/>
      <c r="N2276" s="30"/>
      <c r="O2276" s="28"/>
      <c r="P2276" s="28"/>
      <c r="Q2276" s="28"/>
      <c r="R2276" s="28"/>
      <c r="S2276" s="28"/>
    </row>
    <row r="2277">
      <c r="A2277" s="17">
        <v>46120.0</v>
      </c>
      <c r="B2277" s="18" t="s">
        <v>196</v>
      </c>
      <c r="C2277" s="18" t="s">
        <v>65</v>
      </c>
      <c r="D2277" s="19"/>
      <c r="E2277" s="19"/>
      <c r="F2277" s="20">
        <f t="shared" si="24"/>
        <v>0</v>
      </c>
      <c r="G2277" s="67">
        <f>IFERROR(VLOOKUP(B2277,DADOS!$A$2:$H$252,8,0),"")</f>
        <v>15</v>
      </c>
      <c r="H2277" s="22">
        <v>102.0</v>
      </c>
      <c r="I2277" s="23">
        <f>IFERROR(VLOOKUP(B2277,DADOS!$A$2:$H$252,4,0)*H2277,"")</f>
        <v>6.3650448</v>
      </c>
      <c r="J2277" s="24">
        <v>5.0</v>
      </c>
      <c r="K2277" s="25">
        <f>IFERROR(VLOOKUP(B2277,DADOS!$A$2:$H$252,4,0)*J2277,"")</f>
        <v>0.312012</v>
      </c>
      <c r="L2277" s="26">
        <f t="shared" si="23"/>
        <v>0</v>
      </c>
      <c r="M2277" s="27"/>
      <c r="N2277" s="30"/>
      <c r="O2277" s="28"/>
      <c r="P2277" s="28"/>
      <c r="Q2277" s="28"/>
      <c r="R2277" s="28"/>
      <c r="S2277" s="28"/>
    </row>
    <row r="2278">
      <c r="A2278" s="17">
        <v>46120.0</v>
      </c>
      <c r="B2278" s="18" t="s">
        <v>224</v>
      </c>
      <c r="C2278" s="18" t="s">
        <v>65</v>
      </c>
      <c r="D2278" s="19"/>
      <c r="E2278" s="19"/>
      <c r="F2278" s="20">
        <f t="shared" si="24"/>
        <v>0</v>
      </c>
      <c r="G2278" s="67">
        <f>IFERROR(VLOOKUP(B2278,DADOS!$A$2:$H$252,8,0),"")</f>
        <v>75</v>
      </c>
      <c r="H2278" s="22">
        <v>30.0</v>
      </c>
      <c r="I2278" s="23">
        <f>IFERROR(VLOOKUP(B2278,DADOS!$A$2:$H$252,4,0)*H2278,"")</f>
        <v>2.8248</v>
      </c>
      <c r="J2278" s="36"/>
      <c r="K2278" s="25">
        <f>IFERROR(VLOOKUP(B2278,DADOS!$A$2:$H$252,4,0)*J2278,"")</f>
        <v>0</v>
      </c>
      <c r="L2278" s="26">
        <f t="shared" si="23"/>
        <v>0</v>
      </c>
      <c r="M2278" s="27"/>
      <c r="N2278" s="30"/>
      <c r="O2278" s="28"/>
      <c r="P2278" s="28"/>
      <c r="Q2278" s="28"/>
      <c r="R2278" s="28"/>
      <c r="S2278" s="28"/>
    </row>
    <row r="2279">
      <c r="A2279" s="17">
        <v>46121.0</v>
      </c>
      <c r="B2279" s="18" t="s">
        <v>179</v>
      </c>
      <c r="C2279" s="18" t="s">
        <v>65</v>
      </c>
      <c r="D2279" s="19"/>
      <c r="E2279" s="19"/>
      <c r="F2279" s="20">
        <f t="shared" si="24"/>
        <v>0</v>
      </c>
      <c r="G2279" s="67">
        <f>IFERROR(VLOOKUP(B2279,DADOS!$A$2:$H$252,8,0),"")</f>
        <v>15</v>
      </c>
      <c r="H2279" s="22">
        <v>52.0</v>
      </c>
      <c r="I2279" s="23">
        <f>IFERROR(VLOOKUP(B2279,DADOS!$A$2:$H$252,4,0)*H2279,"")</f>
        <v>8.724352</v>
      </c>
      <c r="J2279" s="36"/>
      <c r="K2279" s="25">
        <f>IFERROR(VLOOKUP(B2279,DADOS!$A$2:$H$252,4,0)*J2279,"")</f>
        <v>0</v>
      </c>
      <c r="L2279" s="26">
        <f t="shared" si="23"/>
        <v>0</v>
      </c>
      <c r="M2279" s="27"/>
      <c r="N2279" s="30"/>
      <c r="O2279" s="28"/>
      <c r="P2279" s="28"/>
      <c r="Q2279" s="28"/>
      <c r="R2279" s="28"/>
      <c r="S2279" s="28"/>
    </row>
    <row r="2280">
      <c r="A2280" s="17">
        <v>46121.0</v>
      </c>
      <c r="B2280" s="18" t="s">
        <v>225</v>
      </c>
      <c r="C2280" s="18" t="s">
        <v>65</v>
      </c>
      <c r="D2280" s="19"/>
      <c r="E2280" s="19"/>
      <c r="F2280" s="20">
        <f t="shared" si="24"/>
        <v>0</v>
      </c>
      <c r="G2280" s="67" t="str">
        <f>IFERROR(VLOOKUP(B2280,DADOS!$A$2:$H$252,8,0),"")</f>
        <v/>
      </c>
      <c r="H2280" s="22">
        <v>20.0</v>
      </c>
      <c r="I2280" s="23">
        <f>IFERROR(VLOOKUP(B2280,DADOS!$A$2:$H$252,4,0)*H2280,"")</f>
        <v>0</v>
      </c>
      <c r="J2280" s="36"/>
      <c r="K2280" s="25">
        <f>IFERROR(VLOOKUP(B2280,DADOS!$A$2:$H$252,4,0)*J2280,"")</f>
        <v>0</v>
      </c>
      <c r="L2280" s="26" t="str">
        <f t="shared" si="23"/>
        <v/>
      </c>
      <c r="M2280" s="27"/>
      <c r="N2280" s="30"/>
      <c r="O2280" s="28"/>
      <c r="P2280" s="28"/>
      <c r="Q2280" s="28"/>
      <c r="R2280" s="28"/>
      <c r="S2280" s="28"/>
    </row>
    <row r="2281">
      <c r="A2281" s="17">
        <v>46121.0</v>
      </c>
      <c r="B2281" s="18" t="s">
        <v>213</v>
      </c>
      <c r="C2281" s="18" t="s">
        <v>65</v>
      </c>
      <c r="D2281" s="19"/>
      <c r="E2281" s="19"/>
      <c r="F2281" s="20">
        <f t="shared" si="24"/>
        <v>0</v>
      </c>
      <c r="G2281" s="67">
        <f>IFERROR(VLOOKUP(B2281,DADOS!$A$2:$H$252,8,0),"")</f>
        <v>15</v>
      </c>
      <c r="H2281" s="22">
        <v>14.0</v>
      </c>
      <c r="I2281" s="23">
        <f>IFERROR(VLOOKUP(B2281,DADOS!$A$2:$H$252,4,0)*H2281,"")</f>
        <v>3.262644</v>
      </c>
      <c r="J2281" s="36"/>
      <c r="K2281" s="25">
        <f>IFERROR(VLOOKUP(B2281,DADOS!$A$2:$H$252,4,0)*J2281,"")</f>
        <v>0</v>
      </c>
      <c r="L2281" s="26">
        <f t="shared" si="23"/>
        <v>0</v>
      </c>
      <c r="M2281" s="27"/>
      <c r="N2281" s="30"/>
      <c r="O2281" s="28"/>
      <c r="P2281" s="28"/>
      <c r="Q2281" s="28"/>
      <c r="R2281" s="28"/>
      <c r="S2281" s="28"/>
    </row>
    <row r="2282">
      <c r="A2282" s="17">
        <v>46121.0</v>
      </c>
      <c r="B2282" s="18" t="s">
        <v>226</v>
      </c>
      <c r="C2282" s="18" t="s">
        <v>65</v>
      </c>
      <c r="D2282" s="19"/>
      <c r="E2282" s="19"/>
      <c r="F2282" s="20">
        <f t="shared" si="24"/>
        <v>0</v>
      </c>
      <c r="G2282" s="67" t="str">
        <f>IFERROR(VLOOKUP(B2282,DADOS!$A$2:$H$252,8,0),"")</f>
        <v/>
      </c>
      <c r="H2282" s="22">
        <v>28.0</v>
      </c>
      <c r="I2282" s="23">
        <f>IFERROR(VLOOKUP(B2282,DADOS!$A$2:$H$252,4,0)*H2282,"")</f>
        <v>0</v>
      </c>
      <c r="J2282" s="24">
        <v>2.0</v>
      </c>
      <c r="K2282" s="25">
        <f>IFERROR(VLOOKUP(B2282,DADOS!$A$2:$H$252,4,0)*J2282,"")</f>
        <v>0</v>
      </c>
      <c r="L2282" s="26" t="str">
        <f t="shared" si="23"/>
        <v/>
      </c>
      <c r="M2282" s="27"/>
      <c r="N2282" s="30"/>
      <c r="O2282" s="28"/>
      <c r="P2282" s="28"/>
      <c r="Q2282" s="28"/>
      <c r="R2282" s="28"/>
      <c r="S2282" s="28"/>
    </row>
    <row r="2283">
      <c r="A2283" s="17">
        <v>46122.0</v>
      </c>
      <c r="B2283" s="18" t="s">
        <v>199</v>
      </c>
      <c r="C2283" s="18" t="s">
        <v>65</v>
      </c>
      <c r="D2283" s="19"/>
      <c r="E2283" s="19"/>
      <c r="F2283" s="20">
        <f t="shared" si="24"/>
        <v>0</v>
      </c>
      <c r="G2283" s="67">
        <f>IFERROR(VLOOKUP(B2283,DADOS!$A$2:$H$252,8,0),"")</f>
        <v>15</v>
      </c>
      <c r="H2283" s="22">
        <v>49.0</v>
      </c>
      <c r="I2283" s="23">
        <f>IFERROR(VLOOKUP(B2283,DADOS!$A$2:$H$252,4,0)*H2283,"")</f>
        <v>15.141784</v>
      </c>
      <c r="J2283" s="24">
        <v>1.0</v>
      </c>
      <c r="K2283" s="25">
        <f>IFERROR(VLOOKUP(B2283,DADOS!$A$2:$H$252,4,0)*J2283,"")</f>
        <v>0.309016</v>
      </c>
      <c r="L2283" s="26">
        <f t="shared" si="23"/>
        <v>0</v>
      </c>
      <c r="M2283" s="27"/>
      <c r="N2283" s="30"/>
      <c r="O2283" s="28"/>
      <c r="P2283" s="28"/>
      <c r="Q2283" s="28"/>
      <c r="R2283" s="28"/>
      <c r="S2283" s="28"/>
    </row>
    <row r="2284">
      <c r="A2284" s="17">
        <v>46122.0</v>
      </c>
      <c r="B2284" s="18" t="s">
        <v>227</v>
      </c>
      <c r="C2284" s="18" t="s">
        <v>65</v>
      </c>
      <c r="D2284" s="19"/>
      <c r="E2284" s="19"/>
      <c r="F2284" s="20">
        <f t="shared" si="24"/>
        <v>0</v>
      </c>
      <c r="G2284" s="67">
        <f>IFERROR(VLOOKUP(B2284,DADOS!$A$2:$H$252,8,0),"")</f>
        <v>75</v>
      </c>
      <c r="H2284" s="22">
        <v>20.0</v>
      </c>
      <c r="I2284" s="23">
        <f>IFERROR(VLOOKUP(B2284,DADOS!$A$2:$H$252,4,0)*H2284,"")</f>
        <v>2.603952</v>
      </c>
      <c r="J2284" s="36"/>
      <c r="K2284" s="25">
        <f>IFERROR(VLOOKUP(B2284,DADOS!$A$2:$H$252,4,0)*J2284,"")</f>
        <v>0</v>
      </c>
      <c r="L2284" s="26">
        <f t="shared" si="23"/>
        <v>0</v>
      </c>
      <c r="M2284" s="27"/>
      <c r="N2284" s="30"/>
      <c r="O2284" s="28"/>
      <c r="P2284" s="28"/>
      <c r="Q2284" s="28"/>
      <c r="R2284" s="28"/>
      <c r="S2284" s="28"/>
    </row>
    <row r="2285">
      <c r="A2285" s="17">
        <v>46123.0</v>
      </c>
      <c r="B2285" s="18" t="s">
        <v>71</v>
      </c>
      <c r="C2285" s="18" t="s">
        <v>193</v>
      </c>
      <c r="D2285" s="19"/>
      <c r="E2285" s="19"/>
      <c r="F2285" s="20">
        <f t="shared" si="24"/>
        <v>0</v>
      </c>
      <c r="G2285" s="67">
        <f>IFERROR(VLOOKUP(B2285,DADOS!$A$2:$H$252,8,0),"")</f>
        <v>7</v>
      </c>
      <c r="H2285" s="22">
        <v>40.0</v>
      </c>
      <c r="I2285" s="23">
        <f>IFERROR(VLOOKUP(B2285,DADOS!$A$2:$H$252,4,0)*H2285,"")</f>
        <v>56.096248</v>
      </c>
      <c r="J2285" s="36"/>
      <c r="K2285" s="25">
        <f>IFERROR(VLOOKUP(B2285,DADOS!$A$2:$H$252,4,0)*J2285,"")</f>
        <v>0</v>
      </c>
      <c r="L2285" s="26">
        <f t="shared" si="23"/>
        <v>0</v>
      </c>
      <c r="M2285" s="27"/>
      <c r="N2285" s="30"/>
      <c r="O2285" s="28"/>
      <c r="P2285" s="28"/>
      <c r="Q2285" s="28"/>
      <c r="R2285" s="28"/>
      <c r="S2285" s="28"/>
    </row>
    <row r="2286">
      <c r="A2286" s="17">
        <v>46126.0</v>
      </c>
      <c r="B2286" s="18" t="s">
        <v>18</v>
      </c>
      <c r="C2286" s="18" t="s">
        <v>19</v>
      </c>
      <c r="D2286" s="19"/>
      <c r="E2286" s="19"/>
      <c r="F2286" s="20">
        <f t="shared" si="24"/>
        <v>0</v>
      </c>
      <c r="G2286" s="67">
        <f>IFERROR(VLOOKUP(B2286,DADOS!$A$2:$H$252,8,0),"")</f>
        <v>21</v>
      </c>
      <c r="H2286" s="22">
        <v>53.0</v>
      </c>
      <c r="I2286" s="23">
        <f>IFERROR(VLOOKUP(B2286,DADOS!$A$2:$H$252,4,0)*H2286,"")</f>
        <v>15.527198</v>
      </c>
      <c r="J2286" s="36"/>
      <c r="K2286" s="25">
        <f>IFERROR(VLOOKUP(B2286,DADOS!$A$2:$H$252,4,0)*J2286,"")</f>
        <v>0</v>
      </c>
      <c r="L2286" s="26">
        <f t="shared" si="23"/>
        <v>0</v>
      </c>
      <c r="M2286" s="27"/>
      <c r="N2286" s="30"/>
      <c r="O2286" s="28"/>
      <c r="P2286" s="28"/>
      <c r="Q2286" s="28"/>
      <c r="R2286" s="28"/>
      <c r="S2286" s="28"/>
    </row>
    <row r="2287">
      <c r="A2287" s="17">
        <v>46126.0</v>
      </c>
      <c r="B2287" s="18" t="s">
        <v>16</v>
      </c>
      <c r="C2287" s="18" t="s">
        <v>65</v>
      </c>
      <c r="D2287" s="19"/>
      <c r="E2287" s="19"/>
      <c r="F2287" s="20">
        <f t="shared" si="24"/>
        <v>0</v>
      </c>
      <c r="G2287" s="67">
        <f>IFERROR(VLOOKUP(B2287,DADOS!$A$2:$H$252,8,0),"")</f>
        <v>150</v>
      </c>
      <c r="H2287" s="22">
        <v>131.0</v>
      </c>
      <c r="I2287" s="23">
        <f>IFERROR(VLOOKUP(B2287,DADOS!$A$2:$H$252,4,0)*H2287,"")</f>
        <v>3.7901968</v>
      </c>
      <c r="J2287" s="36"/>
      <c r="K2287" s="25">
        <f>IFERROR(VLOOKUP(B2287,DADOS!$A$2:$H$252,4,0)*J2287,"")</f>
        <v>0</v>
      </c>
      <c r="L2287" s="26">
        <f t="shared" si="23"/>
        <v>0</v>
      </c>
      <c r="M2287" s="27"/>
      <c r="N2287" s="30"/>
      <c r="O2287" s="28"/>
      <c r="P2287" s="28"/>
      <c r="Q2287" s="28"/>
      <c r="R2287" s="28"/>
      <c r="S2287" s="28"/>
    </row>
    <row r="2288">
      <c r="A2288" s="17">
        <v>46127.0</v>
      </c>
      <c r="B2288" s="18" t="s">
        <v>207</v>
      </c>
      <c r="C2288" s="18" t="s">
        <v>19</v>
      </c>
      <c r="D2288" s="19"/>
      <c r="E2288" s="19"/>
      <c r="F2288" s="20">
        <f t="shared" si="24"/>
        <v>0</v>
      </c>
      <c r="G2288" s="67">
        <f>IFERROR(VLOOKUP(B2288,DADOS!$A$2:$H$252,8,0),"")</f>
        <v>100</v>
      </c>
      <c r="H2288" s="22">
        <v>51.0</v>
      </c>
      <c r="I2288" s="23">
        <f>IFERROR(VLOOKUP(B2288,DADOS!$A$2:$H$252,4,0)*H2288,"")</f>
        <v>0.9244158</v>
      </c>
      <c r="J2288" s="24">
        <v>8.0</v>
      </c>
      <c r="K2288" s="25">
        <f>IFERROR(VLOOKUP(B2288,DADOS!$A$2:$H$252,4,0)*J2288,"")</f>
        <v>0.1450064</v>
      </c>
      <c r="L2288" s="26">
        <f t="shared" si="23"/>
        <v>0</v>
      </c>
      <c r="M2288" s="27"/>
      <c r="N2288" s="30"/>
      <c r="O2288" s="28"/>
      <c r="P2288" s="28"/>
      <c r="Q2288" s="28"/>
      <c r="R2288" s="28"/>
      <c r="S2288" s="28"/>
    </row>
    <row r="2289">
      <c r="A2289" s="17">
        <v>46127.0</v>
      </c>
      <c r="B2289" s="18" t="s">
        <v>16</v>
      </c>
      <c r="C2289" s="18" t="s">
        <v>65</v>
      </c>
      <c r="D2289" s="19"/>
      <c r="E2289" s="19"/>
      <c r="F2289" s="20">
        <f t="shared" si="24"/>
        <v>0</v>
      </c>
      <c r="G2289" s="67">
        <f>IFERROR(VLOOKUP(B2289,DADOS!$A$2:$H$252,8,0),"")</f>
        <v>150</v>
      </c>
      <c r="H2289" s="22">
        <v>969.0</v>
      </c>
      <c r="I2289" s="23">
        <f>IFERROR(VLOOKUP(B2289,DADOS!$A$2:$H$252,4,0)*H2289,"")</f>
        <v>28.0358832</v>
      </c>
      <c r="J2289" s="24">
        <v>2.0</v>
      </c>
      <c r="K2289" s="25">
        <f>IFERROR(VLOOKUP(B2289,DADOS!$A$2:$H$252,4,0)*J2289,"")</f>
        <v>0.0578656</v>
      </c>
      <c r="L2289" s="26">
        <f t="shared" si="23"/>
        <v>0</v>
      </c>
      <c r="M2289" s="27"/>
      <c r="N2289" s="30"/>
      <c r="O2289" s="28"/>
      <c r="P2289" s="28"/>
      <c r="Q2289" s="28"/>
      <c r="R2289" s="28"/>
      <c r="S2289" s="28"/>
    </row>
    <row r="2290">
      <c r="A2290" s="17">
        <v>46128.0</v>
      </c>
      <c r="B2290" s="18" t="s">
        <v>228</v>
      </c>
      <c r="C2290" s="18" t="s">
        <v>19</v>
      </c>
      <c r="D2290" s="19"/>
      <c r="E2290" s="19"/>
      <c r="F2290" s="20">
        <f t="shared" si="24"/>
        <v>0</v>
      </c>
      <c r="G2290" s="67" t="str">
        <f>IFERROR(VLOOKUP(B2290,DADOS!$A$2:$H$252,8,0),"")</f>
        <v/>
      </c>
      <c r="H2290" s="22">
        <v>50.0</v>
      </c>
      <c r="I2290" s="23">
        <f>IFERROR(VLOOKUP(B2290,DADOS!$A$2:$H$252,4,0)*H2290,"")</f>
        <v>2.46528</v>
      </c>
      <c r="J2290" s="36"/>
      <c r="K2290" s="25">
        <f>IFERROR(VLOOKUP(B2290,DADOS!$A$2:$H$252,4,0)*J2290,"")</f>
        <v>0</v>
      </c>
      <c r="L2290" s="26">
        <f t="shared" si="23"/>
        <v>0</v>
      </c>
      <c r="M2290" s="27"/>
      <c r="N2290" s="30"/>
      <c r="O2290" s="28"/>
      <c r="P2290" s="28"/>
      <c r="Q2290" s="28"/>
      <c r="R2290" s="28"/>
      <c r="S2290" s="28"/>
    </row>
    <row r="2291">
      <c r="A2291" s="17">
        <v>46128.0</v>
      </c>
      <c r="B2291" s="18" t="s">
        <v>16</v>
      </c>
      <c r="C2291" s="18" t="s">
        <v>65</v>
      </c>
      <c r="D2291" s="19"/>
      <c r="E2291" s="19"/>
      <c r="F2291" s="20">
        <f t="shared" si="24"/>
        <v>0</v>
      </c>
      <c r="G2291" s="67">
        <f>IFERROR(VLOOKUP(B2291,DADOS!$A$2:$H$252,8,0),"")</f>
        <v>150</v>
      </c>
      <c r="H2291" s="22">
        <v>305.0</v>
      </c>
      <c r="I2291" s="23">
        <f>IFERROR(VLOOKUP(B2291,DADOS!$A$2:$H$252,4,0)*H2291,"")</f>
        <v>8.824504</v>
      </c>
      <c r="J2291" s="36"/>
      <c r="K2291" s="25">
        <f>IFERROR(VLOOKUP(B2291,DADOS!$A$2:$H$252,4,0)*J2291,"")</f>
        <v>0</v>
      </c>
      <c r="L2291" s="26">
        <f t="shared" si="23"/>
        <v>0</v>
      </c>
      <c r="M2291" s="27"/>
      <c r="N2291" s="30"/>
      <c r="O2291" s="28"/>
      <c r="P2291" s="28"/>
      <c r="Q2291" s="28"/>
      <c r="R2291" s="28"/>
      <c r="S2291" s="28"/>
    </row>
    <row r="2292">
      <c r="A2292" s="17">
        <v>46128.0</v>
      </c>
      <c r="B2292" s="18" t="s">
        <v>101</v>
      </c>
      <c r="C2292" s="18" t="s">
        <v>19</v>
      </c>
      <c r="D2292" s="19"/>
      <c r="E2292" s="19"/>
      <c r="F2292" s="20">
        <f t="shared" si="24"/>
        <v>0</v>
      </c>
      <c r="G2292" s="67" t="str">
        <f>IFERROR(VLOOKUP(B2292,DADOS!$A$2:$H$252,8,0),"")</f>
        <v/>
      </c>
      <c r="H2292" s="22">
        <v>21.0</v>
      </c>
      <c r="I2292" s="23">
        <f>IFERROR(VLOOKUP(B2292,DADOS!$A$2:$H$252,4,0)*H2292,"")</f>
        <v>3.3417384</v>
      </c>
      <c r="J2292" s="24">
        <v>1.0</v>
      </c>
      <c r="K2292" s="25">
        <f>IFERROR(VLOOKUP(B2292,DADOS!$A$2:$H$252,4,0)*J2292,"")</f>
        <v>0.1591304</v>
      </c>
      <c r="L2292" s="26">
        <f t="shared" si="23"/>
        <v>0</v>
      </c>
      <c r="M2292" s="27"/>
      <c r="N2292" s="30"/>
      <c r="O2292" s="28"/>
      <c r="P2292" s="28"/>
      <c r="Q2292" s="28"/>
      <c r="R2292" s="28"/>
      <c r="S2292" s="28"/>
    </row>
    <row r="2293">
      <c r="A2293" s="17">
        <v>46130.0</v>
      </c>
      <c r="B2293" s="18" t="s">
        <v>71</v>
      </c>
      <c r="C2293" s="18" t="s">
        <v>193</v>
      </c>
      <c r="D2293" s="19"/>
      <c r="E2293" s="19"/>
      <c r="F2293" s="20">
        <f t="shared" si="24"/>
        <v>0</v>
      </c>
      <c r="G2293" s="67">
        <f>IFERROR(VLOOKUP(B2293,DADOS!$A$2:$H$252,8,0),"")</f>
        <v>7</v>
      </c>
      <c r="H2293" s="22">
        <v>40.0</v>
      </c>
      <c r="I2293" s="23">
        <f>IFERROR(VLOOKUP(B2293,DADOS!$A$2:$H$252,4,0)*H2293,"")</f>
        <v>56.096248</v>
      </c>
      <c r="J2293" s="36"/>
      <c r="K2293" s="25">
        <f>IFERROR(VLOOKUP(B2293,DADOS!$A$2:$H$252,4,0)*J2293,"")</f>
        <v>0</v>
      </c>
      <c r="L2293" s="26">
        <f t="shared" si="23"/>
        <v>0</v>
      </c>
      <c r="M2293" s="27"/>
      <c r="N2293" s="30"/>
      <c r="O2293" s="28"/>
      <c r="P2293" s="28"/>
      <c r="Q2293" s="28"/>
      <c r="R2293" s="28"/>
      <c r="S2293" s="28"/>
    </row>
    <row r="2294">
      <c r="A2294" s="17">
        <v>46134.0</v>
      </c>
      <c r="B2294" s="18" t="s">
        <v>32</v>
      </c>
      <c r="C2294" s="18" t="s">
        <v>166</v>
      </c>
      <c r="D2294" s="19"/>
      <c r="E2294" s="19"/>
      <c r="F2294" s="20">
        <f t="shared" si="24"/>
        <v>0</v>
      </c>
      <c r="G2294" s="67">
        <f>IFERROR(VLOOKUP(B2294,DADOS!$A$2:$H$252,8,0),"")</f>
        <v>10</v>
      </c>
      <c r="H2294" s="22">
        <v>40.0</v>
      </c>
      <c r="I2294" s="23">
        <f>IFERROR(VLOOKUP(B2294,DADOS!$A$2:$H$252,4,0)*H2294,"")</f>
        <v>24.491016</v>
      </c>
      <c r="J2294" s="36"/>
      <c r="K2294" s="25">
        <f>IFERROR(VLOOKUP(B2294,DADOS!$A$2:$H$252,4,0)*J2294,"")</f>
        <v>0</v>
      </c>
      <c r="L2294" s="26">
        <f t="shared" si="23"/>
        <v>0</v>
      </c>
      <c r="M2294" s="27"/>
      <c r="N2294" s="30"/>
      <c r="O2294" s="28"/>
      <c r="P2294" s="28"/>
      <c r="Q2294" s="28"/>
      <c r="R2294" s="28"/>
      <c r="S2294" s="28"/>
    </row>
    <row r="2295">
      <c r="A2295" s="17">
        <v>46136.0</v>
      </c>
      <c r="B2295" s="18" t="s">
        <v>182</v>
      </c>
      <c r="C2295" s="18" t="s">
        <v>165</v>
      </c>
      <c r="D2295" s="19"/>
      <c r="E2295" s="19"/>
      <c r="F2295" s="20">
        <f t="shared" si="24"/>
        <v>0</v>
      </c>
      <c r="G2295" s="67">
        <f>IFERROR(VLOOKUP(B2295,DADOS!$A$2:$H$252,8,0),"")</f>
        <v>120</v>
      </c>
      <c r="H2295" s="22">
        <v>93.0</v>
      </c>
      <c r="I2295" s="23">
        <f>IFERROR(VLOOKUP(B2295,DADOS!$A$2:$H$252,4,0)*H2295,"")</f>
        <v>30.270942</v>
      </c>
      <c r="J2295" s="24">
        <v>5.0</v>
      </c>
      <c r="K2295" s="25">
        <f>IFERROR(VLOOKUP(B2295,DADOS!$A$2:$H$252,4,0)*J2295,"")</f>
        <v>1.62747</v>
      </c>
      <c r="L2295" s="26">
        <f t="shared" si="23"/>
        <v>0</v>
      </c>
      <c r="M2295" s="27"/>
      <c r="N2295" s="30"/>
      <c r="O2295" s="28"/>
      <c r="P2295" s="28"/>
      <c r="Q2295" s="28"/>
      <c r="R2295" s="28"/>
      <c r="S2295" s="28"/>
    </row>
    <row r="2296">
      <c r="A2296" s="17">
        <v>46137.0</v>
      </c>
      <c r="B2296" s="18" t="s">
        <v>71</v>
      </c>
      <c r="C2296" s="18" t="s">
        <v>193</v>
      </c>
      <c r="D2296" s="19"/>
      <c r="E2296" s="19"/>
      <c r="F2296" s="20">
        <f t="shared" si="24"/>
        <v>0</v>
      </c>
      <c r="G2296" s="67">
        <f>IFERROR(VLOOKUP(B2296,DADOS!$A$2:$H$252,8,0),"")</f>
        <v>7</v>
      </c>
      <c r="H2296" s="22">
        <v>20.0</v>
      </c>
      <c r="I2296" s="23">
        <f>IFERROR(VLOOKUP(B2296,DADOS!$A$2:$H$252,4,0)*H2296,"")</f>
        <v>28.048124</v>
      </c>
      <c r="J2296" s="36"/>
      <c r="K2296" s="25">
        <f>IFERROR(VLOOKUP(B2296,DADOS!$A$2:$H$252,4,0)*J2296,"")</f>
        <v>0</v>
      </c>
      <c r="L2296" s="26">
        <f t="shared" si="23"/>
        <v>0</v>
      </c>
      <c r="M2296" s="27"/>
      <c r="N2296" s="30"/>
      <c r="O2296" s="28"/>
      <c r="P2296" s="28"/>
      <c r="Q2296" s="28"/>
      <c r="R2296" s="28"/>
      <c r="S2296" s="28"/>
    </row>
    <row r="2297">
      <c r="A2297" s="17">
        <v>46139.0</v>
      </c>
      <c r="B2297" s="18" t="s">
        <v>18</v>
      </c>
      <c r="C2297" s="18" t="s">
        <v>165</v>
      </c>
      <c r="D2297" s="19"/>
      <c r="E2297" s="19"/>
      <c r="F2297" s="20">
        <f t="shared" si="24"/>
        <v>0</v>
      </c>
      <c r="G2297" s="67">
        <f>IFERROR(VLOOKUP(B2297,DADOS!$A$2:$H$252,8,0),"")</f>
        <v>21</v>
      </c>
      <c r="H2297" s="22">
        <v>58.0</v>
      </c>
      <c r="I2297" s="23">
        <f>IFERROR(VLOOKUP(B2297,DADOS!$A$2:$H$252,4,0)*H2297,"")</f>
        <v>16.992028</v>
      </c>
      <c r="J2297" s="36"/>
      <c r="K2297" s="25">
        <f>IFERROR(VLOOKUP(B2297,DADOS!$A$2:$H$252,4,0)*J2297,"")</f>
        <v>0</v>
      </c>
      <c r="L2297" s="26">
        <f t="shared" si="23"/>
        <v>0</v>
      </c>
      <c r="M2297" s="27"/>
      <c r="N2297" s="30"/>
      <c r="O2297" s="28"/>
      <c r="P2297" s="28"/>
      <c r="Q2297" s="28"/>
      <c r="R2297" s="28"/>
      <c r="S2297" s="28"/>
    </row>
    <row r="2298">
      <c r="A2298" s="17">
        <v>46139.0</v>
      </c>
      <c r="B2298" s="18" t="s">
        <v>16</v>
      </c>
      <c r="C2298" s="18" t="s">
        <v>65</v>
      </c>
      <c r="D2298" s="19"/>
      <c r="E2298" s="19"/>
      <c r="F2298" s="20">
        <f t="shared" si="24"/>
        <v>0</v>
      </c>
      <c r="G2298" s="67">
        <f>IFERROR(VLOOKUP(B2298,DADOS!$A$2:$H$252,8,0),"")</f>
        <v>150</v>
      </c>
      <c r="H2298" s="22">
        <v>488.0</v>
      </c>
      <c r="I2298" s="23">
        <f>IFERROR(VLOOKUP(B2298,DADOS!$A$2:$H$252,4,0)*H2298,"")</f>
        <v>14.1192064</v>
      </c>
      <c r="J2298" s="24">
        <v>1.0</v>
      </c>
      <c r="K2298" s="25">
        <f>IFERROR(VLOOKUP(B2298,DADOS!$A$2:$H$252,4,0)*J2298,"")</f>
        <v>0.0289328</v>
      </c>
      <c r="L2298" s="26">
        <f t="shared" si="23"/>
        <v>0</v>
      </c>
      <c r="M2298" s="27"/>
      <c r="N2298" s="30"/>
      <c r="O2298" s="28"/>
      <c r="P2298" s="28"/>
      <c r="Q2298" s="28"/>
      <c r="R2298" s="28"/>
      <c r="S2298" s="28"/>
    </row>
    <row r="2299">
      <c r="A2299" s="17">
        <v>46139.0</v>
      </c>
      <c r="B2299" s="18" t="s">
        <v>27</v>
      </c>
      <c r="C2299" s="18" t="s">
        <v>65</v>
      </c>
      <c r="D2299" s="19"/>
      <c r="E2299" s="19"/>
      <c r="F2299" s="20">
        <f t="shared" si="24"/>
        <v>0</v>
      </c>
      <c r="G2299" s="67">
        <f>IFERROR(VLOOKUP(B2299,DADOS!$A$2:$H$252,8,0),"")</f>
        <v>30</v>
      </c>
      <c r="H2299" s="22">
        <v>38.0</v>
      </c>
      <c r="I2299" s="23">
        <f>IFERROR(VLOOKUP(B2299,DADOS!$A$2:$H$252,4,0)*H2299,"")</f>
        <v>0.65056</v>
      </c>
      <c r="J2299" s="24">
        <v>3.0</v>
      </c>
      <c r="K2299" s="25">
        <f>IFERROR(VLOOKUP(B2299,DADOS!$A$2:$H$252,4,0)*J2299,"")</f>
        <v>0.05136</v>
      </c>
      <c r="L2299" s="26">
        <f t="shared" si="23"/>
        <v>0</v>
      </c>
      <c r="M2299" s="27"/>
      <c r="N2299" s="30"/>
      <c r="O2299" s="28"/>
      <c r="P2299" s="28"/>
      <c r="Q2299" s="28"/>
      <c r="R2299" s="28"/>
      <c r="S2299" s="28"/>
    </row>
    <row r="2300">
      <c r="A2300" s="17">
        <v>46132.0</v>
      </c>
      <c r="B2300" s="18" t="s">
        <v>16</v>
      </c>
      <c r="C2300" s="18" t="s">
        <v>65</v>
      </c>
      <c r="D2300" s="19"/>
      <c r="E2300" s="19"/>
      <c r="F2300" s="20">
        <f t="shared" si="24"/>
        <v>0</v>
      </c>
      <c r="G2300" s="67">
        <f>IFERROR(VLOOKUP(B2300,DADOS!$A$2:$H$252,8,0),"")</f>
        <v>150</v>
      </c>
      <c r="H2300" s="22">
        <v>383.0</v>
      </c>
      <c r="I2300" s="23">
        <f>IFERROR(VLOOKUP(B2300,DADOS!$A$2:$H$252,4,0)*H2300,"")</f>
        <v>11.0812624</v>
      </c>
      <c r="J2300" s="24">
        <v>1.0</v>
      </c>
      <c r="K2300" s="25">
        <f>IFERROR(VLOOKUP(B2300,DADOS!$A$2:$H$252,4,0)*J2300,"")</f>
        <v>0.0289328</v>
      </c>
      <c r="L2300" s="26">
        <f t="shared" si="23"/>
        <v>0</v>
      </c>
      <c r="M2300" s="27"/>
      <c r="N2300" s="30"/>
      <c r="O2300" s="28"/>
      <c r="P2300" s="28"/>
      <c r="Q2300" s="28"/>
      <c r="R2300" s="28"/>
      <c r="S2300" s="28"/>
    </row>
    <row r="2301">
      <c r="A2301" s="17">
        <v>46132.0</v>
      </c>
      <c r="B2301" s="18" t="s">
        <v>101</v>
      </c>
      <c r="C2301" s="18" t="s">
        <v>19</v>
      </c>
      <c r="D2301" s="19"/>
      <c r="E2301" s="19"/>
      <c r="F2301" s="20">
        <f t="shared" si="24"/>
        <v>0</v>
      </c>
      <c r="G2301" s="67" t="str">
        <f>IFERROR(VLOOKUP(B2301,DADOS!$A$2:$H$252,8,0),"")</f>
        <v/>
      </c>
      <c r="H2301" s="22">
        <v>15.0</v>
      </c>
      <c r="I2301" s="23">
        <f>IFERROR(VLOOKUP(B2301,DADOS!$A$2:$H$252,4,0)*H2301,"")</f>
        <v>2.386956</v>
      </c>
      <c r="J2301" s="36"/>
      <c r="K2301" s="25">
        <f>IFERROR(VLOOKUP(B2301,DADOS!$A$2:$H$252,4,0)*J2301,"")</f>
        <v>0</v>
      </c>
      <c r="L2301" s="26">
        <f t="shared" si="23"/>
        <v>0</v>
      </c>
      <c r="M2301" s="27"/>
      <c r="N2301" s="30"/>
      <c r="O2301" s="28"/>
      <c r="P2301" s="28"/>
      <c r="Q2301" s="28"/>
      <c r="R2301" s="28"/>
      <c r="S2301" s="28"/>
    </row>
    <row r="2302">
      <c r="A2302" s="17">
        <v>46134.0</v>
      </c>
      <c r="B2302" s="18" t="s">
        <v>18</v>
      </c>
      <c r="C2302" s="18" t="s">
        <v>165</v>
      </c>
      <c r="D2302" s="19"/>
      <c r="E2302" s="19"/>
      <c r="F2302" s="20">
        <f t="shared" si="24"/>
        <v>0</v>
      </c>
      <c r="G2302" s="67">
        <f>IFERROR(VLOOKUP(B2302,DADOS!$A$2:$H$252,8,0),"")</f>
        <v>21</v>
      </c>
      <c r="H2302" s="22">
        <v>57.0</v>
      </c>
      <c r="I2302" s="23">
        <f>IFERROR(VLOOKUP(B2302,DADOS!$A$2:$H$252,4,0)*H2302,"")</f>
        <v>16.699062</v>
      </c>
      <c r="J2302" s="24">
        <v>2.0</v>
      </c>
      <c r="K2302" s="25">
        <f>IFERROR(VLOOKUP(B2302,DADOS!$A$2:$H$252,4,0)*J2302,"")</f>
        <v>0.585932</v>
      </c>
      <c r="L2302" s="26">
        <f t="shared" si="23"/>
        <v>0</v>
      </c>
      <c r="M2302" s="27"/>
      <c r="N2302" s="30"/>
      <c r="O2302" s="28"/>
      <c r="P2302" s="28"/>
      <c r="Q2302" s="28"/>
      <c r="R2302" s="28"/>
      <c r="S2302" s="28"/>
    </row>
    <row r="2303">
      <c r="A2303" s="17">
        <v>46135.0</v>
      </c>
      <c r="B2303" s="18" t="s">
        <v>18</v>
      </c>
      <c r="C2303" s="18" t="s">
        <v>165</v>
      </c>
      <c r="D2303" s="19"/>
      <c r="E2303" s="19"/>
      <c r="F2303" s="20">
        <f t="shared" si="24"/>
        <v>0</v>
      </c>
      <c r="G2303" s="67">
        <f>IFERROR(VLOOKUP(B2303,DADOS!$A$2:$H$252,8,0),"")</f>
        <v>21</v>
      </c>
      <c r="H2303" s="22">
        <v>69.0</v>
      </c>
      <c r="I2303" s="23">
        <f>IFERROR(VLOOKUP(B2303,DADOS!$A$2:$H$252,4,0)*H2303,"")</f>
        <v>20.214654</v>
      </c>
      <c r="J2303" s="36"/>
      <c r="K2303" s="25">
        <f>IFERROR(VLOOKUP(B2303,DADOS!$A$2:$H$252,4,0)*J2303,"")</f>
        <v>0</v>
      </c>
      <c r="L2303" s="26">
        <f t="shared" si="23"/>
        <v>0</v>
      </c>
      <c r="M2303" s="27"/>
      <c r="N2303" s="30"/>
      <c r="O2303" s="28"/>
      <c r="P2303" s="28"/>
      <c r="Q2303" s="28"/>
      <c r="R2303" s="28"/>
      <c r="S2303" s="28"/>
    </row>
    <row r="2304">
      <c r="A2304" s="17">
        <v>46135.0</v>
      </c>
      <c r="B2304" s="18" t="s">
        <v>182</v>
      </c>
      <c r="C2304" s="18" t="s">
        <v>165</v>
      </c>
      <c r="D2304" s="19"/>
      <c r="E2304" s="19"/>
      <c r="F2304" s="20">
        <f t="shared" si="24"/>
        <v>0</v>
      </c>
      <c r="G2304" s="67">
        <f>IFERROR(VLOOKUP(B2304,DADOS!$A$2:$H$252,8,0),"")</f>
        <v>120</v>
      </c>
      <c r="H2304" s="22">
        <v>8.0</v>
      </c>
      <c r="I2304" s="23">
        <f>IFERROR(VLOOKUP(B2304,DADOS!$A$2:$H$252,4,0)*H2304,"")</f>
        <v>2.603952</v>
      </c>
      <c r="J2304" s="24">
        <v>1.0</v>
      </c>
      <c r="K2304" s="25">
        <f>IFERROR(VLOOKUP(B2304,DADOS!$A$2:$H$252,4,0)*J2304,"")</f>
        <v>0.325494</v>
      </c>
      <c r="L2304" s="26">
        <f t="shared" si="23"/>
        <v>0</v>
      </c>
      <c r="M2304" s="27"/>
      <c r="N2304" s="30"/>
      <c r="O2304" s="28"/>
      <c r="P2304" s="28"/>
      <c r="Q2304" s="28"/>
      <c r="R2304" s="28"/>
      <c r="S2304" s="28"/>
    </row>
    <row r="2305">
      <c r="A2305" s="17">
        <v>46140.0</v>
      </c>
      <c r="B2305" s="18" t="s">
        <v>18</v>
      </c>
      <c r="C2305" s="18" t="s">
        <v>165</v>
      </c>
      <c r="D2305" s="19">
        <v>0.3402777777777778</v>
      </c>
      <c r="E2305" s="19">
        <v>0.3958333333333333</v>
      </c>
      <c r="F2305" s="20">
        <f t="shared" si="24"/>
        <v>0.05555555556</v>
      </c>
      <c r="G2305" s="67">
        <f>IFERROR(VLOOKUP(B2305,DADOS!$A$2:$H$252,8,0),"")</f>
        <v>21</v>
      </c>
      <c r="H2305" s="22">
        <v>12.0</v>
      </c>
      <c r="I2305" s="23">
        <f>IFERROR(VLOOKUP(B2305,DADOS!$A$2:$H$252,4,0)*H2305,"")</f>
        <v>3.515592</v>
      </c>
      <c r="J2305" s="24">
        <v>1.0</v>
      </c>
      <c r="K2305" s="25">
        <f>IFERROR(VLOOKUP(B2305,DADOS!$A$2:$H$252,4,0)*J2305,"")</f>
        <v>0.292966</v>
      </c>
      <c r="L2305" s="26">
        <f t="shared" si="23"/>
        <v>0</v>
      </c>
      <c r="M2305" s="27"/>
      <c r="N2305" s="30"/>
      <c r="O2305" s="28"/>
      <c r="P2305" s="28"/>
      <c r="Q2305" s="28"/>
      <c r="R2305" s="28"/>
      <c r="S2305" s="28"/>
    </row>
    <row r="2306">
      <c r="A2306" s="17">
        <v>46140.0</v>
      </c>
      <c r="B2306" s="18" t="s">
        <v>49</v>
      </c>
      <c r="C2306" s="18" t="s">
        <v>165</v>
      </c>
      <c r="D2306" s="19">
        <v>0.4305555555555556</v>
      </c>
      <c r="E2306" s="19">
        <v>0.7152777777777778</v>
      </c>
      <c r="F2306" s="20">
        <f t="shared" si="24"/>
        <v>0.2847222222</v>
      </c>
      <c r="G2306" s="67">
        <f>IFERROR(VLOOKUP(B2306,DADOS!$A$2:$H$252,8,0),"")</f>
        <v>42</v>
      </c>
      <c r="H2306" s="22">
        <v>77.0</v>
      </c>
      <c r="I2306" s="23">
        <f>IFERROR(VLOOKUP(B2306,DADOS!$A$2:$H$252,4,0)*H2306,"")</f>
        <v>5.2383562</v>
      </c>
      <c r="J2306" s="24">
        <v>3.0</v>
      </c>
      <c r="K2306" s="25">
        <f>IFERROR(VLOOKUP(B2306,DADOS!$A$2:$H$252,4,0)*J2306,"")</f>
        <v>0.2040918</v>
      </c>
      <c r="L2306" s="26">
        <f t="shared" si="23"/>
        <v>0</v>
      </c>
      <c r="M2306" s="27"/>
      <c r="N2306" s="30"/>
      <c r="O2306" s="28"/>
      <c r="P2306" s="28"/>
      <c r="Q2306" s="28"/>
      <c r="R2306" s="28"/>
      <c r="S2306" s="28"/>
    </row>
    <row r="2307">
      <c r="A2307" s="17">
        <v>46141.0</v>
      </c>
      <c r="B2307" s="18" t="s">
        <v>49</v>
      </c>
      <c r="C2307" s="18" t="s">
        <v>165</v>
      </c>
      <c r="D2307" s="19">
        <v>0.34375</v>
      </c>
      <c r="E2307" s="19">
        <v>0.4861111111111111</v>
      </c>
      <c r="F2307" s="20">
        <f t="shared" si="24"/>
        <v>0.1423611111</v>
      </c>
      <c r="G2307" s="67">
        <f>IFERROR(VLOOKUP(B2307,DADOS!$A$2:$H$252,8,0),"")</f>
        <v>42</v>
      </c>
      <c r="H2307" s="22">
        <v>69.0</v>
      </c>
      <c r="I2307" s="23">
        <f>IFERROR(VLOOKUP(B2307,DADOS!$A$2:$H$252,4,0)*H2307,"")</f>
        <v>4.6941114</v>
      </c>
      <c r="J2307" s="24">
        <v>1.0</v>
      </c>
      <c r="K2307" s="25">
        <f>IFERROR(VLOOKUP(B2307,DADOS!$A$2:$H$252,4,0)*J2307,"")</f>
        <v>0.0680306</v>
      </c>
      <c r="L2307" s="26">
        <f t="shared" si="23"/>
        <v>0</v>
      </c>
      <c r="M2307" s="27"/>
      <c r="N2307" s="30"/>
      <c r="O2307" s="28"/>
      <c r="P2307" s="28"/>
      <c r="Q2307" s="28"/>
      <c r="R2307" s="28"/>
      <c r="S2307" s="28"/>
    </row>
    <row r="2308">
      <c r="A2308" s="17">
        <v>46141.0</v>
      </c>
      <c r="B2308" s="18" t="s">
        <v>186</v>
      </c>
      <c r="C2308" s="18" t="s">
        <v>165</v>
      </c>
      <c r="D2308" s="19">
        <v>0.5416666666666666</v>
      </c>
      <c r="E2308" s="19">
        <v>0.71875</v>
      </c>
      <c r="F2308" s="20">
        <f t="shared" si="24"/>
        <v>0.1770833333</v>
      </c>
      <c r="G2308" s="67">
        <f>IFERROR(VLOOKUP(B2308,DADOS!$A$2:$H$252,8,0),"")</f>
        <v>25</v>
      </c>
      <c r="H2308" s="22">
        <v>33.0</v>
      </c>
      <c r="I2308" s="23">
        <f>IFERROR(VLOOKUP(B2308,DADOS!$A$2:$H$252,4,0)*H2308,"")</f>
        <v>9.152352</v>
      </c>
      <c r="J2308" s="24">
        <v>5.0</v>
      </c>
      <c r="K2308" s="25">
        <f>IFERROR(VLOOKUP(B2308,DADOS!$A$2:$H$252,4,0)*J2308,"")</f>
        <v>1.38672</v>
      </c>
      <c r="L2308" s="26">
        <f t="shared" si="23"/>
        <v>0</v>
      </c>
      <c r="M2308" s="27"/>
      <c r="N2308" s="30"/>
      <c r="O2308" s="28"/>
      <c r="P2308" s="28"/>
      <c r="Q2308" s="28"/>
      <c r="R2308" s="28"/>
      <c r="S2308" s="28"/>
    </row>
    <row r="2309">
      <c r="A2309" s="17">
        <v>46141.0</v>
      </c>
      <c r="B2309" s="18" t="s">
        <v>27</v>
      </c>
      <c r="C2309" s="18" t="s">
        <v>65</v>
      </c>
      <c r="D2309" s="19"/>
      <c r="E2309" s="19"/>
      <c r="F2309" s="20">
        <f t="shared" si="24"/>
        <v>0</v>
      </c>
      <c r="G2309" s="67">
        <f>IFERROR(VLOOKUP(B2309,DADOS!$A$2:$H$252,8,0),"")</f>
        <v>30</v>
      </c>
      <c r="H2309" s="22">
        <v>62.0</v>
      </c>
      <c r="I2309" s="23">
        <f>IFERROR(VLOOKUP(B2309,DADOS!$A$2:$H$252,4,0)*H2309,"")</f>
        <v>1.06144</v>
      </c>
      <c r="J2309" s="24">
        <v>7.0</v>
      </c>
      <c r="K2309" s="25">
        <f>IFERROR(VLOOKUP(B2309,DADOS!$A$2:$H$252,4,0)*J2309,"")</f>
        <v>0.11984</v>
      </c>
      <c r="L2309" s="26">
        <f t="shared" si="23"/>
        <v>0</v>
      </c>
      <c r="M2309" s="27"/>
      <c r="N2309" s="30"/>
      <c r="O2309" s="28"/>
      <c r="P2309" s="28"/>
      <c r="Q2309" s="28"/>
      <c r="R2309" s="28"/>
      <c r="S2309" s="28"/>
    </row>
    <row r="2310">
      <c r="A2310" s="17">
        <v>46141.0</v>
      </c>
      <c r="B2310" s="18" t="s">
        <v>186</v>
      </c>
      <c r="C2310" s="18" t="s">
        <v>19</v>
      </c>
      <c r="D2310" s="19"/>
      <c r="E2310" s="19"/>
      <c r="F2310" s="20">
        <f t="shared" si="24"/>
        <v>0</v>
      </c>
      <c r="G2310" s="67">
        <f>IFERROR(VLOOKUP(B2310,DADOS!$A$2:$H$252,8,0),"")</f>
        <v>25</v>
      </c>
      <c r="H2310" s="22">
        <v>20.0</v>
      </c>
      <c r="I2310" s="23">
        <f>IFERROR(VLOOKUP(B2310,DADOS!$A$2:$H$252,4,0)*H2310,"")</f>
        <v>5.54688</v>
      </c>
      <c r="J2310" s="36"/>
      <c r="K2310" s="25">
        <f>IFERROR(VLOOKUP(B2310,DADOS!$A$2:$H$252,4,0)*J2310,"")</f>
        <v>0</v>
      </c>
      <c r="L2310" s="26">
        <f t="shared" si="23"/>
        <v>0</v>
      </c>
      <c r="M2310" s="27"/>
      <c r="N2310" s="30"/>
      <c r="O2310" s="28"/>
      <c r="P2310" s="28"/>
      <c r="Q2310" s="28"/>
      <c r="R2310" s="28"/>
      <c r="S2310" s="28"/>
    </row>
    <row r="2311">
      <c r="A2311" s="17">
        <v>46142.0</v>
      </c>
      <c r="B2311" s="18" t="s">
        <v>186</v>
      </c>
      <c r="C2311" s="18" t="s">
        <v>165</v>
      </c>
      <c r="D2311" s="19"/>
      <c r="E2311" s="19"/>
      <c r="F2311" s="20">
        <f t="shared" si="24"/>
        <v>0</v>
      </c>
      <c r="G2311" s="67">
        <f>IFERROR(VLOOKUP(B2311,DADOS!$A$2:$H$252,8,0),"")</f>
        <v>25</v>
      </c>
      <c r="H2311" s="22">
        <v>33.0</v>
      </c>
      <c r="I2311" s="23">
        <f>IFERROR(VLOOKUP(B2311,DADOS!$A$2:$H$252,4,0)*H2311,"")</f>
        <v>9.152352</v>
      </c>
      <c r="J2311" s="24">
        <v>6.0</v>
      </c>
      <c r="K2311" s="25">
        <f>IFERROR(VLOOKUP(B2311,DADOS!$A$2:$H$252,4,0)*J2311,"")</f>
        <v>1.664064</v>
      </c>
      <c r="L2311" s="26">
        <f t="shared" si="23"/>
        <v>0</v>
      </c>
      <c r="M2311" s="27"/>
      <c r="N2311" s="30"/>
      <c r="O2311" s="28"/>
      <c r="P2311" s="28"/>
      <c r="Q2311" s="28"/>
      <c r="R2311" s="28"/>
      <c r="S2311" s="28"/>
    </row>
    <row r="2312">
      <c r="A2312" s="17">
        <v>46142.0</v>
      </c>
      <c r="B2312" s="18" t="s">
        <v>25</v>
      </c>
      <c r="C2312" s="18" t="s">
        <v>165</v>
      </c>
      <c r="D2312" s="19"/>
      <c r="E2312" s="19"/>
      <c r="F2312" s="20">
        <f t="shared" si="24"/>
        <v>0</v>
      </c>
      <c r="G2312" s="67">
        <f>IFERROR(VLOOKUP(B2312,DADOS!$A$2:$H$252,8,0),"")</f>
        <v>40</v>
      </c>
      <c r="H2312" s="22">
        <v>83.0</v>
      </c>
      <c r="I2312" s="23">
        <f>IFERROR(VLOOKUP(B2312,DADOS!$A$2:$H$252,4,0)*H2312,"")</f>
        <v>8.596808</v>
      </c>
      <c r="J2312" s="24">
        <v>1.0</v>
      </c>
      <c r="K2312" s="25">
        <f>IFERROR(VLOOKUP(B2312,DADOS!$A$2:$H$252,4,0)*J2312,"")</f>
        <v>0.103576</v>
      </c>
      <c r="L2312" s="26">
        <f t="shared" si="23"/>
        <v>0</v>
      </c>
      <c r="M2312" s="27"/>
      <c r="N2312" s="30"/>
      <c r="O2312" s="28"/>
      <c r="P2312" s="28"/>
      <c r="Q2312" s="28"/>
      <c r="R2312" s="28"/>
      <c r="S2312" s="28"/>
    </row>
    <row r="2313">
      <c r="A2313" s="17">
        <v>46142.0</v>
      </c>
      <c r="B2313" s="18" t="s">
        <v>126</v>
      </c>
      <c r="C2313" s="18" t="s">
        <v>65</v>
      </c>
      <c r="D2313" s="19"/>
      <c r="E2313" s="19"/>
      <c r="F2313" s="20">
        <f t="shared" si="24"/>
        <v>0</v>
      </c>
      <c r="G2313" s="67">
        <f>IFERROR(VLOOKUP(B2313,DADOS!$A$2:$H$252,8,0),"")</f>
        <v>100</v>
      </c>
      <c r="H2313" s="22">
        <v>46.0</v>
      </c>
      <c r="I2313" s="23">
        <f>IFERROR(VLOOKUP(B2313,DADOS!$A$2:$H$252,4,0)*H2313,"")</f>
        <v>2.43639</v>
      </c>
      <c r="J2313" s="36"/>
      <c r="K2313" s="25">
        <f>IFERROR(VLOOKUP(B2313,DADOS!$A$2:$H$252,4,0)*J2313,"")</f>
        <v>0</v>
      </c>
      <c r="L2313" s="26">
        <f t="shared" si="23"/>
        <v>0</v>
      </c>
      <c r="M2313" s="27"/>
      <c r="N2313" s="30"/>
      <c r="O2313" s="28"/>
      <c r="P2313" s="28"/>
      <c r="Q2313" s="28"/>
      <c r="R2313" s="28"/>
      <c r="S2313" s="28"/>
    </row>
    <row r="2314">
      <c r="A2314" s="17">
        <v>46142.0</v>
      </c>
      <c r="B2314" s="18" t="s">
        <v>220</v>
      </c>
      <c r="C2314" s="18" t="s">
        <v>165</v>
      </c>
      <c r="D2314" s="19"/>
      <c r="E2314" s="19"/>
      <c r="F2314" s="20">
        <f t="shared" si="24"/>
        <v>0</v>
      </c>
      <c r="G2314" s="67">
        <f>IFERROR(VLOOKUP(B2314,DADOS!$A$2:$H$252,8,0),"")</f>
        <v>12</v>
      </c>
      <c r="H2314" s="22">
        <v>15.0</v>
      </c>
      <c r="I2314" s="23">
        <f>IFERROR(VLOOKUP(B2314,DADOS!$A$2:$H$252,4,0)*H2314,"")</f>
        <v>1.709004</v>
      </c>
      <c r="J2314" s="24">
        <v>1.0</v>
      </c>
      <c r="K2314" s="25">
        <f>IFERROR(VLOOKUP(B2314,DADOS!$A$2:$H$252,4,0)*J2314,"")</f>
        <v>0.1139336</v>
      </c>
      <c r="L2314" s="26">
        <f t="shared" si="23"/>
        <v>0</v>
      </c>
      <c r="M2314" s="27"/>
      <c r="N2314" s="30"/>
      <c r="O2314" s="28"/>
      <c r="P2314" s="28"/>
      <c r="Q2314" s="28"/>
      <c r="R2314" s="28"/>
      <c r="S2314" s="28"/>
    </row>
    <row r="2315">
      <c r="A2315" s="17">
        <v>46144.0</v>
      </c>
      <c r="B2315" s="18" t="s">
        <v>71</v>
      </c>
      <c r="C2315" s="18" t="s">
        <v>193</v>
      </c>
      <c r="D2315" s="19"/>
      <c r="E2315" s="19"/>
      <c r="F2315" s="20">
        <f t="shared" si="24"/>
        <v>0</v>
      </c>
      <c r="G2315" s="67">
        <f>IFERROR(VLOOKUP(B2315,DADOS!$A$2:$H$252,8,0),"")</f>
        <v>7</v>
      </c>
      <c r="H2315" s="22">
        <v>20.0</v>
      </c>
      <c r="I2315" s="23">
        <f>IFERROR(VLOOKUP(B2315,DADOS!$A$2:$H$252,4,0)*H2315,"")</f>
        <v>28.048124</v>
      </c>
      <c r="J2315" s="36"/>
      <c r="K2315" s="25">
        <f>IFERROR(VLOOKUP(B2315,DADOS!$A$2:$H$252,4,0)*J2315,"")</f>
        <v>0</v>
      </c>
      <c r="L2315" s="26">
        <f t="shared" si="23"/>
        <v>0</v>
      </c>
      <c r="M2315" s="27"/>
      <c r="N2315" s="30"/>
      <c r="O2315" s="28"/>
      <c r="P2315" s="28"/>
      <c r="Q2315" s="28"/>
      <c r="R2315" s="28"/>
      <c r="S2315" s="28"/>
    </row>
    <row r="2316">
      <c r="A2316" s="17">
        <v>46146.0</v>
      </c>
      <c r="B2316" s="18" t="s">
        <v>25</v>
      </c>
      <c r="C2316" s="18" t="s">
        <v>165</v>
      </c>
      <c r="D2316" s="19">
        <v>0.3194444444444444</v>
      </c>
      <c r="E2316" s="19">
        <v>0.71875</v>
      </c>
      <c r="F2316" s="20">
        <f t="shared" si="24"/>
        <v>0.3993055556</v>
      </c>
      <c r="G2316" s="67">
        <f>IFERROR(VLOOKUP(B2316,DADOS!$A$2:$H$252,8,0),"")</f>
        <v>40</v>
      </c>
      <c r="H2316" s="22">
        <v>83.0</v>
      </c>
      <c r="I2316" s="23"/>
      <c r="J2316" s="24">
        <v>1.0</v>
      </c>
      <c r="K2316" s="25">
        <f>IFERROR(VLOOKUP(B2316,DADOS!$A$2:$H$252,4,0)*J2316,"")</f>
        <v>0.103576</v>
      </c>
      <c r="L2316" s="26" t="str">
        <f t="shared" si="23"/>
        <v/>
      </c>
      <c r="M2316" s="27"/>
      <c r="N2316" s="30"/>
      <c r="O2316" s="28"/>
      <c r="P2316" s="28"/>
      <c r="Q2316" s="28"/>
      <c r="R2316" s="28"/>
      <c r="S2316" s="28"/>
    </row>
    <row r="2317">
      <c r="A2317" s="17">
        <v>46146.0</v>
      </c>
      <c r="B2317" s="18" t="s">
        <v>229</v>
      </c>
      <c r="C2317" s="18" t="s">
        <v>65</v>
      </c>
      <c r="D2317" s="19"/>
      <c r="E2317" s="19"/>
      <c r="F2317" s="20">
        <f t="shared" si="24"/>
        <v>0</v>
      </c>
      <c r="G2317" s="67">
        <f>IFERROR(VLOOKUP(B2317,DADOS!$A$2:$H$252,8,0),"")</f>
        <v>65</v>
      </c>
      <c r="H2317" s="22">
        <v>47.0</v>
      </c>
      <c r="I2317" s="23"/>
      <c r="J2317" s="24">
        <v>1.0</v>
      </c>
      <c r="K2317" s="25">
        <f>IFERROR(VLOOKUP(B2317,DADOS!$A$2:$H$252,4,0)*J2317,"")</f>
        <v>0.052965</v>
      </c>
      <c r="L2317" s="26" t="str">
        <f t="shared" si="23"/>
        <v/>
      </c>
      <c r="M2317" s="27"/>
      <c r="N2317" s="30"/>
      <c r="O2317" s="28"/>
      <c r="P2317" s="28"/>
      <c r="Q2317" s="28"/>
      <c r="R2317" s="28"/>
      <c r="S2317" s="28"/>
    </row>
    <row r="2318">
      <c r="A2318" s="17">
        <v>46146.0</v>
      </c>
      <c r="B2318" s="18" t="s">
        <v>126</v>
      </c>
      <c r="C2318" s="18" t="s">
        <v>65</v>
      </c>
      <c r="D2318" s="19"/>
      <c r="E2318" s="19"/>
      <c r="F2318" s="20">
        <f t="shared" si="24"/>
        <v>0</v>
      </c>
      <c r="G2318" s="67">
        <f>IFERROR(VLOOKUP(B2318,DADOS!$A$2:$H$252,8,0),"")</f>
        <v>100</v>
      </c>
      <c r="H2318" s="22">
        <v>103.0</v>
      </c>
      <c r="I2318" s="23"/>
      <c r="J2318" s="36"/>
      <c r="K2318" s="25">
        <f>IFERROR(VLOOKUP(B2318,DADOS!$A$2:$H$252,4,0)*J2318,"")</f>
        <v>0</v>
      </c>
      <c r="L2318" s="26" t="str">
        <f t="shared" si="23"/>
        <v/>
      </c>
      <c r="M2318" s="27"/>
      <c r="N2318" s="30"/>
      <c r="O2318" s="28"/>
      <c r="P2318" s="28"/>
      <c r="Q2318" s="28"/>
      <c r="R2318" s="28"/>
      <c r="S2318" s="28"/>
    </row>
    <row r="2319">
      <c r="A2319" s="43">
        <v>46147.0</v>
      </c>
      <c r="B2319" s="44" t="s">
        <v>96</v>
      </c>
      <c r="C2319" s="44" t="s">
        <v>80</v>
      </c>
      <c r="D2319" s="45"/>
      <c r="E2319" s="45"/>
      <c r="F2319" s="102">
        <f t="shared" si="24"/>
        <v>0</v>
      </c>
      <c r="G2319" s="46">
        <f>IFERROR(VLOOKUP(B2319,DADOS!$A$2:$H$252,8,0),"")</f>
        <v>27</v>
      </c>
      <c r="H2319" s="47"/>
      <c r="I2319" s="48"/>
      <c r="J2319" s="46">
        <v>8.0</v>
      </c>
      <c r="K2319" s="49">
        <f>IFERROR(VLOOKUP(B2319,DADOS!$A$2:$H$252,4,0)*J2319,"")</f>
        <v>0.75328</v>
      </c>
      <c r="L2319" s="50">
        <f t="shared" si="23"/>
        <v>0</v>
      </c>
      <c r="M2319" s="33" t="s">
        <v>83</v>
      </c>
      <c r="N2319" s="33" t="s">
        <v>88</v>
      </c>
      <c r="O2319" s="63"/>
      <c r="P2319" s="63"/>
      <c r="Q2319" s="63"/>
      <c r="R2319" s="63"/>
      <c r="S2319" s="63"/>
      <c r="T2319" s="64"/>
      <c r="U2319" s="64"/>
      <c r="V2319" s="64"/>
      <c r="W2319" s="64"/>
      <c r="X2319" s="64"/>
      <c r="Y2319" s="64"/>
      <c r="Z2319" s="64"/>
      <c r="AA2319" s="64"/>
      <c r="AB2319" s="64"/>
      <c r="AC2319" s="64"/>
      <c r="AD2319" s="64"/>
      <c r="AE2319" s="64"/>
      <c r="AF2319" s="64"/>
      <c r="AG2319" s="64"/>
      <c r="AH2319" s="64"/>
      <c r="AI2319" s="64"/>
      <c r="AJ2319" s="64"/>
    </row>
    <row r="2320">
      <c r="A2320" s="43">
        <v>46147.0</v>
      </c>
      <c r="B2320" s="44" t="s">
        <v>79</v>
      </c>
      <c r="C2320" s="44" t="s">
        <v>80</v>
      </c>
      <c r="D2320" s="45"/>
      <c r="E2320" s="45"/>
      <c r="F2320" s="102">
        <f t="shared" si="24"/>
        <v>0</v>
      </c>
      <c r="G2320" s="46">
        <f>IFERROR(VLOOKUP(B2320,DADOS!$A$2:$H$252,8,0),"")</f>
        <v>87</v>
      </c>
      <c r="H2320" s="47"/>
      <c r="I2320" s="48"/>
      <c r="J2320" s="46">
        <v>1.0</v>
      </c>
      <c r="K2320" s="49">
        <f>IFERROR(VLOOKUP(B2320,DADOS!$A$2:$H$252,4,0)*J2320,"")</f>
        <v>0.01712</v>
      </c>
      <c r="L2320" s="50">
        <f t="shared" si="23"/>
        <v>0</v>
      </c>
      <c r="M2320" s="33" t="s">
        <v>83</v>
      </c>
      <c r="N2320" s="33" t="s">
        <v>88</v>
      </c>
      <c r="O2320" s="63"/>
      <c r="P2320" s="63"/>
      <c r="Q2320" s="63"/>
      <c r="R2320" s="63"/>
      <c r="S2320" s="63"/>
      <c r="T2320" s="64"/>
      <c r="U2320" s="64"/>
      <c r="V2320" s="64"/>
      <c r="W2320" s="64"/>
      <c r="X2320" s="64"/>
      <c r="Y2320" s="64"/>
      <c r="Z2320" s="64"/>
      <c r="AA2320" s="64"/>
      <c r="AB2320" s="64"/>
      <c r="AC2320" s="64"/>
      <c r="AD2320" s="64"/>
      <c r="AE2320" s="64"/>
      <c r="AF2320" s="64"/>
      <c r="AG2320" s="64"/>
      <c r="AH2320" s="64"/>
      <c r="AI2320" s="64"/>
      <c r="AJ2320" s="64"/>
    </row>
    <row r="2321">
      <c r="A2321" s="43">
        <v>46147.0</v>
      </c>
      <c r="B2321" s="44" t="s">
        <v>98</v>
      </c>
      <c r="C2321" s="44" t="s">
        <v>80</v>
      </c>
      <c r="D2321" s="45"/>
      <c r="E2321" s="45"/>
      <c r="F2321" s="102">
        <f t="shared" si="24"/>
        <v>0</v>
      </c>
      <c r="G2321" s="46">
        <f>IFERROR(VLOOKUP(B2321,DADOS!$A$2:$H$252,8,0),"")</f>
        <v>100</v>
      </c>
      <c r="H2321" s="47"/>
      <c r="I2321" s="48"/>
      <c r="J2321" s="46">
        <v>1.0</v>
      </c>
      <c r="K2321" s="49">
        <f>IFERROR(VLOOKUP(B2321,DADOS!$A$2:$H$252,4,0)*J2321,"")</f>
        <v>0.26964</v>
      </c>
      <c r="L2321" s="50">
        <f t="shared" si="23"/>
        <v>0</v>
      </c>
      <c r="M2321" s="33" t="s">
        <v>83</v>
      </c>
      <c r="N2321" s="33" t="s">
        <v>88</v>
      </c>
      <c r="O2321" s="63"/>
      <c r="P2321" s="63"/>
      <c r="Q2321" s="63"/>
      <c r="R2321" s="63"/>
      <c r="S2321" s="63"/>
      <c r="T2321" s="64"/>
      <c r="U2321" s="64"/>
      <c r="V2321" s="64"/>
      <c r="W2321" s="64"/>
      <c r="X2321" s="64"/>
      <c r="Y2321" s="64"/>
      <c r="Z2321" s="64"/>
      <c r="AA2321" s="64"/>
      <c r="AB2321" s="64"/>
      <c r="AC2321" s="64"/>
      <c r="AD2321" s="64"/>
      <c r="AE2321" s="64"/>
      <c r="AF2321" s="64"/>
      <c r="AG2321" s="64"/>
      <c r="AH2321" s="64"/>
      <c r="AI2321" s="64"/>
      <c r="AJ2321" s="64"/>
    </row>
    <row r="2322">
      <c r="A2322" s="43">
        <v>46147.0</v>
      </c>
      <c r="B2322" s="44" t="s">
        <v>18</v>
      </c>
      <c r="C2322" s="44" t="s">
        <v>80</v>
      </c>
      <c r="D2322" s="45"/>
      <c r="E2322" s="45"/>
      <c r="F2322" s="102">
        <f t="shared" si="24"/>
        <v>0</v>
      </c>
      <c r="G2322" s="46">
        <f>IFERROR(VLOOKUP(B2322,DADOS!$A$2:$H$252,8,0),"")</f>
        <v>21</v>
      </c>
      <c r="H2322" s="47"/>
      <c r="I2322" s="48"/>
      <c r="J2322" s="46">
        <v>1.0</v>
      </c>
      <c r="K2322" s="49">
        <f>IFERROR(VLOOKUP(B2322,DADOS!$A$2:$H$252,4,0)*J2322,"")</f>
        <v>0.292966</v>
      </c>
      <c r="L2322" s="50">
        <f t="shared" si="23"/>
        <v>0</v>
      </c>
      <c r="M2322" s="33" t="s">
        <v>83</v>
      </c>
      <c r="N2322" s="33" t="s">
        <v>88</v>
      </c>
      <c r="O2322" s="63"/>
      <c r="P2322" s="63"/>
      <c r="Q2322" s="63"/>
      <c r="R2322" s="63"/>
      <c r="S2322" s="63"/>
      <c r="T2322" s="64"/>
      <c r="U2322" s="64"/>
      <c r="V2322" s="64"/>
      <c r="W2322" s="64"/>
      <c r="X2322" s="64"/>
      <c r="Y2322" s="64"/>
      <c r="Z2322" s="64"/>
      <c r="AA2322" s="64"/>
      <c r="AB2322" s="64"/>
      <c r="AC2322" s="64"/>
      <c r="AD2322" s="64"/>
      <c r="AE2322" s="64"/>
      <c r="AF2322" s="64"/>
      <c r="AG2322" s="64"/>
      <c r="AH2322" s="64"/>
      <c r="AI2322" s="64"/>
      <c r="AJ2322" s="64"/>
    </row>
    <row r="2323">
      <c r="A2323" s="43">
        <v>46147.0</v>
      </c>
      <c r="B2323" s="44" t="s">
        <v>125</v>
      </c>
      <c r="C2323" s="44" t="s">
        <v>80</v>
      </c>
      <c r="D2323" s="45"/>
      <c r="E2323" s="45"/>
      <c r="F2323" s="102">
        <f t="shared" si="24"/>
        <v>0</v>
      </c>
      <c r="G2323" s="46">
        <f>IFERROR(VLOOKUP(B2323,DADOS!$A$2:$H$252,8,0),"")</f>
        <v>12</v>
      </c>
      <c r="H2323" s="47"/>
      <c r="I2323" s="48"/>
      <c r="J2323" s="46">
        <v>1.0</v>
      </c>
      <c r="K2323" s="49">
        <f>IFERROR(VLOOKUP(B2323,DADOS!$A$2:$H$252,4,0)*J2323,"")</f>
        <v>0.1845536</v>
      </c>
      <c r="L2323" s="50">
        <f t="shared" si="23"/>
        <v>0</v>
      </c>
      <c r="M2323" s="33" t="s">
        <v>83</v>
      </c>
      <c r="N2323" s="33" t="s">
        <v>88</v>
      </c>
      <c r="O2323" s="63"/>
      <c r="P2323" s="63"/>
      <c r="Q2323" s="63"/>
      <c r="R2323" s="63"/>
      <c r="S2323" s="63"/>
      <c r="T2323" s="64"/>
      <c r="U2323" s="64"/>
      <c r="V2323" s="64"/>
      <c r="W2323" s="64"/>
      <c r="X2323" s="64"/>
      <c r="Y2323" s="64"/>
      <c r="Z2323" s="64"/>
      <c r="AA2323" s="64"/>
      <c r="AB2323" s="64"/>
      <c r="AC2323" s="64"/>
      <c r="AD2323" s="64"/>
      <c r="AE2323" s="64"/>
      <c r="AF2323" s="64"/>
      <c r="AG2323" s="64"/>
      <c r="AH2323" s="64"/>
      <c r="AI2323" s="64"/>
      <c r="AJ2323" s="64"/>
    </row>
    <row r="2324">
      <c r="A2324" s="43">
        <v>46147.0</v>
      </c>
      <c r="B2324" s="44" t="s">
        <v>190</v>
      </c>
      <c r="C2324" s="44" t="s">
        <v>80</v>
      </c>
      <c r="D2324" s="45"/>
      <c r="E2324" s="45"/>
      <c r="F2324" s="102">
        <f t="shared" si="24"/>
        <v>0</v>
      </c>
      <c r="G2324" s="46">
        <f>IFERROR(VLOOKUP(B2324,DADOS!$A$2:$H$252,8,0),"")</f>
        <v>12</v>
      </c>
      <c r="H2324" s="47"/>
      <c r="I2324" s="48"/>
      <c r="J2324" s="46">
        <v>1.0</v>
      </c>
      <c r="K2324" s="49">
        <f>IFERROR(VLOOKUP(B2324,DADOS!$A$2:$H$252,4,0)*J2324,"")</f>
        <v>0.395686</v>
      </c>
      <c r="L2324" s="50">
        <f t="shared" si="23"/>
        <v>0</v>
      </c>
      <c r="M2324" s="33" t="s">
        <v>83</v>
      </c>
      <c r="N2324" s="33" t="s">
        <v>88</v>
      </c>
      <c r="O2324" s="63"/>
      <c r="P2324" s="63"/>
      <c r="Q2324" s="63"/>
      <c r="R2324" s="63"/>
      <c r="S2324" s="63"/>
      <c r="T2324" s="64"/>
      <c r="U2324" s="64"/>
      <c r="V2324" s="64"/>
      <c r="W2324" s="64"/>
      <c r="X2324" s="64"/>
      <c r="Y2324" s="64"/>
      <c r="Z2324" s="64"/>
      <c r="AA2324" s="64"/>
      <c r="AB2324" s="64"/>
      <c r="AC2324" s="64"/>
      <c r="AD2324" s="64"/>
      <c r="AE2324" s="64"/>
      <c r="AF2324" s="64"/>
      <c r="AG2324" s="64"/>
      <c r="AH2324" s="64"/>
      <c r="AI2324" s="64"/>
      <c r="AJ2324" s="64"/>
    </row>
    <row r="2325">
      <c r="A2325" s="43">
        <v>46147.0</v>
      </c>
      <c r="B2325" s="44" t="s">
        <v>186</v>
      </c>
      <c r="C2325" s="44" t="s">
        <v>80</v>
      </c>
      <c r="D2325" s="45"/>
      <c r="E2325" s="45"/>
      <c r="F2325" s="102">
        <f t="shared" si="24"/>
        <v>0</v>
      </c>
      <c r="G2325" s="46">
        <f>IFERROR(VLOOKUP(B2325,DADOS!$A$2:$H$252,8,0),"")</f>
        <v>25</v>
      </c>
      <c r="H2325" s="47"/>
      <c r="I2325" s="48"/>
      <c r="J2325" s="46">
        <v>1.0</v>
      </c>
      <c r="K2325" s="49">
        <f>IFERROR(VLOOKUP(B2325,DADOS!$A$2:$H$252,4,0)*J2325,"")</f>
        <v>0.277344</v>
      </c>
      <c r="L2325" s="50">
        <f t="shared" si="23"/>
        <v>0</v>
      </c>
      <c r="M2325" s="33" t="s">
        <v>39</v>
      </c>
      <c r="N2325" s="33" t="s">
        <v>89</v>
      </c>
      <c r="O2325" s="63"/>
      <c r="P2325" s="63"/>
      <c r="Q2325" s="63"/>
      <c r="R2325" s="63"/>
      <c r="S2325" s="63"/>
      <c r="T2325" s="64"/>
      <c r="U2325" s="64"/>
      <c r="V2325" s="64"/>
      <c r="W2325" s="64"/>
      <c r="X2325" s="64"/>
      <c r="Y2325" s="64"/>
      <c r="Z2325" s="64"/>
      <c r="AA2325" s="64"/>
      <c r="AB2325" s="64"/>
      <c r="AC2325" s="64"/>
      <c r="AD2325" s="64"/>
      <c r="AE2325" s="64"/>
      <c r="AF2325" s="64"/>
      <c r="AG2325" s="64"/>
      <c r="AH2325" s="64"/>
      <c r="AI2325" s="64"/>
      <c r="AJ2325" s="64"/>
    </row>
    <row r="2326">
      <c r="A2326" s="43">
        <v>46147.0</v>
      </c>
      <c r="B2326" s="44" t="s">
        <v>186</v>
      </c>
      <c r="C2326" s="44" t="s">
        <v>80</v>
      </c>
      <c r="D2326" s="45"/>
      <c r="E2326" s="45"/>
      <c r="F2326" s="102">
        <f t="shared" si="24"/>
        <v>0</v>
      </c>
      <c r="G2326" s="46">
        <f>IFERROR(VLOOKUP(B2326,DADOS!$A$2:$H$252,8,0),"")</f>
        <v>25</v>
      </c>
      <c r="H2326" s="47"/>
      <c r="I2326" s="48"/>
      <c r="J2326" s="46">
        <v>1.0</v>
      </c>
      <c r="K2326" s="49">
        <f>IFERROR(VLOOKUP(B2326,DADOS!$A$2:$H$252,4,0)*J2326,"")</f>
        <v>0.277344</v>
      </c>
      <c r="L2326" s="50">
        <f t="shared" si="23"/>
        <v>0</v>
      </c>
      <c r="M2326" s="33" t="s">
        <v>39</v>
      </c>
      <c r="N2326" s="33" t="s">
        <v>163</v>
      </c>
      <c r="O2326" s="63"/>
      <c r="P2326" s="63"/>
      <c r="Q2326" s="63"/>
      <c r="R2326" s="63"/>
      <c r="S2326" s="63"/>
      <c r="T2326" s="64"/>
      <c r="U2326" s="64"/>
      <c r="V2326" s="64"/>
      <c r="W2326" s="64"/>
      <c r="X2326" s="64"/>
      <c r="Y2326" s="64"/>
      <c r="Z2326" s="64"/>
      <c r="AA2326" s="64"/>
      <c r="AB2326" s="64"/>
      <c r="AC2326" s="64"/>
      <c r="AD2326" s="64"/>
      <c r="AE2326" s="64"/>
      <c r="AF2326" s="64"/>
      <c r="AG2326" s="64"/>
      <c r="AH2326" s="64"/>
      <c r="AI2326" s="64"/>
      <c r="AJ2326" s="64"/>
    </row>
    <row r="2327">
      <c r="A2327" s="43">
        <v>46147.0</v>
      </c>
      <c r="B2327" s="44" t="s">
        <v>133</v>
      </c>
      <c r="C2327" s="44" t="s">
        <v>80</v>
      </c>
      <c r="D2327" s="45"/>
      <c r="E2327" s="45"/>
      <c r="F2327" s="102">
        <f t="shared" si="24"/>
        <v>0</v>
      </c>
      <c r="G2327" s="46">
        <f>IFERROR(VLOOKUP(B2327,DADOS!$A$2:$H$252,8,0),"")</f>
        <v>20</v>
      </c>
      <c r="H2327" s="47"/>
      <c r="I2327" s="48"/>
      <c r="J2327" s="46">
        <v>1.0</v>
      </c>
      <c r="K2327" s="49">
        <f>IFERROR(VLOOKUP(B2327,DADOS!$A$2:$H$252,4,0)*J2327,"")</f>
        <v>0.077254</v>
      </c>
      <c r="L2327" s="50">
        <f t="shared" si="23"/>
        <v>0</v>
      </c>
      <c r="M2327" s="33" t="s">
        <v>39</v>
      </c>
      <c r="N2327" s="33" t="s">
        <v>86</v>
      </c>
      <c r="O2327" s="63"/>
      <c r="P2327" s="63"/>
      <c r="Q2327" s="63"/>
      <c r="R2327" s="63"/>
      <c r="S2327" s="63"/>
      <c r="T2327" s="64"/>
      <c r="U2327" s="64"/>
      <c r="V2327" s="64"/>
      <c r="W2327" s="64"/>
      <c r="X2327" s="64"/>
      <c r="Y2327" s="64"/>
      <c r="Z2327" s="64"/>
      <c r="AA2327" s="64"/>
      <c r="AB2327" s="64"/>
      <c r="AC2327" s="64"/>
      <c r="AD2327" s="64"/>
      <c r="AE2327" s="64"/>
      <c r="AF2327" s="64"/>
      <c r="AG2327" s="64"/>
      <c r="AH2327" s="64"/>
      <c r="AI2327" s="64"/>
      <c r="AJ2327" s="64"/>
    </row>
    <row r="2328">
      <c r="A2328" s="43">
        <v>46147.0</v>
      </c>
      <c r="B2328" s="44" t="s">
        <v>230</v>
      </c>
      <c r="C2328" s="44" t="s">
        <v>80</v>
      </c>
      <c r="D2328" s="45"/>
      <c r="E2328" s="45"/>
      <c r="F2328" s="102">
        <f t="shared" si="24"/>
        <v>0</v>
      </c>
      <c r="G2328" s="46">
        <f>IFERROR(VLOOKUP(B2328,DADOS!$A$2:$H$252,8,0),"")</f>
        <v>10</v>
      </c>
      <c r="H2328" s="47"/>
      <c r="I2328" s="48"/>
      <c r="J2328" s="46">
        <v>1.0</v>
      </c>
      <c r="K2328" s="49">
        <f>IFERROR(VLOOKUP(B2328,DADOS!$A$2:$H$252,4,0)*J2328,"")</f>
        <v>0.3424</v>
      </c>
      <c r="L2328" s="50">
        <f t="shared" si="23"/>
        <v>0</v>
      </c>
      <c r="M2328" s="33" t="s">
        <v>39</v>
      </c>
      <c r="N2328" s="33" t="s">
        <v>120</v>
      </c>
      <c r="O2328" s="63"/>
      <c r="P2328" s="63"/>
      <c r="Q2328" s="63"/>
      <c r="R2328" s="63"/>
      <c r="S2328" s="63"/>
      <c r="T2328" s="64"/>
      <c r="U2328" s="64"/>
      <c r="V2328" s="64"/>
      <c r="W2328" s="64"/>
      <c r="X2328" s="64"/>
      <c r="Y2328" s="64"/>
      <c r="Z2328" s="64"/>
      <c r="AA2328" s="64"/>
      <c r="AB2328" s="64"/>
      <c r="AC2328" s="64"/>
      <c r="AD2328" s="64"/>
      <c r="AE2328" s="64"/>
      <c r="AF2328" s="64"/>
      <c r="AG2328" s="64"/>
      <c r="AH2328" s="64"/>
      <c r="AI2328" s="64"/>
      <c r="AJ2328" s="64"/>
    </row>
    <row r="2329">
      <c r="A2329" s="43">
        <v>46147.0</v>
      </c>
      <c r="B2329" s="44" t="s">
        <v>62</v>
      </c>
      <c r="C2329" s="44" t="s">
        <v>80</v>
      </c>
      <c r="D2329" s="45"/>
      <c r="E2329" s="45"/>
      <c r="F2329" s="102">
        <f t="shared" si="24"/>
        <v>0</v>
      </c>
      <c r="G2329" s="46">
        <f>IFERROR(VLOOKUP(B2329,DADOS!$A$2:$H$252,8,0),"")</f>
        <v>14</v>
      </c>
      <c r="H2329" s="47"/>
      <c r="I2329" s="48"/>
      <c r="J2329" s="46">
        <v>3.0</v>
      </c>
      <c r="K2329" s="49">
        <f>IFERROR(VLOOKUP(B2329,DADOS!$A$2:$H$252,4,0)*J2329,"")</f>
        <v>0.2549382</v>
      </c>
      <c r="L2329" s="50">
        <f t="shared" si="23"/>
        <v>0</v>
      </c>
      <c r="M2329" s="33" t="s">
        <v>83</v>
      </c>
      <c r="N2329" s="33" t="s">
        <v>88</v>
      </c>
      <c r="O2329" s="63"/>
      <c r="P2329" s="63"/>
      <c r="Q2329" s="63"/>
      <c r="R2329" s="63"/>
      <c r="S2329" s="63"/>
      <c r="T2329" s="64"/>
      <c r="U2329" s="64"/>
      <c r="V2329" s="64"/>
      <c r="W2329" s="64"/>
      <c r="X2329" s="64"/>
      <c r="Y2329" s="64"/>
      <c r="Z2329" s="64"/>
      <c r="AA2329" s="64"/>
      <c r="AB2329" s="64"/>
      <c r="AC2329" s="64"/>
      <c r="AD2329" s="64"/>
      <c r="AE2329" s="64"/>
      <c r="AF2329" s="64"/>
      <c r="AG2329" s="64"/>
      <c r="AH2329" s="64"/>
      <c r="AI2329" s="64"/>
      <c r="AJ2329" s="64"/>
    </row>
    <row r="2330">
      <c r="A2330" s="43">
        <v>46147.0</v>
      </c>
      <c r="B2330" s="44" t="s">
        <v>24</v>
      </c>
      <c r="C2330" s="44" t="s">
        <v>80</v>
      </c>
      <c r="D2330" s="45"/>
      <c r="E2330" s="45"/>
      <c r="F2330" s="102">
        <f t="shared" si="24"/>
        <v>0</v>
      </c>
      <c r="G2330" s="46">
        <f>IFERROR(VLOOKUP(B2330,DADOS!$A$2:$H$252,8,0),"")</f>
        <v>37</v>
      </c>
      <c r="H2330" s="47"/>
      <c r="I2330" s="48"/>
      <c r="J2330" s="46">
        <v>1.0</v>
      </c>
      <c r="K2330" s="49">
        <f>IFERROR(VLOOKUP(B2330,DADOS!$A$2:$H$252,4,0)*J2330,"")</f>
        <v>0.1139336</v>
      </c>
      <c r="L2330" s="50">
        <f t="shared" si="23"/>
        <v>0</v>
      </c>
      <c r="M2330" s="33" t="s">
        <v>83</v>
      </c>
      <c r="N2330" s="33" t="s">
        <v>88</v>
      </c>
      <c r="O2330" s="63"/>
      <c r="P2330" s="63"/>
      <c r="Q2330" s="63"/>
      <c r="R2330" s="63"/>
      <c r="S2330" s="63"/>
      <c r="T2330" s="64"/>
      <c r="U2330" s="64"/>
      <c r="V2330" s="64"/>
      <c r="W2330" s="64"/>
      <c r="X2330" s="64"/>
      <c r="Y2330" s="64"/>
      <c r="Z2330" s="64"/>
      <c r="AA2330" s="64"/>
      <c r="AB2330" s="64"/>
      <c r="AC2330" s="64"/>
      <c r="AD2330" s="64"/>
      <c r="AE2330" s="64"/>
      <c r="AF2330" s="64"/>
      <c r="AG2330" s="64"/>
      <c r="AH2330" s="64"/>
      <c r="AI2330" s="64"/>
      <c r="AJ2330" s="64"/>
    </row>
    <row r="2331">
      <c r="A2331" s="43">
        <v>46147.0</v>
      </c>
      <c r="B2331" s="44" t="s">
        <v>137</v>
      </c>
      <c r="C2331" s="44" t="s">
        <v>80</v>
      </c>
      <c r="D2331" s="45"/>
      <c r="E2331" s="45"/>
      <c r="F2331" s="102">
        <f t="shared" si="24"/>
        <v>0</v>
      </c>
      <c r="G2331" s="46">
        <f>IFERROR(VLOOKUP(B2331,DADOS!$A$2:$H$252,8,0),"")</f>
        <v>12</v>
      </c>
      <c r="H2331" s="47"/>
      <c r="I2331" s="48"/>
      <c r="J2331" s="46">
        <v>1.0</v>
      </c>
      <c r="K2331" s="49">
        <f>IFERROR(VLOOKUP(B2331,DADOS!$A$2:$H$252,4,0)*J2331,"")</f>
        <v>0.1139336</v>
      </c>
      <c r="L2331" s="50">
        <f t="shared" si="23"/>
        <v>0</v>
      </c>
      <c r="M2331" s="33" t="s">
        <v>39</v>
      </c>
      <c r="N2331" s="33" t="s">
        <v>163</v>
      </c>
      <c r="O2331" s="63"/>
      <c r="P2331" s="63"/>
      <c r="Q2331" s="63"/>
      <c r="R2331" s="63"/>
      <c r="S2331" s="63"/>
      <c r="T2331" s="64"/>
      <c r="U2331" s="64"/>
      <c r="V2331" s="64"/>
      <c r="W2331" s="64"/>
      <c r="X2331" s="64"/>
      <c r="Y2331" s="64"/>
      <c r="Z2331" s="64"/>
      <c r="AA2331" s="64"/>
      <c r="AB2331" s="64"/>
      <c r="AC2331" s="64"/>
      <c r="AD2331" s="64"/>
      <c r="AE2331" s="64"/>
      <c r="AF2331" s="64"/>
      <c r="AG2331" s="64"/>
      <c r="AH2331" s="64"/>
      <c r="AI2331" s="64"/>
      <c r="AJ2331" s="64"/>
    </row>
    <row r="2332">
      <c r="A2332" s="43">
        <v>46147.0</v>
      </c>
      <c r="B2332" s="44" t="s">
        <v>28</v>
      </c>
      <c r="C2332" s="44" t="s">
        <v>80</v>
      </c>
      <c r="D2332" s="45"/>
      <c r="E2332" s="45"/>
      <c r="F2332" s="102">
        <f t="shared" si="24"/>
        <v>0</v>
      </c>
      <c r="G2332" s="46">
        <f>IFERROR(VLOOKUP(B2332,DADOS!$A$2:$H$252,8,0),"")</f>
        <v>25</v>
      </c>
      <c r="H2332" s="47"/>
      <c r="I2332" s="48"/>
      <c r="J2332" s="46">
        <v>1.0</v>
      </c>
      <c r="K2332" s="49">
        <f>IFERROR(VLOOKUP(B2332,DADOS!$A$2:$H$252,4,0)*J2332,"")</f>
        <v>0.1139336</v>
      </c>
      <c r="L2332" s="50">
        <f t="shared" si="23"/>
        <v>0</v>
      </c>
      <c r="M2332" s="33" t="s">
        <v>83</v>
      </c>
      <c r="N2332" s="33" t="s">
        <v>88</v>
      </c>
      <c r="O2332" s="63"/>
      <c r="P2332" s="63"/>
      <c r="Q2332" s="63"/>
      <c r="R2332" s="63"/>
      <c r="S2332" s="63"/>
      <c r="T2332" s="64"/>
      <c r="U2332" s="64"/>
      <c r="V2332" s="64"/>
      <c r="W2332" s="64"/>
      <c r="X2332" s="64"/>
      <c r="Y2332" s="64"/>
      <c r="Z2332" s="64"/>
      <c r="AA2332" s="64"/>
      <c r="AB2332" s="64"/>
      <c r="AC2332" s="64"/>
      <c r="AD2332" s="64"/>
      <c r="AE2332" s="64"/>
      <c r="AF2332" s="64"/>
      <c r="AG2332" s="64"/>
      <c r="AH2332" s="64"/>
      <c r="AI2332" s="64"/>
      <c r="AJ2332" s="64"/>
    </row>
    <row r="2333">
      <c r="A2333" s="43">
        <v>46147.0</v>
      </c>
      <c r="B2333" s="44" t="s">
        <v>75</v>
      </c>
      <c r="C2333" s="44" t="s">
        <v>80</v>
      </c>
      <c r="D2333" s="45"/>
      <c r="E2333" s="45"/>
      <c r="F2333" s="102">
        <f t="shared" si="24"/>
        <v>0</v>
      </c>
      <c r="G2333" s="46">
        <f>IFERROR(VLOOKUP(B2333,DADOS!$A$2:$H$252,8,0),"")</f>
        <v>23</v>
      </c>
      <c r="H2333" s="47"/>
      <c r="I2333" s="48"/>
      <c r="J2333" s="46">
        <v>1.0</v>
      </c>
      <c r="K2333" s="49">
        <f>IFERROR(VLOOKUP(B2333,DADOS!$A$2:$H$252,4,0)*J2333,"")</f>
        <v>0.1139336</v>
      </c>
      <c r="L2333" s="50">
        <f t="shared" si="23"/>
        <v>0</v>
      </c>
      <c r="M2333" s="33" t="s">
        <v>83</v>
      </c>
      <c r="N2333" s="33" t="s">
        <v>88</v>
      </c>
      <c r="O2333" s="63"/>
      <c r="P2333" s="63"/>
      <c r="Q2333" s="63"/>
      <c r="R2333" s="63"/>
      <c r="S2333" s="63"/>
      <c r="T2333" s="64"/>
      <c r="U2333" s="64"/>
      <c r="V2333" s="64"/>
      <c r="W2333" s="64"/>
      <c r="X2333" s="64"/>
      <c r="Y2333" s="64"/>
      <c r="Z2333" s="64"/>
      <c r="AA2333" s="64"/>
      <c r="AB2333" s="64"/>
      <c r="AC2333" s="64"/>
      <c r="AD2333" s="64"/>
      <c r="AE2333" s="64"/>
      <c r="AF2333" s="64"/>
      <c r="AG2333" s="64"/>
      <c r="AH2333" s="64"/>
      <c r="AI2333" s="64"/>
      <c r="AJ2333" s="64"/>
    </row>
    <row r="2334">
      <c r="A2334" s="43">
        <v>46147.0</v>
      </c>
      <c r="B2334" s="44" t="s">
        <v>79</v>
      </c>
      <c r="C2334" s="44" t="s">
        <v>80</v>
      </c>
      <c r="D2334" s="45"/>
      <c r="E2334" s="45"/>
      <c r="F2334" s="102">
        <f t="shared" si="24"/>
        <v>0</v>
      </c>
      <c r="G2334" s="46">
        <f>IFERROR(VLOOKUP(B2334,DADOS!$A$2:$H$252,8,0),"")</f>
        <v>87</v>
      </c>
      <c r="H2334" s="47"/>
      <c r="I2334" s="48"/>
      <c r="J2334" s="46">
        <v>4.0</v>
      </c>
      <c r="K2334" s="49">
        <f>IFERROR(VLOOKUP(B2334,DADOS!$A$2:$H$252,4,0)*J2334,"")</f>
        <v>0.06848</v>
      </c>
      <c r="L2334" s="50">
        <f t="shared" si="23"/>
        <v>0</v>
      </c>
      <c r="M2334" s="33" t="s">
        <v>83</v>
      </c>
      <c r="N2334" s="33" t="s">
        <v>85</v>
      </c>
      <c r="O2334" s="63"/>
      <c r="P2334" s="63"/>
      <c r="Q2334" s="63"/>
      <c r="R2334" s="63"/>
      <c r="S2334" s="63"/>
      <c r="T2334" s="64"/>
      <c r="U2334" s="64"/>
      <c r="V2334" s="64"/>
      <c r="W2334" s="64"/>
      <c r="X2334" s="64"/>
      <c r="Y2334" s="64"/>
      <c r="Z2334" s="64"/>
      <c r="AA2334" s="64"/>
      <c r="AB2334" s="64"/>
      <c r="AC2334" s="64"/>
      <c r="AD2334" s="64"/>
      <c r="AE2334" s="64"/>
      <c r="AF2334" s="64"/>
      <c r="AG2334" s="64"/>
      <c r="AH2334" s="64"/>
      <c r="AI2334" s="64"/>
      <c r="AJ2334" s="64"/>
    </row>
    <row r="2335">
      <c r="A2335" s="43">
        <v>46147.0</v>
      </c>
      <c r="B2335" s="44" t="s">
        <v>207</v>
      </c>
      <c r="C2335" s="44" t="s">
        <v>80</v>
      </c>
      <c r="D2335" s="45"/>
      <c r="E2335" s="45"/>
      <c r="F2335" s="102">
        <f t="shared" si="24"/>
        <v>0</v>
      </c>
      <c r="G2335" s="46">
        <f>IFERROR(VLOOKUP(B2335,DADOS!$A$2:$H$252,8,0),"")</f>
        <v>100</v>
      </c>
      <c r="H2335" s="47"/>
      <c r="I2335" s="48"/>
      <c r="J2335" s="46">
        <v>1.0</v>
      </c>
      <c r="K2335" s="49">
        <f>IFERROR(VLOOKUP(B2335,DADOS!$A$2:$H$252,4,0)*J2335,"")</f>
        <v>0.0181258</v>
      </c>
      <c r="L2335" s="50">
        <f t="shared" si="23"/>
        <v>0</v>
      </c>
      <c r="M2335" s="33" t="s">
        <v>83</v>
      </c>
      <c r="N2335" s="33" t="s">
        <v>85</v>
      </c>
      <c r="O2335" s="63"/>
      <c r="P2335" s="63"/>
      <c r="Q2335" s="63"/>
      <c r="R2335" s="63"/>
      <c r="S2335" s="63"/>
      <c r="T2335" s="64"/>
      <c r="U2335" s="64"/>
      <c r="V2335" s="64"/>
      <c r="W2335" s="64"/>
      <c r="X2335" s="64"/>
      <c r="Y2335" s="64"/>
      <c r="Z2335" s="64"/>
      <c r="AA2335" s="64"/>
      <c r="AB2335" s="64"/>
      <c r="AC2335" s="64"/>
      <c r="AD2335" s="64"/>
      <c r="AE2335" s="64"/>
      <c r="AF2335" s="64"/>
      <c r="AG2335" s="64"/>
      <c r="AH2335" s="64"/>
      <c r="AI2335" s="64"/>
      <c r="AJ2335" s="64"/>
    </row>
    <row r="2336">
      <c r="A2336" s="43">
        <v>46147.0</v>
      </c>
      <c r="B2336" s="44" t="s">
        <v>231</v>
      </c>
      <c r="C2336" s="44" t="s">
        <v>80</v>
      </c>
      <c r="D2336" s="45"/>
      <c r="E2336" s="45"/>
      <c r="F2336" s="102">
        <f t="shared" si="24"/>
        <v>0</v>
      </c>
      <c r="G2336" s="46">
        <f>IFERROR(VLOOKUP(B2336,DADOS!$A$2:$H$252,8,0),"")</f>
        <v>100</v>
      </c>
      <c r="H2336" s="47"/>
      <c r="I2336" s="48"/>
      <c r="J2336" s="46">
        <v>1.0</v>
      </c>
      <c r="K2336" s="49">
        <f>IFERROR(VLOOKUP(B2336,DADOS!$A$2:$H$252,4,0)*J2336,"")</f>
        <v>0.0181258</v>
      </c>
      <c r="L2336" s="50">
        <f t="shared" si="23"/>
        <v>0</v>
      </c>
      <c r="M2336" s="33" t="s">
        <v>83</v>
      </c>
      <c r="N2336" s="33" t="s">
        <v>85</v>
      </c>
      <c r="O2336" s="63"/>
      <c r="P2336" s="63"/>
      <c r="Q2336" s="63"/>
      <c r="R2336" s="63"/>
      <c r="S2336" s="63"/>
      <c r="T2336" s="64"/>
      <c r="U2336" s="64"/>
      <c r="V2336" s="64"/>
      <c r="W2336" s="64"/>
      <c r="X2336" s="64"/>
      <c r="Y2336" s="64"/>
      <c r="Z2336" s="64"/>
      <c r="AA2336" s="64"/>
      <c r="AB2336" s="64"/>
      <c r="AC2336" s="64"/>
      <c r="AD2336" s="64"/>
      <c r="AE2336" s="64"/>
      <c r="AF2336" s="64"/>
      <c r="AG2336" s="64"/>
      <c r="AH2336" s="64"/>
      <c r="AI2336" s="64"/>
      <c r="AJ2336" s="64"/>
    </row>
    <row r="2337">
      <c r="A2337" s="43">
        <v>46147.0</v>
      </c>
      <c r="B2337" s="44" t="s">
        <v>191</v>
      </c>
      <c r="C2337" s="44" t="s">
        <v>80</v>
      </c>
      <c r="D2337" s="45"/>
      <c r="E2337" s="45"/>
      <c r="F2337" s="102">
        <f t="shared" si="24"/>
        <v>0</v>
      </c>
      <c r="G2337" s="46" t="str">
        <f>IFERROR(VLOOKUP(B2337,DADOS!$A$2:$H$252,8,0),"")</f>
        <v/>
      </c>
      <c r="H2337" s="47"/>
      <c r="I2337" s="48"/>
      <c r="J2337" s="46">
        <v>1.0</v>
      </c>
      <c r="K2337" s="49">
        <f>IFERROR(VLOOKUP(B2337,DADOS!$A$2:$H$252,4,0)*J2337,"")</f>
        <v>0</v>
      </c>
      <c r="L2337" s="50">
        <f t="shared" si="23"/>
        <v>0</v>
      </c>
      <c r="M2337" s="33" t="s">
        <v>118</v>
      </c>
      <c r="N2337" s="33" t="s">
        <v>143</v>
      </c>
      <c r="O2337" s="63"/>
      <c r="P2337" s="63"/>
      <c r="Q2337" s="63"/>
      <c r="R2337" s="63"/>
      <c r="S2337" s="63"/>
      <c r="T2337" s="64"/>
      <c r="U2337" s="64"/>
      <c r="V2337" s="64"/>
      <c r="W2337" s="64"/>
      <c r="X2337" s="64"/>
      <c r="Y2337" s="64"/>
      <c r="Z2337" s="64"/>
      <c r="AA2337" s="64"/>
      <c r="AB2337" s="64"/>
      <c r="AC2337" s="64"/>
      <c r="AD2337" s="64"/>
      <c r="AE2337" s="64"/>
      <c r="AF2337" s="64"/>
      <c r="AG2337" s="64"/>
      <c r="AH2337" s="64"/>
      <c r="AI2337" s="64"/>
      <c r="AJ2337" s="64"/>
    </row>
    <row r="2338">
      <c r="A2338" s="103"/>
      <c r="B2338" s="18"/>
      <c r="C2338" s="18"/>
      <c r="D2338" s="19"/>
      <c r="E2338" s="19"/>
      <c r="F2338" s="20">
        <f t="shared" si="24"/>
        <v>0</v>
      </c>
      <c r="G2338" s="67" t="str">
        <f>IFERROR(VLOOKUP(B2338,DADOS!$A$2:$H$252,8,0),"")</f>
        <v/>
      </c>
      <c r="H2338" s="35"/>
      <c r="I2338" s="23"/>
      <c r="J2338" s="36"/>
      <c r="K2338" s="25" t="str">
        <f>IFERROR(VLOOKUP(B2338,DADOS!$A$2:$H$252,4,0)*J2338,"")</f>
        <v/>
      </c>
      <c r="L2338" s="26" t="str">
        <f t="shared" si="23"/>
        <v/>
      </c>
      <c r="M2338" s="27"/>
      <c r="N2338" s="30"/>
      <c r="O2338" s="28"/>
      <c r="P2338" s="28"/>
      <c r="Q2338" s="28"/>
      <c r="R2338" s="28"/>
      <c r="S2338" s="28"/>
    </row>
    <row r="2339">
      <c r="A2339" s="17">
        <v>46147.0</v>
      </c>
      <c r="B2339" s="18" t="s">
        <v>22</v>
      </c>
      <c r="C2339" s="18" t="s">
        <v>166</v>
      </c>
      <c r="D2339" s="19"/>
      <c r="E2339" s="19"/>
      <c r="F2339" s="20">
        <f t="shared" si="24"/>
        <v>0</v>
      </c>
      <c r="G2339" s="67">
        <f>IFERROR(VLOOKUP(B2339,DADOS!$A$2:$H$252,8,0),"")</f>
        <v>15</v>
      </c>
      <c r="H2339" s="22">
        <v>50.0</v>
      </c>
      <c r="I2339" s="23"/>
      <c r="J2339" s="36"/>
      <c r="K2339" s="25">
        <f>IFERROR(VLOOKUP(B2339,DADOS!$A$2:$H$252,4,0)*J2339,"")</f>
        <v>0</v>
      </c>
      <c r="L2339" s="26" t="str">
        <f t="shared" si="23"/>
        <v/>
      </c>
      <c r="M2339" s="27"/>
      <c r="N2339" s="30"/>
      <c r="O2339" s="28"/>
      <c r="P2339" s="28"/>
      <c r="Q2339" s="28"/>
      <c r="R2339" s="28"/>
      <c r="S2339" s="28"/>
    </row>
    <row r="2340">
      <c r="A2340" s="17">
        <v>46147.0</v>
      </c>
      <c r="B2340" s="18" t="s">
        <v>25</v>
      </c>
      <c r="C2340" s="18" t="s">
        <v>165</v>
      </c>
      <c r="D2340" s="19"/>
      <c r="E2340" s="19"/>
      <c r="F2340" s="20">
        <f t="shared" si="24"/>
        <v>0</v>
      </c>
      <c r="G2340" s="67">
        <f>IFERROR(VLOOKUP(B2340,DADOS!$A$2:$H$252,8,0),"")</f>
        <v>40</v>
      </c>
      <c r="H2340" s="22">
        <v>10.0</v>
      </c>
      <c r="I2340" s="23"/>
      <c r="J2340" s="24">
        <v>1.0</v>
      </c>
      <c r="K2340" s="25">
        <f>IFERROR(VLOOKUP(B2340,DADOS!$A$2:$H$252,4,0)*J2340,"")</f>
        <v>0.103576</v>
      </c>
      <c r="L2340" s="26" t="str">
        <f t="shared" si="23"/>
        <v/>
      </c>
      <c r="M2340" s="27"/>
      <c r="N2340" s="30"/>
      <c r="O2340" s="28"/>
      <c r="P2340" s="28"/>
      <c r="Q2340" s="28"/>
      <c r="R2340" s="28"/>
      <c r="S2340" s="28"/>
    </row>
    <row r="2341">
      <c r="A2341" s="17">
        <v>46147.0</v>
      </c>
      <c r="B2341" s="18" t="s">
        <v>229</v>
      </c>
      <c r="C2341" s="18" t="s">
        <v>65</v>
      </c>
      <c r="D2341" s="19"/>
      <c r="E2341" s="19"/>
      <c r="F2341" s="20">
        <f t="shared" si="24"/>
        <v>0</v>
      </c>
      <c r="G2341" s="67">
        <f>IFERROR(VLOOKUP(B2341,DADOS!$A$2:$H$252,8,0),"")</f>
        <v>65</v>
      </c>
      <c r="H2341" s="22">
        <v>178.0</v>
      </c>
      <c r="I2341" s="23"/>
      <c r="J2341" s="24">
        <v>1.0</v>
      </c>
      <c r="K2341" s="25">
        <f>IFERROR(VLOOKUP(B2341,DADOS!$A$2:$H$252,4,0)*J2341,"")</f>
        <v>0.052965</v>
      </c>
      <c r="L2341" s="26" t="str">
        <f t="shared" si="23"/>
        <v/>
      </c>
      <c r="M2341" s="27"/>
      <c r="N2341" s="30"/>
      <c r="O2341" s="28"/>
      <c r="P2341" s="28"/>
      <c r="Q2341" s="28"/>
      <c r="R2341" s="28"/>
      <c r="S2341" s="28"/>
    </row>
    <row r="2342">
      <c r="A2342" s="17">
        <v>46148.0</v>
      </c>
      <c r="B2342" s="18" t="s">
        <v>32</v>
      </c>
      <c r="C2342" s="18" t="s">
        <v>166</v>
      </c>
      <c r="D2342" s="19">
        <v>0.3402777777777778</v>
      </c>
      <c r="E2342" s="19">
        <v>0.4791666666666667</v>
      </c>
      <c r="F2342" s="20">
        <f t="shared" si="24"/>
        <v>0.1388888889</v>
      </c>
      <c r="G2342" s="67">
        <f>IFERROR(VLOOKUP(B2342,DADOS!$A$2:$H$252,8,0),"")</f>
        <v>10</v>
      </c>
      <c r="H2342" s="22">
        <v>40.0</v>
      </c>
      <c r="I2342" s="23"/>
      <c r="J2342" s="36"/>
      <c r="K2342" s="25">
        <f>IFERROR(VLOOKUP(B2342,DADOS!$A$2:$H$252,4,0)*J2342,"")</f>
        <v>0</v>
      </c>
      <c r="L2342" s="26" t="str">
        <f t="shared" si="23"/>
        <v/>
      </c>
      <c r="M2342" s="27"/>
      <c r="N2342" s="30"/>
      <c r="O2342" s="28"/>
      <c r="P2342" s="28"/>
      <c r="Q2342" s="28"/>
      <c r="R2342" s="28"/>
      <c r="S2342" s="28"/>
    </row>
    <row r="2343">
      <c r="A2343" s="17">
        <v>46148.0</v>
      </c>
      <c r="B2343" s="18" t="s">
        <v>171</v>
      </c>
      <c r="C2343" s="18" t="s">
        <v>165</v>
      </c>
      <c r="D2343" s="19">
        <v>0.3854166666666667</v>
      </c>
      <c r="E2343" s="19">
        <v>0.5763888888888888</v>
      </c>
      <c r="F2343" s="20">
        <f t="shared" si="24"/>
        <v>0.1909722222</v>
      </c>
      <c r="G2343" s="67">
        <f>IFERROR(VLOOKUP(B2343,DADOS!$A$2:$H$252,8,0),"")</f>
        <v>75</v>
      </c>
      <c r="H2343" s="22">
        <v>150.0</v>
      </c>
      <c r="I2343" s="23"/>
      <c r="J2343" s="36"/>
      <c r="K2343" s="25">
        <f>IFERROR(VLOOKUP(B2343,DADOS!$A$2:$H$252,4,0)*J2343,"")</f>
        <v>0</v>
      </c>
      <c r="L2343" s="26" t="str">
        <f t="shared" si="23"/>
        <v/>
      </c>
      <c r="M2343" s="27"/>
      <c r="N2343" s="30"/>
      <c r="O2343" s="28"/>
      <c r="P2343" s="28"/>
      <c r="Q2343" s="28"/>
      <c r="R2343" s="28"/>
      <c r="S2343" s="28"/>
    </row>
    <row r="2344">
      <c r="A2344" s="17">
        <v>46148.0</v>
      </c>
      <c r="B2344" s="18" t="s">
        <v>62</v>
      </c>
      <c r="C2344" s="18" t="s">
        <v>165</v>
      </c>
      <c r="D2344" s="19">
        <v>0.625</v>
      </c>
      <c r="E2344" s="19">
        <v>0.71875</v>
      </c>
      <c r="F2344" s="20">
        <f t="shared" si="24"/>
        <v>0.09375</v>
      </c>
      <c r="G2344" s="67">
        <f>IFERROR(VLOOKUP(B2344,DADOS!$A$2:$H$252,8,0),"")</f>
        <v>14</v>
      </c>
      <c r="H2344" s="22">
        <v>20.0</v>
      </c>
      <c r="I2344" s="23"/>
      <c r="J2344" s="36"/>
      <c r="K2344" s="25">
        <f>IFERROR(VLOOKUP(B2344,DADOS!$A$2:$H$252,4,0)*J2344,"")</f>
        <v>0</v>
      </c>
      <c r="L2344" s="26" t="str">
        <f t="shared" si="23"/>
        <v/>
      </c>
      <c r="M2344" s="27"/>
      <c r="N2344" s="30"/>
      <c r="O2344" s="28"/>
      <c r="P2344" s="28"/>
      <c r="Q2344" s="28"/>
      <c r="R2344" s="28"/>
      <c r="S2344" s="28"/>
    </row>
    <row r="2345">
      <c r="A2345" s="17">
        <v>46148.0</v>
      </c>
      <c r="B2345" s="18" t="s">
        <v>53</v>
      </c>
      <c r="C2345" s="18" t="s">
        <v>65</v>
      </c>
      <c r="D2345" s="32"/>
      <c r="E2345" s="19"/>
      <c r="F2345" s="20">
        <f t="shared" si="24"/>
        <v>0</v>
      </c>
      <c r="G2345" s="67">
        <f>IFERROR(VLOOKUP(B2345,DADOS!$A$2:$H$252,8,0),"")</f>
        <v>120</v>
      </c>
      <c r="H2345" s="22">
        <v>199.0</v>
      </c>
      <c r="I2345" s="23"/>
      <c r="J2345" s="36"/>
      <c r="K2345" s="25">
        <f>IFERROR(VLOOKUP(B2345,DADOS!$A$2:$H$252,4,0)*J2345,"")</f>
        <v>0</v>
      </c>
      <c r="L2345" s="26" t="str">
        <f t="shared" si="23"/>
        <v/>
      </c>
      <c r="M2345" s="27"/>
      <c r="N2345" s="30"/>
      <c r="O2345" s="28"/>
      <c r="P2345" s="28"/>
      <c r="Q2345" s="28"/>
      <c r="R2345" s="28"/>
      <c r="S2345" s="28"/>
    </row>
    <row r="2346">
      <c r="A2346" s="17">
        <v>46148.0</v>
      </c>
      <c r="B2346" s="18" t="s">
        <v>232</v>
      </c>
      <c r="C2346" s="18" t="s">
        <v>65</v>
      </c>
      <c r="D2346" s="19"/>
      <c r="E2346" s="19"/>
      <c r="F2346" s="20">
        <f t="shared" si="24"/>
        <v>0</v>
      </c>
      <c r="G2346" s="67">
        <f>IFERROR(VLOOKUP(B2346,DADOS!$A$2:$H$252,8,0),"")</f>
        <v>120</v>
      </c>
      <c r="H2346" s="22">
        <v>148.0</v>
      </c>
      <c r="I2346" s="23"/>
      <c r="J2346" s="36"/>
      <c r="K2346" s="25">
        <f>IFERROR(VLOOKUP(B2346,DADOS!$A$2:$H$252,4,0)*J2346,"")</f>
        <v>0</v>
      </c>
      <c r="L2346" s="26" t="str">
        <f t="shared" si="23"/>
        <v/>
      </c>
      <c r="M2346" s="27"/>
      <c r="N2346" s="30"/>
      <c r="O2346" s="28"/>
      <c r="P2346" s="28"/>
      <c r="Q2346" s="28"/>
      <c r="R2346" s="28"/>
      <c r="S2346" s="28"/>
    </row>
    <row r="2347">
      <c r="A2347" s="17">
        <v>46149.0</v>
      </c>
      <c r="B2347" s="18" t="s">
        <v>178</v>
      </c>
      <c r="C2347" s="18" t="s">
        <v>166</v>
      </c>
      <c r="D2347" s="19"/>
      <c r="E2347" s="19"/>
      <c r="F2347" s="20">
        <f t="shared" si="24"/>
        <v>0</v>
      </c>
      <c r="G2347" s="67">
        <f>IFERROR(VLOOKUP(B2347,DADOS!$A$2:$H$252,8,0),"")</f>
        <v>35</v>
      </c>
      <c r="H2347" s="22">
        <v>30.0</v>
      </c>
      <c r="I2347" s="23"/>
      <c r="J2347" s="36"/>
      <c r="K2347" s="25">
        <f>IFERROR(VLOOKUP(B2347,DADOS!$A$2:$H$252,4,0)*J2347,"")</f>
        <v>0</v>
      </c>
      <c r="L2347" s="26" t="str">
        <f t="shared" si="23"/>
        <v/>
      </c>
      <c r="M2347" s="27"/>
      <c r="N2347" s="30"/>
      <c r="O2347" s="28"/>
      <c r="P2347" s="28"/>
      <c r="Q2347" s="28"/>
      <c r="R2347" s="28"/>
      <c r="S2347" s="28"/>
    </row>
    <row r="2348">
      <c r="A2348" s="17">
        <v>46149.0</v>
      </c>
      <c r="B2348" s="18" t="s">
        <v>185</v>
      </c>
      <c r="C2348" s="18" t="s">
        <v>166</v>
      </c>
      <c r="D2348" s="19"/>
      <c r="E2348" s="19"/>
      <c r="F2348" s="20">
        <f t="shared" si="24"/>
        <v>0</v>
      </c>
      <c r="G2348" s="67">
        <f>IFERROR(VLOOKUP(B2348,DADOS!$A$2:$H$252,8,0),"")</f>
        <v>35</v>
      </c>
      <c r="H2348" s="22">
        <v>60.0</v>
      </c>
      <c r="I2348" s="23"/>
      <c r="J2348" s="36"/>
      <c r="K2348" s="25">
        <f>IFERROR(VLOOKUP(B2348,DADOS!$A$2:$H$252,4,0)*J2348,"")</f>
        <v>0</v>
      </c>
      <c r="L2348" s="26" t="str">
        <f t="shared" si="23"/>
        <v/>
      </c>
      <c r="M2348" s="27"/>
      <c r="N2348" s="30"/>
      <c r="O2348" s="28"/>
      <c r="P2348" s="28"/>
      <c r="Q2348" s="28"/>
      <c r="R2348" s="28"/>
      <c r="S2348" s="28"/>
    </row>
    <row r="2349">
      <c r="A2349" s="17">
        <v>46149.0</v>
      </c>
      <c r="B2349" s="18" t="s">
        <v>62</v>
      </c>
      <c r="C2349" s="18" t="s">
        <v>165</v>
      </c>
      <c r="D2349" s="19"/>
      <c r="E2349" s="19"/>
      <c r="F2349" s="20">
        <f t="shared" si="24"/>
        <v>0</v>
      </c>
      <c r="G2349" s="67">
        <f>IFERROR(VLOOKUP(B2349,DADOS!$A$2:$H$252,8,0),"")</f>
        <v>14</v>
      </c>
      <c r="H2349" s="22">
        <v>79.0</v>
      </c>
      <c r="I2349" s="23"/>
      <c r="J2349" s="24">
        <v>1.0</v>
      </c>
      <c r="K2349" s="25">
        <f>IFERROR(VLOOKUP(B2349,DADOS!$A$2:$H$252,4,0)*J2349,"")</f>
        <v>0.0849794</v>
      </c>
      <c r="L2349" s="26" t="str">
        <f t="shared" si="23"/>
        <v/>
      </c>
      <c r="M2349" s="27"/>
      <c r="N2349" s="30"/>
      <c r="O2349" s="28"/>
      <c r="P2349" s="28"/>
      <c r="Q2349" s="28"/>
      <c r="R2349" s="28"/>
      <c r="S2349" s="28"/>
    </row>
    <row r="2350">
      <c r="A2350" s="17">
        <v>46149.0</v>
      </c>
      <c r="B2350" s="18" t="s">
        <v>79</v>
      </c>
      <c r="C2350" s="18" t="s">
        <v>65</v>
      </c>
      <c r="D2350" s="19"/>
      <c r="E2350" s="19"/>
      <c r="F2350" s="20">
        <f t="shared" si="24"/>
        <v>0</v>
      </c>
      <c r="G2350" s="67">
        <f>IFERROR(VLOOKUP(B2350,DADOS!$A$2:$H$252,8,0),"")</f>
        <v>87</v>
      </c>
      <c r="H2350" s="22">
        <v>62.0</v>
      </c>
      <c r="I2350" s="23"/>
      <c r="J2350" s="24">
        <v>4.0</v>
      </c>
      <c r="K2350" s="25">
        <f>IFERROR(VLOOKUP(B2350,DADOS!$A$2:$H$252,4,0)*J2350,"")</f>
        <v>0.06848</v>
      </c>
      <c r="L2350" s="26" t="str">
        <f t="shared" si="23"/>
        <v/>
      </c>
      <c r="M2350" s="27"/>
      <c r="N2350" s="30"/>
      <c r="O2350" s="28"/>
      <c r="P2350" s="28"/>
      <c r="Q2350" s="28"/>
      <c r="R2350" s="28"/>
      <c r="S2350" s="28"/>
    </row>
    <row r="2351">
      <c r="A2351" s="17">
        <v>46151.0</v>
      </c>
      <c r="B2351" s="18" t="s">
        <v>71</v>
      </c>
      <c r="C2351" s="18" t="s">
        <v>193</v>
      </c>
      <c r="D2351" s="19"/>
      <c r="E2351" s="19"/>
      <c r="F2351" s="20">
        <f t="shared" si="24"/>
        <v>0</v>
      </c>
      <c r="G2351" s="67">
        <f>IFERROR(VLOOKUP(B2351,DADOS!$A$2:$H$252,8,0),"")</f>
        <v>7</v>
      </c>
      <c r="H2351" s="22">
        <v>40.0</v>
      </c>
      <c r="I2351" s="23"/>
      <c r="J2351" s="36"/>
      <c r="K2351" s="25">
        <f>IFERROR(VLOOKUP(B2351,DADOS!$A$2:$H$252,4,0)*J2351,"")</f>
        <v>0</v>
      </c>
      <c r="L2351" s="26" t="str">
        <f t="shared" si="23"/>
        <v/>
      </c>
      <c r="M2351" s="27"/>
      <c r="N2351" s="30"/>
      <c r="O2351" s="28"/>
      <c r="P2351" s="28"/>
      <c r="Q2351" s="28"/>
      <c r="R2351" s="28"/>
      <c r="S2351" s="28"/>
    </row>
    <row r="2352">
      <c r="A2352" s="17">
        <v>46150.0</v>
      </c>
      <c r="B2352" s="18" t="s">
        <v>79</v>
      </c>
      <c r="C2352" s="18" t="s">
        <v>65</v>
      </c>
      <c r="D2352" s="19"/>
      <c r="E2352" s="19"/>
      <c r="F2352" s="20">
        <f t="shared" si="24"/>
        <v>0</v>
      </c>
      <c r="G2352" s="67">
        <f>IFERROR(VLOOKUP(B2352,DADOS!$A$2:$H$252,8,0),"")</f>
        <v>87</v>
      </c>
      <c r="H2352" s="22">
        <v>121.0</v>
      </c>
      <c r="I2352" s="23"/>
      <c r="J2352" s="36"/>
      <c r="K2352" s="25">
        <f>IFERROR(VLOOKUP(B2352,DADOS!$A$2:$H$252,4,0)*J2352,"")</f>
        <v>0</v>
      </c>
      <c r="L2352" s="26" t="str">
        <f t="shared" si="23"/>
        <v/>
      </c>
      <c r="M2352" s="27"/>
      <c r="N2352" s="30"/>
      <c r="O2352" s="28"/>
      <c r="P2352" s="28"/>
      <c r="Q2352" s="28"/>
      <c r="R2352" s="28"/>
      <c r="S2352" s="28"/>
    </row>
    <row r="2353">
      <c r="A2353" s="17">
        <v>46150.0</v>
      </c>
      <c r="B2353" s="18" t="s">
        <v>18</v>
      </c>
      <c r="C2353" s="18" t="s">
        <v>165</v>
      </c>
      <c r="D2353" s="19"/>
      <c r="E2353" s="19"/>
      <c r="F2353" s="20">
        <f t="shared" si="24"/>
        <v>0</v>
      </c>
      <c r="G2353" s="67">
        <f>IFERROR(VLOOKUP(B2353,DADOS!$A$2:$H$252,8,0),"")</f>
        <v>21</v>
      </c>
      <c r="H2353" s="22">
        <v>51.0</v>
      </c>
      <c r="I2353" s="23"/>
      <c r="J2353" s="36"/>
      <c r="K2353" s="25">
        <f>IFERROR(VLOOKUP(B2353,DADOS!$A$2:$H$252,4,0)*J2353,"")</f>
        <v>0</v>
      </c>
      <c r="L2353" s="26" t="str">
        <f t="shared" si="23"/>
        <v/>
      </c>
      <c r="M2353" s="27"/>
      <c r="N2353" s="30"/>
      <c r="O2353" s="28"/>
      <c r="P2353" s="28"/>
      <c r="Q2353" s="28"/>
      <c r="R2353" s="28"/>
      <c r="S2353" s="28"/>
    </row>
    <row r="2354">
      <c r="A2354" s="17">
        <v>46154.0</v>
      </c>
      <c r="B2354" s="18" t="s">
        <v>18</v>
      </c>
      <c r="C2354" s="18" t="s">
        <v>165</v>
      </c>
      <c r="D2354" s="19"/>
      <c r="E2354" s="19"/>
      <c r="F2354" s="20">
        <f t="shared" si="24"/>
        <v>0</v>
      </c>
      <c r="G2354" s="67">
        <f>IFERROR(VLOOKUP(B2354,DADOS!$A$2:$H$252,8,0),"")</f>
        <v>21</v>
      </c>
      <c r="H2354" s="22">
        <v>61.0</v>
      </c>
      <c r="I2354" s="23"/>
      <c r="J2354" s="24">
        <v>1.0</v>
      </c>
      <c r="K2354" s="25">
        <f>IFERROR(VLOOKUP(B2354,DADOS!$A$2:$H$252,4,0)*J2354,"")</f>
        <v>0.292966</v>
      </c>
      <c r="L2354" s="26" t="str">
        <f t="shared" si="23"/>
        <v/>
      </c>
      <c r="M2354" s="27"/>
      <c r="N2354" s="30"/>
      <c r="O2354" s="28"/>
      <c r="P2354" s="28"/>
      <c r="Q2354" s="28"/>
      <c r="R2354" s="28"/>
      <c r="S2354" s="28"/>
    </row>
    <row r="2355">
      <c r="A2355" s="17">
        <v>46155.0</v>
      </c>
      <c r="B2355" s="18" t="s">
        <v>119</v>
      </c>
      <c r="C2355" s="18" t="s">
        <v>165</v>
      </c>
      <c r="D2355" s="19"/>
      <c r="E2355" s="19"/>
      <c r="F2355" s="20">
        <f t="shared" si="24"/>
        <v>0</v>
      </c>
      <c r="G2355" s="67">
        <f>IFERROR(VLOOKUP(B2355,DADOS!$A$2:$H$252,8,0),"")</f>
        <v>25</v>
      </c>
      <c r="H2355" s="22">
        <v>51.0</v>
      </c>
      <c r="I2355" s="23"/>
      <c r="J2355" s="24">
        <v>7.0</v>
      </c>
      <c r="K2355" s="25">
        <f>IFERROR(VLOOKUP(B2355,DADOS!$A$2:$H$252,4,0)*J2355,"")</f>
        <v>0.9113832</v>
      </c>
      <c r="L2355" s="26" t="str">
        <f t="shared" si="23"/>
        <v/>
      </c>
      <c r="M2355" s="27"/>
      <c r="N2355" s="30"/>
      <c r="O2355" s="28"/>
      <c r="P2355" s="28"/>
      <c r="Q2355" s="28"/>
      <c r="R2355" s="28"/>
      <c r="S2355" s="28"/>
    </row>
    <row r="2356">
      <c r="A2356" s="17">
        <v>46156.0</v>
      </c>
      <c r="B2356" s="18" t="s">
        <v>48</v>
      </c>
      <c r="C2356" s="18" t="s">
        <v>166</v>
      </c>
      <c r="D2356" s="19"/>
      <c r="E2356" s="19"/>
      <c r="F2356" s="20">
        <f t="shared" si="24"/>
        <v>0</v>
      </c>
      <c r="G2356" s="67">
        <f>IFERROR(VLOOKUP(B2356,DADOS!$A$2:$H$252,8,0),"")</f>
        <v>6</v>
      </c>
      <c r="H2356" s="22">
        <v>32.0</v>
      </c>
      <c r="I2356" s="23"/>
      <c r="J2356" s="24">
        <v>1.0</v>
      </c>
      <c r="K2356" s="25">
        <f>IFERROR(VLOOKUP(B2356,DADOS!$A$2:$H$252,4,0)*J2356,"")</f>
        <v>0.1139336</v>
      </c>
      <c r="L2356" s="26" t="str">
        <f t="shared" si="23"/>
        <v/>
      </c>
      <c r="M2356" s="27"/>
      <c r="N2356" s="30"/>
      <c r="O2356" s="28"/>
      <c r="P2356" s="28"/>
      <c r="Q2356" s="28"/>
      <c r="R2356" s="28"/>
      <c r="S2356" s="28"/>
    </row>
    <row r="2357">
      <c r="A2357" s="17">
        <v>46156.0</v>
      </c>
      <c r="B2357" s="18" t="s">
        <v>196</v>
      </c>
      <c r="C2357" s="18" t="s">
        <v>19</v>
      </c>
      <c r="D2357" s="19"/>
      <c r="E2357" s="19"/>
      <c r="F2357" s="20">
        <f t="shared" si="24"/>
        <v>0</v>
      </c>
      <c r="G2357" s="67">
        <f>IFERROR(VLOOKUP(B2357,DADOS!$A$2:$H$252,8,0),"")</f>
        <v>15</v>
      </c>
      <c r="H2357" s="22">
        <v>135.0</v>
      </c>
      <c r="I2357" s="23"/>
      <c r="J2357" s="24">
        <v>2.0</v>
      </c>
      <c r="K2357" s="25">
        <f>IFERROR(VLOOKUP(B2357,DADOS!$A$2:$H$252,4,0)*J2357,"")</f>
        <v>0.1248048</v>
      </c>
      <c r="L2357" s="26" t="str">
        <f t="shared" si="23"/>
        <v/>
      </c>
      <c r="M2357" s="27"/>
      <c r="N2357" s="30"/>
      <c r="O2357" s="28"/>
      <c r="P2357" s="28"/>
      <c r="Q2357" s="28"/>
      <c r="R2357" s="28"/>
      <c r="S2357" s="28"/>
    </row>
    <row r="2358">
      <c r="A2358" s="17">
        <v>46156.0</v>
      </c>
      <c r="B2358" s="18" t="s">
        <v>152</v>
      </c>
      <c r="C2358" s="18" t="s">
        <v>19</v>
      </c>
      <c r="D2358" s="19"/>
      <c r="E2358" s="19"/>
      <c r="F2358" s="20">
        <f t="shared" si="24"/>
        <v>0</v>
      </c>
      <c r="G2358" s="67">
        <f>IFERROR(VLOOKUP(B2358,DADOS!$A$2:$H$252,8,0),"")</f>
        <v>45</v>
      </c>
      <c r="H2358" s="22">
        <v>72.0</v>
      </c>
      <c r="I2358" s="23"/>
      <c r="J2358" s="36"/>
      <c r="K2358" s="25">
        <f>IFERROR(VLOOKUP(B2358,DADOS!$A$2:$H$252,4,0)*J2358,"")</f>
        <v>0</v>
      </c>
      <c r="L2358" s="26" t="str">
        <f t="shared" si="23"/>
        <v/>
      </c>
      <c r="M2358" s="27"/>
      <c r="N2358" s="30"/>
      <c r="O2358" s="28"/>
      <c r="P2358" s="28"/>
      <c r="Q2358" s="28"/>
      <c r="R2358" s="28"/>
      <c r="S2358" s="28"/>
    </row>
    <row r="2359">
      <c r="A2359" s="17">
        <v>46156.0</v>
      </c>
      <c r="B2359" s="18" t="s">
        <v>152</v>
      </c>
      <c r="C2359" s="18" t="s">
        <v>65</v>
      </c>
      <c r="D2359" s="19"/>
      <c r="E2359" s="19"/>
      <c r="F2359" s="20">
        <f t="shared" si="24"/>
        <v>0</v>
      </c>
      <c r="G2359" s="67">
        <f>IFERROR(VLOOKUP(B2359,DADOS!$A$2:$H$252,8,0),"")</f>
        <v>45</v>
      </c>
      <c r="H2359" s="22">
        <v>28.0</v>
      </c>
      <c r="I2359" s="23"/>
      <c r="J2359" s="36"/>
      <c r="K2359" s="25">
        <f>IFERROR(VLOOKUP(B2359,DADOS!$A$2:$H$252,4,0)*J2359,"")</f>
        <v>0</v>
      </c>
      <c r="L2359" s="26" t="str">
        <f t="shared" si="23"/>
        <v/>
      </c>
      <c r="M2359" s="27"/>
      <c r="N2359" s="30"/>
      <c r="O2359" s="28"/>
      <c r="P2359" s="28"/>
      <c r="Q2359" s="28"/>
      <c r="R2359" s="28"/>
      <c r="S2359" s="28"/>
    </row>
    <row r="2360">
      <c r="A2360" s="17">
        <v>46156.0</v>
      </c>
      <c r="B2360" s="18" t="s">
        <v>28</v>
      </c>
      <c r="C2360" s="18" t="s">
        <v>165</v>
      </c>
      <c r="D2360" s="19">
        <v>0.3229166666666667</v>
      </c>
      <c r="E2360" s="19">
        <v>0.7152777777777778</v>
      </c>
      <c r="F2360" s="20">
        <f t="shared" si="24"/>
        <v>0.3923611111</v>
      </c>
      <c r="G2360" s="67">
        <f>IFERROR(VLOOKUP(B2360,DADOS!$A$2:$H$252,8,0),"")</f>
        <v>25</v>
      </c>
      <c r="H2360" s="22">
        <v>87.0</v>
      </c>
      <c r="I2360" s="23"/>
      <c r="J2360" s="36"/>
      <c r="K2360" s="25">
        <f>IFERROR(VLOOKUP(B2360,DADOS!$A$2:$H$252,4,0)*J2360,"")</f>
        <v>0</v>
      </c>
      <c r="L2360" s="26" t="str">
        <f t="shared" si="23"/>
        <v/>
      </c>
      <c r="M2360" s="27"/>
      <c r="N2360" s="30"/>
      <c r="O2360" s="28"/>
      <c r="P2360" s="28"/>
      <c r="Q2360" s="28"/>
      <c r="R2360" s="28"/>
      <c r="S2360" s="28"/>
    </row>
    <row r="2361">
      <c r="A2361" s="17">
        <v>46157.0</v>
      </c>
      <c r="B2361" s="18" t="s">
        <v>48</v>
      </c>
      <c r="C2361" s="18" t="s">
        <v>166</v>
      </c>
      <c r="D2361" s="19">
        <v>0.3333333333333333</v>
      </c>
      <c r="E2361" s="19">
        <v>0.4791666666666667</v>
      </c>
      <c r="F2361" s="20">
        <f t="shared" si="24"/>
        <v>0.1458333333</v>
      </c>
      <c r="G2361" s="67">
        <f>IFERROR(VLOOKUP(B2361,DADOS!$A$2:$H$252,8,0),"")</f>
        <v>6</v>
      </c>
      <c r="H2361" s="22">
        <v>27.0</v>
      </c>
      <c r="I2361" s="23"/>
      <c r="J2361" s="36"/>
      <c r="K2361" s="25">
        <f>IFERROR(VLOOKUP(B2361,DADOS!$A$2:$H$252,4,0)*J2361,"")</f>
        <v>0</v>
      </c>
      <c r="L2361" s="26" t="str">
        <f t="shared" si="23"/>
        <v/>
      </c>
      <c r="M2361" s="27"/>
      <c r="N2361" s="30"/>
      <c r="O2361" s="28"/>
      <c r="P2361" s="28"/>
      <c r="Q2361" s="28"/>
      <c r="R2361" s="28"/>
      <c r="S2361" s="28"/>
    </row>
    <row r="2362">
      <c r="A2362" s="17">
        <v>46157.0</v>
      </c>
      <c r="B2362" s="18" t="s">
        <v>28</v>
      </c>
      <c r="C2362" s="18" t="s">
        <v>165</v>
      </c>
      <c r="D2362" s="19"/>
      <c r="E2362" s="19"/>
      <c r="F2362" s="20">
        <f t="shared" si="24"/>
        <v>0</v>
      </c>
      <c r="G2362" s="67">
        <f>IFERROR(VLOOKUP(B2362,DADOS!$A$2:$H$252,8,0),"")</f>
        <v>25</v>
      </c>
      <c r="H2362" s="22">
        <v>13.0</v>
      </c>
      <c r="I2362" s="23"/>
      <c r="J2362" s="36"/>
      <c r="K2362" s="25">
        <f>IFERROR(VLOOKUP(B2362,DADOS!$A$2:$H$252,4,0)*J2362,"")</f>
        <v>0</v>
      </c>
      <c r="L2362" s="26" t="str">
        <f t="shared" si="23"/>
        <v/>
      </c>
      <c r="M2362" s="27"/>
      <c r="N2362" s="30"/>
      <c r="O2362" s="28"/>
      <c r="P2362" s="28"/>
      <c r="Q2362" s="28"/>
      <c r="R2362" s="28"/>
      <c r="S2362" s="28"/>
    </row>
    <row r="2363">
      <c r="A2363" s="17">
        <v>46157.0</v>
      </c>
      <c r="B2363" s="18" t="s">
        <v>24</v>
      </c>
      <c r="C2363" s="18" t="s">
        <v>165</v>
      </c>
      <c r="D2363" s="19"/>
      <c r="E2363" s="19"/>
      <c r="F2363" s="20">
        <f t="shared" si="24"/>
        <v>0</v>
      </c>
      <c r="G2363" s="67">
        <f>IFERROR(VLOOKUP(B2363,DADOS!$A$2:$H$252,8,0),"")</f>
        <v>37</v>
      </c>
      <c r="H2363" s="22">
        <v>50.0</v>
      </c>
      <c r="I2363" s="23"/>
      <c r="J2363" s="36"/>
      <c r="K2363" s="25">
        <f>IFERROR(VLOOKUP(B2363,DADOS!$A$2:$H$252,4,0)*J2363,"")</f>
        <v>0</v>
      </c>
      <c r="L2363" s="26" t="str">
        <f t="shared" si="23"/>
        <v/>
      </c>
      <c r="M2363" s="27"/>
      <c r="N2363" s="30"/>
      <c r="O2363" s="28"/>
      <c r="P2363" s="28"/>
      <c r="Q2363" s="28"/>
      <c r="R2363" s="28"/>
      <c r="S2363" s="28"/>
    </row>
    <row r="2364">
      <c r="A2364" s="17">
        <v>46157.0</v>
      </c>
      <c r="B2364" s="18" t="s">
        <v>77</v>
      </c>
      <c r="C2364" s="18" t="s">
        <v>65</v>
      </c>
      <c r="D2364" s="19"/>
      <c r="E2364" s="19"/>
      <c r="F2364" s="20">
        <f t="shared" si="24"/>
        <v>0</v>
      </c>
      <c r="G2364" s="67">
        <f>IFERROR(VLOOKUP(B2364,DADOS!$A$2:$H$252,8,0),"")</f>
        <v>120</v>
      </c>
      <c r="H2364" s="22">
        <v>88.0</v>
      </c>
      <c r="I2364" s="23"/>
      <c r="J2364" s="36"/>
      <c r="K2364" s="25">
        <f>IFERROR(VLOOKUP(B2364,DADOS!$A$2:$H$252,4,0)*J2364,"")</f>
        <v>0</v>
      </c>
      <c r="L2364" s="26" t="str">
        <f t="shared" si="23"/>
        <v/>
      </c>
      <c r="M2364" s="27"/>
      <c r="N2364" s="30"/>
      <c r="O2364" s="28"/>
      <c r="P2364" s="28"/>
      <c r="Q2364" s="28"/>
      <c r="R2364" s="28"/>
      <c r="S2364" s="28"/>
    </row>
    <row r="2365">
      <c r="A2365" s="17">
        <v>46158.0</v>
      </c>
      <c r="B2365" s="18" t="s">
        <v>71</v>
      </c>
      <c r="C2365" s="18" t="s">
        <v>193</v>
      </c>
      <c r="D2365" s="19"/>
      <c r="E2365" s="19"/>
      <c r="F2365" s="20">
        <f t="shared" si="24"/>
        <v>0</v>
      </c>
      <c r="G2365" s="67">
        <f>IFERROR(VLOOKUP(B2365,DADOS!$A$2:$H$252,8,0),"")</f>
        <v>7</v>
      </c>
      <c r="H2365" s="22">
        <v>40.0</v>
      </c>
      <c r="I2365" s="23"/>
      <c r="J2365" s="36"/>
      <c r="K2365" s="25">
        <f>IFERROR(VLOOKUP(B2365,DADOS!$A$2:$H$252,4,0)*J2365,"")</f>
        <v>0</v>
      </c>
      <c r="L2365" s="26" t="str">
        <f t="shared" si="23"/>
        <v/>
      </c>
      <c r="M2365" s="27"/>
      <c r="N2365" s="30"/>
      <c r="O2365" s="28"/>
      <c r="P2365" s="28"/>
      <c r="Q2365" s="28"/>
      <c r="R2365" s="28"/>
      <c r="S2365" s="28"/>
    </row>
    <row r="2366">
      <c r="A2366" s="17">
        <v>46160.0</v>
      </c>
      <c r="B2366" s="18" t="s">
        <v>228</v>
      </c>
      <c r="C2366" s="18" t="s">
        <v>19</v>
      </c>
      <c r="D2366" s="19"/>
      <c r="E2366" s="19"/>
      <c r="F2366" s="20">
        <f t="shared" si="24"/>
        <v>0</v>
      </c>
      <c r="G2366" s="67" t="str">
        <f>IFERROR(VLOOKUP(B2366,DADOS!$A$2:$H$252,8,0),"")</f>
        <v/>
      </c>
      <c r="H2366" s="22">
        <v>50.0</v>
      </c>
      <c r="I2366" s="23"/>
      <c r="J2366" s="36"/>
      <c r="K2366" s="25">
        <f>IFERROR(VLOOKUP(B2366,DADOS!$A$2:$H$252,4,0)*J2366,"")</f>
        <v>0</v>
      </c>
      <c r="L2366" s="26" t="str">
        <f t="shared" si="23"/>
        <v/>
      </c>
      <c r="M2366" s="27"/>
      <c r="N2366" s="30"/>
      <c r="O2366" s="28"/>
      <c r="P2366" s="28"/>
      <c r="Q2366" s="28"/>
      <c r="R2366" s="28"/>
      <c r="S2366" s="28"/>
    </row>
    <row r="2367">
      <c r="A2367" s="17">
        <v>46160.0</v>
      </c>
      <c r="B2367" s="18" t="s">
        <v>26</v>
      </c>
      <c r="C2367" s="18" t="s">
        <v>19</v>
      </c>
      <c r="D2367" s="19"/>
      <c r="E2367" s="19"/>
      <c r="F2367" s="20">
        <f t="shared" si="24"/>
        <v>0</v>
      </c>
      <c r="G2367" s="67">
        <f>IFERROR(VLOOKUP(B2367,DADOS!$A$2:$H$252,8,0),"")</f>
        <v>50</v>
      </c>
      <c r="H2367" s="22">
        <v>12.0</v>
      </c>
      <c r="I2367" s="23"/>
      <c r="J2367" s="36"/>
      <c r="K2367" s="25">
        <f>IFERROR(VLOOKUP(B2367,DADOS!$A$2:$H$252,4,0)*J2367,"")</f>
        <v>0</v>
      </c>
      <c r="L2367" s="26" t="str">
        <f t="shared" si="23"/>
        <v/>
      </c>
      <c r="M2367" s="27"/>
      <c r="N2367" s="30"/>
      <c r="O2367" s="28"/>
      <c r="P2367" s="28"/>
      <c r="Q2367" s="28"/>
      <c r="R2367" s="28"/>
      <c r="S2367" s="28"/>
    </row>
    <row r="2368">
      <c r="A2368" s="17">
        <v>46160.0</v>
      </c>
      <c r="B2368" s="18" t="s">
        <v>77</v>
      </c>
      <c r="C2368" s="18" t="s">
        <v>65</v>
      </c>
      <c r="D2368" s="19"/>
      <c r="E2368" s="19"/>
      <c r="F2368" s="20">
        <f t="shared" si="24"/>
        <v>0</v>
      </c>
      <c r="G2368" s="67">
        <f>IFERROR(VLOOKUP(B2368,DADOS!$A$2:$H$252,8,0),"")</f>
        <v>120</v>
      </c>
      <c r="H2368" s="22">
        <v>84.0</v>
      </c>
      <c r="I2368" s="23"/>
      <c r="J2368" s="36"/>
      <c r="K2368" s="25">
        <f>IFERROR(VLOOKUP(B2368,DADOS!$A$2:$H$252,4,0)*J2368,"")</f>
        <v>0</v>
      </c>
      <c r="L2368" s="26" t="str">
        <f t="shared" si="23"/>
        <v/>
      </c>
      <c r="M2368" s="27"/>
      <c r="N2368" s="30"/>
      <c r="O2368" s="28"/>
      <c r="P2368" s="28"/>
      <c r="Q2368" s="28"/>
      <c r="R2368" s="28"/>
      <c r="S2368" s="28"/>
    </row>
    <row r="2369">
      <c r="A2369" s="17">
        <v>46160.0</v>
      </c>
      <c r="B2369" s="18" t="s">
        <v>116</v>
      </c>
      <c r="C2369" s="18" t="s">
        <v>165</v>
      </c>
      <c r="D2369" s="19"/>
      <c r="E2369" s="19"/>
      <c r="F2369" s="20">
        <f t="shared" si="24"/>
        <v>0</v>
      </c>
      <c r="G2369" s="67">
        <f>IFERROR(VLOOKUP(B2369,DADOS!$A$2:$H$252,8,0),"")</f>
        <v>15</v>
      </c>
      <c r="H2369" s="22">
        <v>26.0</v>
      </c>
      <c r="I2369" s="23"/>
      <c r="J2369" s="24">
        <v>4.0</v>
      </c>
      <c r="K2369" s="25">
        <f>IFERROR(VLOOKUP(B2369,DADOS!$A$2:$H$252,4,0)*J2369,"")</f>
        <v>1.109376</v>
      </c>
      <c r="L2369" s="26" t="str">
        <f t="shared" si="23"/>
        <v/>
      </c>
      <c r="M2369" s="27"/>
      <c r="N2369" s="30"/>
      <c r="O2369" s="28"/>
      <c r="P2369" s="28"/>
      <c r="Q2369" s="28"/>
      <c r="R2369" s="28"/>
      <c r="S2369" s="28"/>
    </row>
    <row r="2370">
      <c r="A2370" s="17">
        <v>46160.0</v>
      </c>
      <c r="B2370" s="18" t="s">
        <v>92</v>
      </c>
      <c r="C2370" s="18" t="s">
        <v>165</v>
      </c>
      <c r="D2370" s="19"/>
      <c r="E2370" s="19"/>
      <c r="F2370" s="20">
        <f t="shared" si="24"/>
        <v>0</v>
      </c>
      <c r="G2370" s="67">
        <f>IFERROR(VLOOKUP(B2370,DADOS!$A$2:$H$252,8,0),"")</f>
        <v>100</v>
      </c>
      <c r="H2370" s="22">
        <v>221.0</v>
      </c>
      <c r="I2370" s="23"/>
      <c r="J2370" s="36"/>
      <c r="K2370" s="25">
        <f>IFERROR(VLOOKUP(B2370,DADOS!$A$2:$H$252,4,0)*J2370,"")</f>
        <v>0</v>
      </c>
      <c r="L2370" s="26" t="str">
        <f t="shared" si="23"/>
        <v/>
      </c>
      <c r="M2370" s="27"/>
      <c r="N2370" s="30"/>
      <c r="O2370" s="28"/>
      <c r="P2370" s="28"/>
      <c r="Q2370" s="28"/>
      <c r="R2370" s="28"/>
      <c r="S2370" s="28"/>
    </row>
    <row r="2371">
      <c r="A2371" s="17">
        <v>46160.0</v>
      </c>
      <c r="B2371" s="18" t="s">
        <v>56</v>
      </c>
      <c r="C2371" s="18" t="s">
        <v>65</v>
      </c>
      <c r="D2371" s="19"/>
      <c r="E2371" s="19"/>
      <c r="F2371" s="20">
        <f t="shared" si="24"/>
        <v>0</v>
      </c>
      <c r="G2371" s="67">
        <f>IFERROR(VLOOKUP(B2371,DADOS!$A$2:$H$252,8,0),"")</f>
        <v>162</v>
      </c>
      <c r="H2371" s="22">
        <v>66.0</v>
      </c>
      <c r="I2371" s="23"/>
      <c r="J2371" s="36"/>
      <c r="K2371" s="25">
        <f>IFERROR(VLOOKUP(B2371,DADOS!$A$2:$H$252,4,0)*J2371,"")</f>
        <v>0</v>
      </c>
      <c r="L2371" s="26" t="str">
        <f t="shared" si="23"/>
        <v/>
      </c>
      <c r="M2371" s="27"/>
      <c r="N2371" s="30"/>
      <c r="O2371" s="28"/>
      <c r="P2371" s="28"/>
      <c r="Q2371" s="28"/>
      <c r="R2371" s="28"/>
      <c r="S2371" s="28"/>
    </row>
    <row r="2372">
      <c r="A2372" s="17">
        <v>46161.0</v>
      </c>
      <c r="B2372" s="18" t="s">
        <v>98</v>
      </c>
      <c r="C2372" s="18" t="s">
        <v>165</v>
      </c>
      <c r="D2372" s="19"/>
      <c r="E2372" s="19"/>
      <c r="F2372" s="20">
        <f t="shared" si="24"/>
        <v>0</v>
      </c>
      <c r="G2372" s="67">
        <f>IFERROR(VLOOKUP(B2372,DADOS!$A$2:$H$252,8,0),"")</f>
        <v>100</v>
      </c>
      <c r="H2372" s="22">
        <v>93.0</v>
      </c>
      <c r="I2372" s="23"/>
      <c r="J2372" s="24">
        <v>1.0</v>
      </c>
      <c r="K2372" s="25">
        <f>IFERROR(VLOOKUP(B2372,DADOS!$A$2:$H$252,4,0)*J2372,"")</f>
        <v>0.26964</v>
      </c>
      <c r="L2372" s="26" t="str">
        <f t="shared" si="23"/>
        <v/>
      </c>
      <c r="M2372" s="27"/>
      <c r="N2372" s="30"/>
      <c r="O2372" s="28"/>
      <c r="P2372" s="28"/>
      <c r="Q2372" s="28"/>
      <c r="R2372" s="28"/>
      <c r="S2372" s="28"/>
    </row>
    <row r="2373">
      <c r="A2373" s="17">
        <v>46161.0</v>
      </c>
      <c r="B2373" s="18" t="s">
        <v>56</v>
      </c>
      <c r="C2373" s="18" t="s">
        <v>65</v>
      </c>
      <c r="D2373" s="19"/>
      <c r="E2373" s="19"/>
      <c r="F2373" s="20">
        <f t="shared" si="24"/>
        <v>0</v>
      </c>
      <c r="G2373" s="67">
        <f>IFERROR(VLOOKUP(B2373,DADOS!$A$2:$H$252,8,0),"")</f>
        <v>162</v>
      </c>
      <c r="H2373" s="22">
        <v>247.0</v>
      </c>
      <c r="I2373" s="23"/>
      <c r="J2373" s="36"/>
      <c r="K2373" s="25">
        <f>IFERROR(VLOOKUP(B2373,DADOS!$A$2:$H$252,4,0)*J2373,"")</f>
        <v>0</v>
      </c>
      <c r="L2373" s="26" t="str">
        <f t="shared" si="23"/>
        <v/>
      </c>
      <c r="M2373" s="27"/>
      <c r="N2373" s="30"/>
      <c r="O2373" s="28"/>
      <c r="P2373" s="28"/>
      <c r="Q2373" s="28"/>
      <c r="R2373" s="28"/>
      <c r="S2373" s="28"/>
    </row>
    <row r="2374">
      <c r="A2374" s="17">
        <v>46162.0</v>
      </c>
      <c r="B2374" s="18" t="s">
        <v>98</v>
      </c>
      <c r="C2374" s="18" t="s">
        <v>165</v>
      </c>
      <c r="D2374" s="19"/>
      <c r="E2374" s="19"/>
      <c r="F2374" s="20">
        <f t="shared" si="24"/>
        <v>0</v>
      </c>
      <c r="G2374" s="67">
        <f>IFERROR(VLOOKUP(B2374,DADOS!$A$2:$H$252,8,0),"")</f>
        <v>100</v>
      </c>
      <c r="H2374" s="22">
        <v>113.0</v>
      </c>
      <c r="I2374" s="23"/>
      <c r="J2374" s="24">
        <v>1.0</v>
      </c>
      <c r="K2374" s="25">
        <f>IFERROR(VLOOKUP(B2374,DADOS!$A$2:$H$252,4,0)*J2374,"")</f>
        <v>0.26964</v>
      </c>
      <c r="L2374" s="26" t="str">
        <f t="shared" si="23"/>
        <v/>
      </c>
      <c r="M2374" s="27"/>
      <c r="N2374" s="30"/>
      <c r="O2374" s="28"/>
      <c r="P2374" s="28"/>
      <c r="Q2374" s="28"/>
      <c r="R2374" s="28"/>
      <c r="S2374" s="28"/>
    </row>
    <row r="2375">
      <c r="A2375" s="17">
        <v>46162.0</v>
      </c>
      <c r="B2375" s="18" t="s">
        <v>56</v>
      </c>
      <c r="C2375" s="18" t="s">
        <v>65</v>
      </c>
      <c r="D2375" s="19"/>
      <c r="E2375" s="19"/>
      <c r="F2375" s="20">
        <f t="shared" si="24"/>
        <v>0</v>
      </c>
      <c r="G2375" s="67">
        <f>IFERROR(VLOOKUP(B2375,DADOS!$A$2:$H$252,8,0),"")</f>
        <v>162</v>
      </c>
      <c r="H2375" s="22">
        <v>159.0</v>
      </c>
      <c r="I2375" s="23"/>
      <c r="J2375" s="36"/>
      <c r="K2375" s="25">
        <f>IFERROR(VLOOKUP(B2375,DADOS!$A$2:$H$252,4,0)*J2375,"")</f>
        <v>0</v>
      </c>
      <c r="L2375" s="26" t="str">
        <f t="shared" si="23"/>
        <v/>
      </c>
      <c r="M2375" s="27"/>
      <c r="N2375" s="30"/>
      <c r="O2375" s="28"/>
      <c r="P2375" s="28"/>
      <c r="Q2375" s="28"/>
      <c r="R2375" s="28"/>
      <c r="S2375" s="28"/>
    </row>
    <row r="2376">
      <c r="A2376" s="17">
        <v>46162.0</v>
      </c>
      <c r="B2376" s="18" t="s">
        <v>94</v>
      </c>
      <c r="C2376" s="18" t="s">
        <v>165</v>
      </c>
      <c r="D2376" s="19"/>
      <c r="E2376" s="19"/>
      <c r="F2376" s="20">
        <f t="shared" si="24"/>
        <v>0</v>
      </c>
      <c r="G2376" s="67">
        <f>IFERROR(VLOOKUP(B2376,DADOS!$A$2:$H$252,8,0),"")</f>
        <v>100</v>
      </c>
      <c r="H2376" s="22">
        <v>13.0</v>
      </c>
      <c r="I2376" s="23"/>
      <c r="J2376" s="36"/>
      <c r="K2376" s="25">
        <f>IFERROR(VLOOKUP(B2376,DADOS!$A$2:$H$252,4,0)*J2376,"")</f>
        <v>0</v>
      </c>
      <c r="L2376" s="26" t="str">
        <f t="shared" si="23"/>
        <v/>
      </c>
      <c r="M2376" s="27"/>
      <c r="N2376" s="30"/>
      <c r="O2376" s="28"/>
      <c r="P2376" s="28"/>
      <c r="Q2376" s="28"/>
      <c r="R2376" s="28"/>
      <c r="S2376" s="28"/>
    </row>
    <row r="2377">
      <c r="A2377" s="17">
        <v>46163.0</v>
      </c>
      <c r="B2377" s="18" t="s">
        <v>26</v>
      </c>
      <c r="C2377" s="18" t="s">
        <v>19</v>
      </c>
      <c r="D2377" s="19"/>
      <c r="E2377" s="19"/>
      <c r="F2377" s="20">
        <f t="shared" si="24"/>
        <v>0</v>
      </c>
      <c r="G2377" s="67">
        <f>IFERROR(VLOOKUP(B2377,DADOS!$A$2:$H$252,8,0),"")</f>
        <v>50</v>
      </c>
      <c r="H2377" s="22">
        <v>15.0</v>
      </c>
      <c r="I2377" s="23"/>
      <c r="J2377" s="36"/>
      <c r="K2377" s="25">
        <f>IFERROR(VLOOKUP(B2377,DADOS!$A$2:$H$252,4,0)*J2377,"")</f>
        <v>0</v>
      </c>
      <c r="L2377" s="26" t="str">
        <f t="shared" si="23"/>
        <v/>
      </c>
      <c r="M2377" s="27"/>
      <c r="N2377" s="30"/>
      <c r="O2377" s="28"/>
      <c r="P2377" s="28"/>
      <c r="Q2377" s="28"/>
      <c r="R2377" s="28"/>
      <c r="S2377" s="28"/>
    </row>
    <row r="2378">
      <c r="A2378" s="17">
        <v>46163.0</v>
      </c>
      <c r="B2378" s="18" t="s">
        <v>190</v>
      </c>
      <c r="C2378" s="18" t="s">
        <v>19</v>
      </c>
      <c r="D2378" s="19"/>
      <c r="E2378" s="19"/>
      <c r="F2378" s="20">
        <f t="shared" si="24"/>
        <v>0</v>
      </c>
      <c r="G2378" s="67">
        <f>IFERROR(VLOOKUP(B2378,DADOS!$A$2:$H$252,8,0),"")</f>
        <v>12</v>
      </c>
      <c r="H2378" s="22">
        <v>20.0</v>
      </c>
      <c r="I2378" s="23"/>
      <c r="J2378" s="36"/>
      <c r="K2378" s="25">
        <f>IFERROR(VLOOKUP(B2378,DADOS!$A$2:$H$252,4,0)*J2378,"")</f>
        <v>0</v>
      </c>
      <c r="L2378" s="26" t="str">
        <f t="shared" si="23"/>
        <v/>
      </c>
      <c r="M2378" s="27"/>
      <c r="N2378" s="30"/>
      <c r="O2378" s="28"/>
      <c r="P2378" s="28"/>
      <c r="Q2378" s="28"/>
      <c r="R2378" s="28"/>
      <c r="S2378" s="28"/>
    </row>
    <row r="2379">
      <c r="A2379" s="17">
        <v>46163.0</v>
      </c>
      <c r="B2379" s="18" t="s">
        <v>56</v>
      </c>
      <c r="C2379" s="18" t="s">
        <v>65</v>
      </c>
      <c r="D2379" s="19"/>
      <c r="E2379" s="19"/>
      <c r="F2379" s="20">
        <f t="shared" si="24"/>
        <v>0</v>
      </c>
      <c r="G2379" s="67">
        <f>IFERROR(VLOOKUP(B2379,DADOS!$A$2:$H$252,8,0),"")</f>
        <v>162</v>
      </c>
      <c r="H2379" s="22">
        <v>130.0</v>
      </c>
      <c r="I2379" s="23"/>
      <c r="J2379" s="36"/>
      <c r="K2379" s="25">
        <f>IFERROR(VLOOKUP(B2379,DADOS!$A$2:$H$252,4,0)*J2379,"")</f>
        <v>0</v>
      </c>
      <c r="L2379" s="26" t="str">
        <f t="shared" si="23"/>
        <v/>
      </c>
      <c r="M2379" s="27"/>
      <c r="N2379" s="30"/>
      <c r="O2379" s="28"/>
      <c r="P2379" s="28"/>
      <c r="Q2379" s="28"/>
      <c r="R2379" s="28"/>
      <c r="S2379" s="28"/>
    </row>
    <row r="2380">
      <c r="A2380" s="17">
        <v>46163.0</v>
      </c>
      <c r="B2380" s="18" t="s">
        <v>94</v>
      </c>
      <c r="C2380" s="18" t="s">
        <v>165</v>
      </c>
      <c r="D2380" s="19"/>
      <c r="E2380" s="19"/>
      <c r="F2380" s="20">
        <f t="shared" si="24"/>
        <v>0</v>
      </c>
      <c r="G2380" s="67">
        <f>IFERROR(VLOOKUP(B2380,DADOS!$A$2:$H$252,8,0),"")</f>
        <v>100</v>
      </c>
      <c r="H2380" s="22">
        <v>87.0</v>
      </c>
      <c r="I2380" s="23"/>
      <c r="J2380" s="36"/>
      <c r="K2380" s="25">
        <f>IFERROR(VLOOKUP(B2380,DADOS!$A$2:$H$252,4,0)*J2380,"")</f>
        <v>0</v>
      </c>
      <c r="L2380" s="26" t="str">
        <f t="shared" si="23"/>
        <v/>
      </c>
      <c r="M2380" s="27"/>
      <c r="N2380" s="30"/>
      <c r="O2380" s="28"/>
      <c r="P2380" s="28"/>
      <c r="Q2380" s="28"/>
      <c r="R2380" s="28"/>
      <c r="S2380" s="28"/>
    </row>
    <row r="2381">
      <c r="A2381" s="17">
        <v>46163.0</v>
      </c>
      <c r="B2381" s="18" t="s">
        <v>199</v>
      </c>
      <c r="C2381" s="18" t="s">
        <v>165</v>
      </c>
      <c r="D2381" s="19"/>
      <c r="E2381" s="19"/>
      <c r="F2381" s="20">
        <f t="shared" si="24"/>
        <v>0</v>
      </c>
      <c r="G2381" s="67">
        <f>IFERROR(VLOOKUP(B2381,DADOS!$A$2:$H$252,8,0),"")</f>
        <v>15</v>
      </c>
      <c r="H2381" s="22">
        <v>65.0</v>
      </c>
      <c r="I2381" s="23"/>
      <c r="J2381" s="36"/>
      <c r="K2381" s="25">
        <f>IFERROR(VLOOKUP(B2381,DADOS!$A$2:$H$252,4,0)*J2381,"")</f>
        <v>0</v>
      </c>
      <c r="L2381" s="26" t="str">
        <f t="shared" si="23"/>
        <v/>
      </c>
      <c r="M2381" s="27"/>
      <c r="N2381" s="30"/>
      <c r="O2381" s="28"/>
      <c r="P2381" s="28"/>
      <c r="Q2381" s="28"/>
      <c r="R2381" s="28"/>
      <c r="S2381" s="28"/>
    </row>
    <row r="2382">
      <c r="A2382" s="17">
        <v>46163.0</v>
      </c>
      <c r="B2382" s="18" t="s">
        <v>59</v>
      </c>
      <c r="C2382" s="18" t="s">
        <v>65</v>
      </c>
      <c r="D2382" s="19"/>
      <c r="E2382" s="19"/>
      <c r="F2382" s="20">
        <f t="shared" si="24"/>
        <v>0</v>
      </c>
      <c r="G2382" s="67">
        <f>IFERROR(VLOOKUP(B2382,DADOS!$A$2:$H$252,8,0),"")</f>
        <v>50</v>
      </c>
      <c r="H2382" s="22">
        <v>40.0</v>
      </c>
      <c r="I2382" s="23"/>
      <c r="J2382" s="36"/>
      <c r="K2382" s="25">
        <f>IFERROR(VLOOKUP(B2382,DADOS!$A$2:$H$252,4,0)*J2382,"")</f>
        <v>0</v>
      </c>
      <c r="L2382" s="26" t="str">
        <f t="shared" si="23"/>
        <v/>
      </c>
      <c r="M2382" s="27"/>
      <c r="N2382" s="30"/>
      <c r="O2382" s="28"/>
      <c r="P2382" s="28"/>
      <c r="Q2382" s="28"/>
      <c r="R2382" s="28"/>
      <c r="S2382" s="28"/>
    </row>
    <row r="2383">
      <c r="A2383" s="17">
        <v>46164.0</v>
      </c>
      <c r="B2383" s="18" t="s">
        <v>179</v>
      </c>
      <c r="C2383" s="18" t="s">
        <v>165</v>
      </c>
      <c r="D2383" s="19"/>
      <c r="E2383" s="19"/>
      <c r="F2383" s="20">
        <f t="shared" si="24"/>
        <v>0</v>
      </c>
      <c r="G2383" s="67">
        <f>IFERROR(VLOOKUP(B2383,DADOS!$A$2:$H$252,8,0),"")</f>
        <v>15</v>
      </c>
      <c r="H2383" s="22">
        <v>150.0</v>
      </c>
      <c r="I2383" s="23"/>
      <c r="J2383" s="36"/>
      <c r="K2383" s="25">
        <f>IFERROR(VLOOKUP(B2383,DADOS!$A$2:$H$252,4,0)*J2383,"")</f>
        <v>0</v>
      </c>
      <c r="L2383" s="26" t="str">
        <f t="shared" si="23"/>
        <v/>
      </c>
      <c r="M2383" s="27"/>
      <c r="N2383" s="30"/>
      <c r="O2383" s="28"/>
      <c r="P2383" s="28"/>
      <c r="Q2383" s="28"/>
      <c r="R2383" s="28"/>
      <c r="S2383" s="28"/>
    </row>
    <row r="2384">
      <c r="A2384" s="17">
        <v>46164.0</v>
      </c>
      <c r="B2384" s="18" t="s">
        <v>59</v>
      </c>
      <c r="C2384" s="18" t="s">
        <v>65</v>
      </c>
      <c r="D2384" s="19"/>
      <c r="E2384" s="19"/>
      <c r="F2384" s="20">
        <f t="shared" si="24"/>
        <v>0</v>
      </c>
      <c r="G2384" s="67">
        <f>IFERROR(VLOOKUP(B2384,DADOS!$A$2:$H$252,8,0),"")</f>
        <v>50</v>
      </c>
      <c r="H2384" s="22">
        <v>80.0</v>
      </c>
      <c r="I2384" s="23"/>
      <c r="J2384" s="36"/>
      <c r="K2384" s="25">
        <f>IFERROR(VLOOKUP(B2384,DADOS!$A$2:$H$252,4,0)*J2384,"")</f>
        <v>0</v>
      </c>
      <c r="L2384" s="26" t="str">
        <f t="shared" si="23"/>
        <v/>
      </c>
      <c r="M2384" s="27"/>
      <c r="N2384" s="30"/>
      <c r="O2384" s="28"/>
      <c r="P2384" s="28"/>
      <c r="Q2384" s="28"/>
      <c r="R2384" s="28"/>
      <c r="S2384" s="28"/>
    </row>
    <row r="2385">
      <c r="A2385" s="17">
        <v>46165.0</v>
      </c>
      <c r="B2385" s="18" t="s">
        <v>71</v>
      </c>
      <c r="C2385" s="18" t="s">
        <v>193</v>
      </c>
      <c r="D2385" s="19"/>
      <c r="E2385" s="19"/>
      <c r="F2385" s="20">
        <f t="shared" si="24"/>
        <v>0</v>
      </c>
      <c r="G2385" s="67">
        <f>IFERROR(VLOOKUP(B2385,DADOS!$A$2:$H$252,8,0),"")</f>
        <v>7</v>
      </c>
      <c r="H2385" s="22">
        <v>40.0</v>
      </c>
      <c r="I2385" s="23"/>
      <c r="J2385" s="36"/>
      <c r="K2385" s="25">
        <f>IFERROR(VLOOKUP(B2385,DADOS!$A$2:$H$252,4,0)*J2385,"")</f>
        <v>0</v>
      </c>
      <c r="L2385" s="26" t="str">
        <f t="shared" si="23"/>
        <v/>
      </c>
      <c r="M2385" s="27"/>
      <c r="N2385" s="30"/>
      <c r="O2385" s="28"/>
      <c r="P2385" s="28"/>
      <c r="Q2385" s="28"/>
      <c r="R2385" s="28"/>
      <c r="S2385" s="28"/>
    </row>
    <row r="2386">
      <c r="A2386" s="17">
        <v>46167.0</v>
      </c>
      <c r="B2386" s="18" t="s">
        <v>18</v>
      </c>
      <c r="C2386" s="18" t="s">
        <v>165</v>
      </c>
      <c r="D2386" s="19"/>
      <c r="E2386" s="19"/>
      <c r="F2386" s="20">
        <f t="shared" si="24"/>
        <v>0</v>
      </c>
      <c r="G2386" s="67">
        <f>IFERROR(VLOOKUP(B2386,DADOS!$A$2:$H$252,8,0),"")</f>
        <v>21</v>
      </c>
      <c r="H2386" s="22">
        <v>40.0</v>
      </c>
      <c r="I2386" s="23"/>
      <c r="J2386" s="36"/>
      <c r="K2386" s="25">
        <f>IFERROR(VLOOKUP(B2386,DADOS!$A$2:$H$252,4,0)*J2386,"")</f>
        <v>0</v>
      </c>
      <c r="L2386" s="26" t="str">
        <f t="shared" si="23"/>
        <v/>
      </c>
      <c r="M2386" s="27"/>
      <c r="N2386" s="30"/>
      <c r="O2386" s="28"/>
      <c r="P2386" s="28"/>
      <c r="Q2386" s="28"/>
      <c r="R2386" s="28"/>
      <c r="S2386" s="28"/>
    </row>
    <row r="2387">
      <c r="A2387" s="17">
        <v>46167.0</v>
      </c>
      <c r="B2387" s="18" t="s">
        <v>195</v>
      </c>
      <c r="C2387" s="18" t="s">
        <v>165</v>
      </c>
      <c r="D2387" s="19"/>
      <c r="E2387" s="19"/>
      <c r="F2387" s="20">
        <f t="shared" si="24"/>
        <v>0</v>
      </c>
      <c r="G2387" s="67">
        <f>IFERROR(VLOOKUP(B2387,DADOS!$A$2:$H$252,8,0),"")</f>
        <v>43</v>
      </c>
      <c r="H2387" s="22">
        <v>15.0</v>
      </c>
      <c r="I2387" s="23"/>
      <c r="J2387" s="36"/>
      <c r="K2387" s="25">
        <f>IFERROR(VLOOKUP(B2387,DADOS!$A$2:$H$252,4,0)*J2387,"")</f>
        <v>0</v>
      </c>
      <c r="L2387" s="26" t="str">
        <f t="shared" si="23"/>
        <v/>
      </c>
      <c r="M2387" s="27"/>
      <c r="N2387" s="30"/>
      <c r="O2387" s="28"/>
      <c r="P2387" s="28"/>
      <c r="Q2387" s="28"/>
      <c r="R2387" s="28"/>
      <c r="S2387" s="28"/>
    </row>
    <row r="2388">
      <c r="A2388" s="17">
        <v>46168.0</v>
      </c>
      <c r="B2388" s="18" t="s">
        <v>195</v>
      </c>
      <c r="C2388" s="18" t="s">
        <v>165</v>
      </c>
      <c r="D2388" s="19"/>
      <c r="E2388" s="19"/>
      <c r="F2388" s="20">
        <f t="shared" si="24"/>
        <v>0</v>
      </c>
      <c r="G2388" s="67">
        <f>IFERROR(VLOOKUP(B2388,DADOS!$A$2:$H$252,8,0),"")</f>
        <v>43</v>
      </c>
      <c r="H2388" s="22">
        <v>47.0</v>
      </c>
      <c r="I2388" s="23"/>
      <c r="J2388" s="36"/>
      <c r="K2388" s="25">
        <f>IFERROR(VLOOKUP(B2388,DADOS!$A$2:$H$252,4,0)*J2388,"")</f>
        <v>0</v>
      </c>
      <c r="L2388" s="26" t="str">
        <f t="shared" si="23"/>
        <v/>
      </c>
      <c r="M2388" s="27"/>
      <c r="N2388" s="30"/>
      <c r="O2388" s="28"/>
      <c r="P2388" s="28"/>
      <c r="Q2388" s="28"/>
      <c r="R2388" s="28"/>
      <c r="S2388" s="28"/>
    </row>
    <row r="2389">
      <c r="A2389" s="17">
        <v>46169.0</v>
      </c>
      <c r="B2389" s="18" t="s">
        <v>195</v>
      </c>
      <c r="C2389" s="18" t="s">
        <v>165</v>
      </c>
      <c r="D2389" s="19"/>
      <c r="E2389" s="19"/>
      <c r="F2389" s="20">
        <f t="shared" si="24"/>
        <v>0</v>
      </c>
      <c r="G2389" s="67">
        <f>IFERROR(VLOOKUP(B2389,DADOS!$A$2:$H$252,8,0),"")</f>
        <v>43</v>
      </c>
      <c r="H2389" s="22">
        <v>8.0</v>
      </c>
      <c r="I2389" s="23"/>
      <c r="J2389" s="24">
        <v>1.0</v>
      </c>
      <c r="K2389" s="25">
        <f>IFERROR(VLOOKUP(B2389,DADOS!$A$2:$H$252,4,0)*J2389,"")</f>
        <v>0.21186</v>
      </c>
      <c r="L2389" s="26" t="str">
        <f t="shared" si="23"/>
        <v/>
      </c>
      <c r="M2389" s="27"/>
      <c r="N2389" s="30"/>
      <c r="O2389" s="28"/>
      <c r="P2389" s="28"/>
      <c r="Q2389" s="28"/>
      <c r="R2389" s="28"/>
      <c r="S2389" s="28"/>
    </row>
    <row r="2390">
      <c r="A2390" s="17">
        <v>46169.0</v>
      </c>
      <c r="B2390" s="18" t="s">
        <v>25</v>
      </c>
      <c r="C2390" s="18" t="s">
        <v>165</v>
      </c>
      <c r="D2390" s="19"/>
      <c r="E2390" s="19"/>
      <c r="F2390" s="20">
        <f t="shared" si="24"/>
        <v>0</v>
      </c>
      <c r="G2390" s="67">
        <f>IFERROR(VLOOKUP(B2390,DADOS!$A$2:$H$252,8,0),"")</f>
        <v>40</v>
      </c>
      <c r="H2390" s="22" t="s">
        <v>233</v>
      </c>
      <c r="I2390" s="23"/>
      <c r="J2390" s="36"/>
      <c r="K2390" s="25">
        <f>IFERROR(VLOOKUP(B2390,DADOS!$A$2:$H$252,4,0)*J2390,"")</f>
        <v>0</v>
      </c>
      <c r="L2390" s="26" t="str">
        <f t="shared" si="23"/>
        <v/>
      </c>
      <c r="M2390" s="27"/>
      <c r="N2390" s="30"/>
      <c r="O2390" s="28"/>
      <c r="P2390" s="28"/>
      <c r="Q2390" s="28"/>
      <c r="R2390" s="28"/>
      <c r="S2390" s="28"/>
    </row>
    <row r="2391">
      <c r="A2391" s="17">
        <v>46170.0</v>
      </c>
      <c r="B2391" s="18" t="s">
        <v>185</v>
      </c>
      <c r="C2391" s="18" t="s">
        <v>166</v>
      </c>
      <c r="D2391" s="19"/>
      <c r="E2391" s="19"/>
      <c r="F2391" s="20">
        <f t="shared" si="24"/>
        <v>0</v>
      </c>
      <c r="G2391" s="67">
        <f>IFERROR(VLOOKUP(B2391,DADOS!$A$2:$H$252,8,0),"")</f>
        <v>35</v>
      </c>
      <c r="H2391" s="22">
        <v>70.0</v>
      </c>
      <c r="I2391" s="23"/>
      <c r="J2391" s="36"/>
      <c r="K2391" s="25">
        <f>IFERROR(VLOOKUP(B2391,DADOS!$A$2:$H$252,4,0)*J2391,"")</f>
        <v>0</v>
      </c>
      <c r="L2391" s="26" t="str">
        <f t="shared" si="23"/>
        <v/>
      </c>
      <c r="M2391" s="27"/>
      <c r="N2391" s="30"/>
      <c r="O2391" s="28"/>
      <c r="P2391" s="28"/>
      <c r="Q2391" s="28"/>
      <c r="R2391" s="28"/>
      <c r="S2391" s="28"/>
    </row>
    <row r="2392">
      <c r="A2392" s="17">
        <v>46170.0</v>
      </c>
      <c r="B2392" s="18" t="s">
        <v>25</v>
      </c>
      <c r="C2392" s="18" t="s">
        <v>165</v>
      </c>
      <c r="D2392" s="19"/>
      <c r="E2392" s="19"/>
      <c r="F2392" s="20">
        <f t="shared" si="24"/>
        <v>0</v>
      </c>
      <c r="G2392" s="67">
        <f>IFERROR(VLOOKUP(B2392,DADOS!$A$2:$H$252,8,0),"")</f>
        <v>40</v>
      </c>
      <c r="H2392" s="22">
        <v>20.0</v>
      </c>
      <c r="I2392" s="23"/>
      <c r="J2392" s="24">
        <v>1.0</v>
      </c>
      <c r="K2392" s="25">
        <f>IFERROR(VLOOKUP(B2392,DADOS!$A$2:$H$252,4,0)*J2392,"")</f>
        <v>0.103576</v>
      </c>
      <c r="L2392" s="26" t="str">
        <f t="shared" si="23"/>
        <v/>
      </c>
      <c r="M2392" s="27"/>
      <c r="N2392" s="30"/>
      <c r="O2392" s="28"/>
      <c r="P2392" s="28"/>
      <c r="Q2392" s="28"/>
      <c r="R2392" s="28"/>
      <c r="S2392" s="28"/>
    </row>
    <row r="2393">
      <c r="A2393" s="17">
        <v>46170.0</v>
      </c>
      <c r="B2393" s="18" t="s">
        <v>99</v>
      </c>
      <c r="C2393" s="18" t="s">
        <v>165</v>
      </c>
      <c r="D2393" s="19"/>
      <c r="E2393" s="19"/>
      <c r="F2393" s="20">
        <f t="shared" si="24"/>
        <v>0</v>
      </c>
      <c r="G2393" s="67">
        <f>IFERROR(VLOOKUP(B2393,DADOS!$A$2:$H$252,8,0),"")</f>
        <v>26</v>
      </c>
      <c r="H2393" s="22">
        <v>92.0</v>
      </c>
      <c r="I2393" s="23"/>
      <c r="J2393" s="24">
        <v>4.0</v>
      </c>
      <c r="K2393" s="25">
        <f>IFERROR(VLOOKUP(B2393,DADOS!$A$2:$H$252,4,0)*J2393,"")</f>
        <v>0.37664</v>
      </c>
      <c r="L2393" s="26" t="str">
        <f t="shared" si="23"/>
        <v/>
      </c>
      <c r="M2393" s="27"/>
      <c r="N2393" s="30"/>
      <c r="O2393" s="28"/>
      <c r="P2393" s="28"/>
      <c r="Q2393" s="28"/>
      <c r="R2393" s="28"/>
      <c r="S2393" s="28"/>
    </row>
    <row r="2394">
      <c r="A2394" s="17">
        <v>46170.0</v>
      </c>
      <c r="B2394" s="18" t="s">
        <v>57</v>
      </c>
      <c r="C2394" s="18" t="s">
        <v>19</v>
      </c>
      <c r="D2394" s="19"/>
      <c r="E2394" s="19"/>
      <c r="F2394" s="20">
        <f t="shared" si="24"/>
        <v>0</v>
      </c>
      <c r="G2394" s="67">
        <f>IFERROR(VLOOKUP(B2394,DADOS!$A$2:$H$252,8,0),"")</f>
        <v>100</v>
      </c>
      <c r="H2394" s="22">
        <v>113.0</v>
      </c>
      <c r="I2394" s="23"/>
      <c r="J2394" s="36"/>
      <c r="K2394" s="25">
        <f>IFERROR(VLOOKUP(B2394,DADOS!$A$2:$H$252,4,0)*J2394,"")</f>
        <v>0</v>
      </c>
      <c r="L2394" s="26" t="str">
        <f t="shared" si="23"/>
        <v/>
      </c>
      <c r="M2394" s="27"/>
      <c r="N2394" s="30"/>
      <c r="O2394" s="28"/>
      <c r="P2394" s="28"/>
      <c r="Q2394" s="28"/>
      <c r="R2394" s="28"/>
      <c r="S2394" s="28"/>
    </row>
    <row r="2395">
      <c r="A2395" s="17">
        <v>46171.0</v>
      </c>
      <c r="B2395" s="18" t="s">
        <v>22</v>
      </c>
      <c r="C2395" s="18" t="s">
        <v>166</v>
      </c>
      <c r="D2395" s="19"/>
      <c r="E2395" s="19"/>
      <c r="F2395" s="20">
        <f t="shared" si="24"/>
        <v>0</v>
      </c>
      <c r="G2395" s="67">
        <f>IFERROR(VLOOKUP(B2395,DADOS!$A$2:$H$252,8,0),"")</f>
        <v>15</v>
      </c>
      <c r="H2395" s="22">
        <v>20.0</v>
      </c>
      <c r="I2395" s="23"/>
      <c r="J2395" s="36"/>
      <c r="K2395" s="25">
        <f>IFERROR(VLOOKUP(B2395,DADOS!$A$2:$H$252,4,0)*J2395,"")</f>
        <v>0</v>
      </c>
      <c r="L2395" s="26" t="str">
        <f t="shared" si="23"/>
        <v/>
      </c>
      <c r="M2395" s="27"/>
      <c r="N2395" s="30"/>
      <c r="O2395" s="28"/>
      <c r="P2395" s="28"/>
      <c r="Q2395" s="28"/>
      <c r="R2395" s="28"/>
      <c r="S2395" s="28"/>
    </row>
    <row r="2396">
      <c r="A2396" s="17">
        <v>46171.0</v>
      </c>
      <c r="B2396" s="18" t="s">
        <v>190</v>
      </c>
      <c r="C2396" s="18" t="s">
        <v>166</v>
      </c>
      <c r="D2396" s="19"/>
      <c r="E2396" s="19"/>
      <c r="F2396" s="20">
        <f t="shared" si="24"/>
        <v>0</v>
      </c>
      <c r="G2396" s="67">
        <f>IFERROR(VLOOKUP(B2396,DADOS!$A$2:$H$252,8,0),"")</f>
        <v>12</v>
      </c>
      <c r="H2396" s="22">
        <v>27.0</v>
      </c>
      <c r="I2396" s="23"/>
      <c r="J2396" s="36"/>
      <c r="K2396" s="25">
        <f>IFERROR(VLOOKUP(B2396,DADOS!$A$2:$H$252,4,0)*J2396,"")</f>
        <v>0</v>
      </c>
      <c r="L2396" s="26" t="str">
        <f t="shared" si="23"/>
        <v/>
      </c>
      <c r="M2396" s="27"/>
      <c r="N2396" s="30"/>
      <c r="O2396" s="28"/>
      <c r="P2396" s="28"/>
      <c r="Q2396" s="28"/>
      <c r="R2396" s="28"/>
      <c r="S2396" s="28"/>
    </row>
    <row r="2397">
      <c r="A2397" s="17">
        <v>46171.0</v>
      </c>
      <c r="B2397" s="18" t="s">
        <v>57</v>
      </c>
      <c r="C2397" s="18" t="s">
        <v>165</v>
      </c>
      <c r="D2397" s="19"/>
      <c r="E2397" s="19"/>
      <c r="F2397" s="20">
        <f t="shared" si="24"/>
        <v>0</v>
      </c>
      <c r="G2397" s="67">
        <f>IFERROR(VLOOKUP(B2397,DADOS!$A$2:$H$252,8,0),"")</f>
        <v>100</v>
      </c>
      <c r="H2397" s="22">
        <v>80.0</v>
      </c>
      <c r="I2397" s="23"/>
      <c r="J2397" s="24">
        <v>1.0</v>
      </c>
      <c r="K2397" s="25">
        <f>IFERROR(VLOOKUP(B2397,DADOS!$A$2:$H$252,4,0)*J2397,"")</f>
        <v>0.01712</v>
      </c>
      <c r="L2397" s="26" t="str">
        <f t="shared" si="23"/>
        <v/>
      </c>
      <c r="M2397" s="27"/>
      <c r="N2397" s="30"/>
      <c r="O2397" s="28"/>
      <c r="P2397" s="28"/>
      <c r="Q2397" s="28"/>
      <c r="R2397" s="28"/>
      <c r="S2397" s="28"/>
    </row>
    <row r="2398">
      <c r="A2398" s="17">
        <v>46172.0</v>
      </c>
      <c r="B2398" s="18" t="s">
        <v>26</v>
      </c>
      <c r="C2398" s="18" t="s">
        <v>193</v>
      </c>
      <c r="D2398" s="19"/>
      <c r="E2398" s="19"/>
      <c r="F2398" s="20">
        <f t="shared" si="24"/>
        <v>0</v>
      </c>
      <c r="G2398" s="67">
        <f>IFERROR(VLOOKUP(B2398,DADOS!$A$2:$H$252,8,0),"")</f>
        <v>50</v>
      </c>
      <c r="H2398" s="22">
        <v>100.0</v>
      </c>
      <c r="I2398" s="23"/>
      <c r="J2398" s="36"/>
      <c r="K2398" s="25">
        <f>IFERROR(VLOOKUP(B2398,DADOS!$A$2:$H$252,4,0)*J2398,"")</f>
        <v>0</v>
      </c>
      <c r="L2398" s="26" t="str">
        <f t="shared" si="23"/>
        <v/>
      </c>
      <c r="M2398" s="27"/>
      <c r="N2398" s="30"/>
      <c r="O2398" s="28"/>
      <c r="P2398" s="28"/>
      <c r="Q2398" s="28"/>
      <c r="R2398" s="28"/>
      <c r="S2398" s="28"/>
    </row>
    <row r="2399">
      <c r="A2399" s="17">
        <v>46174.0</v>
      </c>
      <c r="B2399" s="18" t="s">
        <v>190</v>
      </c>
      <c r="C2399" s="18" t="s">
        <v>166</v>
      </c>
      <c r="D2399" s="19"/>
      <c r="E2399" s="19"/>
      <c r="F2399" s="20">
        <f t="shared" si="24"/>
        <v>0</v>
      </c>
      <c r="G2399" s="67">
        <f>IFERROR(VLOOKUP(B2399,DADOS!$A$2:$H$252,8,0),"")</f>
        <v>12</v>
      </c>
      <c r="H2399" s="22">
        <v>43.0</v>
      </c>
      <c r="I2399" s="23"/>
      <c r="J2399" s="36"/>
      <c r="K2399" s="25">
        <f>IFERROR(VLOOKUP(B2399,DADOS!$A$2:$H$252,4,0)*J2399,"")</f>
        <v>0</v>
      </c>
      <c r="L2399" s="26" t="str">
        <f t="shared" si="23"/>
        <v/>
      </c>
      <c r="M2399" s="27"/>
      <c r="N2399" s="30"/>
      <c r="O2399" s="28"/>
      <c r="P2399" s="28"/>
      <c r="Q2399" s="28"/>
      <c r="R2399" s="28"/>
      <c r="S2399" s="28"/>
    </row>
    <row r="2400">
      <c r="A2400" s="17">
        <v>46174.0</v>
      </c>
      <c r="B2400" s="18" t="s">
        <v>218</v>
      </c>
      <c r="C2400" s="18" t="s">
        <v>19</v>
      </c>
      <c r="D2400" s="19"/>
      <c r="E2400" s="19"/>
      <c r="F2400" s="20">
        <f t="shared" si="24"/>
        <v>0</v>
      </c>
      <c r="G2400" s="67">
        <f>IFERROR(VLOOKUP(B2400,DADOS!$A$2:$H$252,8,0),"")</f>
        <v>14</v>
      </c>
      <c r="H2400" s="22">
        <v>99.0</v>
      </c>
      <c r="I2400" s="23"/>
      <c r="J2400" s="24">
        <v>1.0</v>
      </c>
      <c r="K2400" s="25">
        <f>IFERROR(VLOOKUP(B2400,DADOS!$A$2:$H$252,4,0)*J2400,"")</f>
        <v>0.0181258</v>
      </c>
      <c r="L2400" s="26" t="str">
        <f t="shared" si="23"/>
        <v/>
      </c>
      <c r="M2400" s="27"/>
      <c r="N2400" s="30"/>
      <c r="O2400" s="28"/>
      <c r="P2400" s="28"/>
      <c r="Q2400" s="28"/>
      <c r="R2400" s="28"/>
      <c r="S2400" s="28"/>
    </row>
    <row r="2401">
      <c r="A2401" s="17">
        <v>46174.0</v>
      </c>
      <c r="B2401" s="18" t="s">
        <v>234</v>
      </c>
      <c r="C2401" s="18" t="s">
        <v>165</v>
      </c>
      <c r="D2401" s="19"/>
      <c r="E2401" s="19"/>
      <c r="F2401" s="20">
        <f t="shared" si="24"/>
        <v>0</v>
      </c>
      <c r="G2401" s="67">
        <f>IFERROR(VLOOKUP(B2401,DADOS!$A$2:$H$252,8,0),"")</f>
        <v>65</v>
      </c>
      <c r="H2401" s="22">
        <v>200.0</v>
      </c>
      <c r="I2401" s="23"/>
      <c r="J2401" s="36"/>
      <c r="K2401" s="25">
        <f>IFERROR(VLOOKUP(B2401,DADOS!$A$2:$H$252,4,0)*J2401,"")</f>
        <v>0</v>
      </c>
      <c r="L2401" s="26" t="str">
        <f t="shared" si="23"/>
        <v/>
      </c>
      <c r="M2401" s="27"/>
      <c r="N2401" s="30"/>
      <c r="O2401" s="28"/>
      <c r="P2401" s="28"/>
      <c r="Q2401" s="28"/>
      <c r="R2401" s="28"/>
      <c r="S2401" s="28"/>
    </row>
    <row r="2402">
      <c r="A2402" s="17">
        <v>46175.0</v>
      </c>
      <c r="B2402" s="18" t="s">
        <v>26</v>
      </c>
      <c r="C2402" s="18" t="s">
        <v>19</v>
      </c>
      <c r="D2402" s="19"/>
      <c r="E2402" s="19"/>
      <c r="F2402" s="20">
        <f t="shared" si="24"/>
        <v>0</v>
      </c>
      <c r="G2402" s="67">
        <f>IFERROR(VLOOKUP(B2402,DADOS!$A$2:$H$252,8,0),"")</f>
        <v>50</v>
      </c>
      <c r="H2402" s="22">
        <v>50.0</v>
      </c>
      <c r="I2402" s="23"/>
      <c r="J2402" s="36"/>
      <c r="K2402" s="25">
        <f>IFERROR(VLOOKUP(B2402,DADOS!$A$2:$H$252,4,0)*J2402,"")</f>
        <v>0</v>
      </c>
      <c r="L2402" s="26" t="str">
        <f t="shared" si="23"/>
        <v/>
      </c>
      <c r="M2402" s="27"/>
      <c r="N2402" s="30"/>
      <c r="O2402" s="28"/>
      <c r="P2402" s="28"/>
      <c r="Q2402" s="28"/>
      <c r="R2402" s="28"/>
      <c r="S2402" s="28"/>
    </row>
    <row r="2403">
      <c r="A2403" s="17">
        <v>46175.0</v>
      </c>
      <c r="B2403" s="18" t="s">
        <v>25</v>
      </c>
      <c r="C2403" s="18" t="s">
        <v>165</v>
      </c>
      <c r="D2403" s="19"/>
      <c r="E2403" s="19"/>
      <c r="F2403" s="20">
        <f t="shared" si="24"/>
        <v>0</v>
      </c>
      <c r="G2403" s="67">
        <f>IFERROR(VLOOKUP(B2403,DADOS!$A$2:$H$252,8,0),"")</f>
        <v>40</v>
      </c>
      <c r="H2403" s="22">
        <v>50.0</v>
      </c>
      <c r="I2403" s="23"/>
      <c r="J2403" s="36"/>
      <c r="K2403" s="25">
        <f>IFERROR(VLOOKUP(B2403,DADOS!$A$2:$H$252,4,0)*J2403,"")</f>
        <v>0</v>
      </c>
      <c r="L2403" s="26" t="str">
        <f t="shared" si="23"/>
        <v/>
      </c>
      <c r="M2403" s="27"/>
      <c r="N2403" s="30"/>
      <c r="O2403" s="28"/>
      <c r="P2403" s="28"/>
      <c r="Q2403" s="28"/>
      <c r="R2403" s="28"/>
      <c r="S2403" s="28"/>
    </row>
    <row r="2404">
      <c r="A2404" s="17">
        <v>46175.0</v>
      </c>
      <c r="B2404" s="18" t="s">
        <v>206</v>
      </c>
      <c r="C2404" s="18" t="s">
        <v>166</v>
      </c>
      <c r="D2404" s="19"/>
      <c r="E2404" s="19"/>
      <c r="F2404" s="20">
        <f t="shared" si="24"/>
        <v>0</v>
      </c>
      <c r="G2404" s="67">
        <f>IFERROR(VLOOKUP(B2404,DADOS!$A$2:$H$252,8,0),"")</f>
        <v>11</v>
      </c>
      <c r="H2404" s="22">
        <v>48.0</v>
      </c>
      <c r="I2404" s="23"/>
      <c r="J2404" s="24">
        <v>2.0</v>
      </c>
      <c r="K2404" s="25">
        <f>IFERROR(VLOOKUP(B2404,DADOS!$A$2:$H$252,4,0)*J2404,"")</f>
        <v>0</v>
      </c>
      <c r="L2404" s="26" t="str">
        <f t="shared" si="23"/>
        <v/>
      </c>
      <c r="M2404" s="27"/>
      <c r="N2404" s="30"/>
      <c r="O2404" s="28"/>
      <c r="P2404" s="28"/>
      <c r="Q2404" s="28"/>
      <c r="R2404" s="28"/>
      <c r="S2404" s="28"/>
    </row>
    <row r="2405">
      <c r="A2405" s="17">
        <v>46175.0</v>
      </c>
      <c r="B2405" s="18" t="s">
        <v>27</v>
      </c>
      <c r="C2405" s="18" t="s">
        <v>165</v>
      </c>
      <c r="D2405" s="19"/>
      <c r="E2405" s="19"/>
      <c r="F2405" s="20">
        <f t="shared" si="24"/>
        <v>0</v>
      </c>
      <c r="G2405" s="67">
        <f>IFERROR(VLOOKUP(B2405,DADOS!$A$2:$H$252,8,0),"")</f>
        <v>30</v>
      </c>
      <c r="H2405" s="22">
        <v>32.0</v>
      </c>
      <c r="I2405" s="23"/>
      <c r="J2405" s="24">
        <v>4.0</v>
      </c>
      <c r="K2405" s="25">
        <f>IFERROR(VLOOKUP(B2405,DADOS!$A$2:$H$252,4,0)*J2405,"")</f>
        <v>0.06848</v>
      </c>
      <c r="L2405" s="26" t="str">
        <f t="shared" si="23"/>
        <v/>
      </c>
      <c r="M2405" s="27"/>
      <c r="N2405" s="30"/>
      <c r="O2405" s="28"/>
      <c r="P2405" s="28"/>
      <c r="Q2405" s="28"/>
      <c r="R2405" s="28"/>
      <c r="S2405" s="28"/>
    </row>
    <row r="2406">
      <c r="A2406" s="17">
        <v>46175.0</v>
      </c>
      <c r="B2406" s="18" t="s">
        <v>115</v>
      </c>
      <c r="C2406" s="18" t="s">
        <v>166</v>
      </c>
      <c r="D2406" s="19"/>
      <c r="E2406" s="19"/>
      <c r="F2406" s="20">
        <f t="shared" si="24"/>
        <v>0</v>
      </c>
      <c r="G2406" s="67">
        <f>IFERROR(VLOOKUP(B2406,DADOS!$A$2:$H$252,8,0),"")</f>
        <v>12</v>
      </c>
      <c r="H2406" s="22">
        <v>30.0</v>
      </c>
      <c r="I2406" s="23"/>
      <c r="J2406" s="36"/>
      <c r="K2406" s="25">
        <f>IFERROR(VLOOKUP(B2406,DADOS!$A$2:$H$252,4,0)*J2406,"")</f>
        <v>0</v>
      </c>
      <c r="L2406" s="26" t="str">
        <f t="shared" si="23"/>
        <v/>
      </c>
      <c r="M2406" s="27"/>
      <c r="N2406" s="30"/>
      <c r="O2406" s="28"/>
      <c r="P2406" s="28"/>
      <c r="Q2406" s="28"/>
      <c r="R2406" s="28"/>
      <c r="S2406" s="28"/>
    </row>
    <row r="2407">
      <c r="A2407" s="17">
        <v>46176.0</v>
      </c>
      <c r="B2407" s="18" t="s">
        <v>27</v>
      </c>
      <c r="C2407" s="18" t="s">
        <v>165</v>
      </c>
      <c r="D2407" s="19"/>
      <c r="E2407" s="19"/>
      <c r="F2407" s="20">
        <f t="shared" si="24"/>
        <v>0</v>
      </c>
      <c r="G2407" s="67">
        <f>IFERROR(VLOOKUP(B2407,DADOS!$A$2:$H$252,8,0),"")</f>
        <v>30</v>
      </c>
      <c r="H2407" s="22">
        <v>266.0</v>
      </c>
      <c r="I2407" s="23"/>
      <c r="J2407" s="24">
        <v>7.0</v>
      </c>
      <c r="K2407" s="25">
        <f>IFERROR(VLOOKUP(B2407,DADOS!$A$2:$H$252,4,0)*J2407,"")</f>
        <v>0.11984</v>
      </c>
      <c r="L2407" s="26" t="str">
        <f t="shared" si="23"/>
        <v/>
      </c>
      <c r="M2407" s="27"/>
      <c r="N2407" s="30"/>
      <c r="O2407" s="28"/>
      <c r="P2407" s="28"/>
      <c r="Q2407" s="28"/>
      <c r="R2407" s="28"/>
      <c r="S2407" s="28"/>
    </row>
    <row r="2408">
      <c r="A2408" s="17">
        <v>46178.0</v>
      </c>
      <c r="B2408" s="18" t="s">
        <v>27</v>
      </c>
      <c r="C2408" s="18" t="s">
        <v>165</v>
      </c>
      <c r="D2408" s="19"/>
      <c r="E2408" s="19"/>
      <c r="F2408" s="20">
        <f t="shared" si="24"/>
        <v>0</v>
      </c>
      <c r="G2408" s="67">
        <f>IFERROR(VLOOKUP(B2408,DADOS!$A$2:$H$252,8,0),"")</f>
        <v>30</v>
      </c>
      <c r="H2408" s="22">
        <v>189.0</v>
      </c>
      <c r="I2408" s="23"/>
      <c r="J2408" s="24">
        <v>2.0</v>
      </c>
      <c r="K2408" s="25">
        <f>IFERROR(VLOOKUP(B2408,DADOS!$A$2:$H$252,4,0)*J2408,"")</f>
        <v>0.03424</v>
      </c>
      <c r="L2408" s="26" t="str">
        <f t="shared" si="23"/>
        <v/>
      </c>
      <c r="M2408" s="27"/>
      <c r="N2408" s="30"/>
      <c r="O2408" s="28"/>
      <c r="P2408" s="28"/>
      <c r="Q2408" s="28"/>
      <c r="R2408" s="28"/>
      <c r="S2408" s="28"/>
    </row>
    <row r="2409">
      <c r="A2409" s="17">
        <v>46178.0</v>
      </c>
      <c r="B2409" s="18" t="s">
        <v>58</v>
      </c>
      <c r="C2409" s="18" t="s">
        <v>166</v>
      </c>
      <c r="D2409" s="19"/>
      <c r="E2409" s="19"/>
      <c r="F2409" s="20">
        <f t="shared" si="24"/>
        <v>0</v>
      </c>
      <c r="G2409" s="67">
        <f>IFERROR(VLOOKUP(B2409,DADOS!$A$2:$H$252,8,0),"")</f>
        <v>31</v>
      </c>
      <c r="H2409" s="22">
        <v>50.0</v>
      </c>
      <c r="I2409" s="23"/>
      <c r="J2409" s="36"/>
      <c r="K2409" s="25">
        <f>IFERROR(VLOOKUP(B2409,DADOS!$A$2:$H$252,4,0)*J2409,"")</f>
        <v>0</v>
      </c>
      <c r="L2409" s="26" t="str">
        <f t="shared" si="23"/>
        <v/>
      </c>
      <c r="M2409" s="27"/>
      <c r="N2409" s="30"/>
      <c r="O2409" s="28"/>
      <c r="P2409" s="28"/>
      <c r="Q2409" s="28"/>
      <c r="R2409" s="28"/>
      <c r="S2409" s="28"/>
    </row>
    <row r="2410">
      <c r="A2410" s="17">
        <v>46181.0</v>
      </c>
      <c r="B2410" s="18" t="s">
        <v>58</v>
      </c>
      <c r="C2410" s="18" t="s">
        <v>166</v>
      </c>
      <c r="D2410" s="19"/>
      <c r="E2410" s="19"/>
      <c r="F2410" s="20">
        <f t="shared" si="24"/>
        <v>0</v>
      </c>
      <c r="G2410" s="67">
        <f>IFERROR(VLOOKUP(B2410,DADOS!$A$2:$H$252,8,0),"")</f>
        <v>31</v>
      </c>
      <c r="H2410" s="22">
        <v>20.0</v>
      </c>
      <c r="I2410" s="23"/>
      <c r="J2410" s="36"/>
      <c r="K2410" s="25">
        <f>IFERROR(VLOOKUP(B2410,DADOS!$A$2:$H$252,4,0)*J2410,"")</f>
        <v>0</v>
      </c>
      <c r="L2410" s="26" t="str">
        <f t="shared" si="23"/>
        <v/>
      </c>
      <c r="M2410" s="27"/>
      <c r="N2410" s="30"/>
      <c r="O2410" s="28"/>
      <c r="P2410" s="28"/>
      <c r="Q2410" s="28"/>
      <c r="R2410" s="28"/>
      <c r="S2410" s="28"/>
    </row>
    <row r="2411">
      <c r="A2411" s="17">
        <v>46181.0</v>
      </c>
      <c r="B2411" s="18" t="s">
        <v>75</v>
      </c>
      <c r="C2411" s="18" t="s">
        <v>166</v>
      </c>
      <c r="D2411" s="19"/>
      <c r="E2411" s="19"/>
      <c r="F2411" s="20">
        <f t="shared" si="24"/>
        <v>0</v>
      </c>
      <c r="G2411" s="67">
        <f>IFERROR(VLOOKUP(B2411,DADOS!$A$2:$H$252,8,0),"")</f>
        <v>23</v>
      </c>
      <c r="H2411" s="22">
        <v>47.0</v>
      </c>
      <c r="I2411" s="23"/>
      <c r="J2411" s="36"/>
      <c r="K2411" s="25">
        <f>IFERROR(VLOOKUP(B2411,DADOS!$A$2:$H$252,4,0)*J2411,"")</f>
        <v>0</v>
      </c>
      <c r="L2411" s="26" t="str">
        <f t="shared" si="23"/>
        <v/>
      </c>
      <c r="M2411" s="27"/>
      <c r="N2411" s="30"/>
      <c r="O2411" s="28"/>
      <c r="P2411" s="28"/>
      <c r="Q2411" s="28"/>
      <c r="R2411" s="28"/>
      <c r="S2411" s="28"/>
    </row>
    <row r="2412">
      <c r="A2412" s="17">
        <v>46181.0</v>
      </c>
      <c r="B2412" s="18" t="s">
        <v>35</v>
      </c>
      <c r="C2412" s="18" t="s">
        <v>165</v>
      </c>
      <c r="D2412" s="19"/>
      <c r="E2412" s="19"/>
      <c r="F2412" s="20">
        <f t="shared" si="24"/>
        <v>0</v>
      </c>
      <c r="G2412" s="67">
        <f>IFERROR(VLOOKUP(B2412,DADOS!$A$2:$H$252,8,0),"")</f>
        <v>30</v>
      </c>
      <c r="H2412" s="22">
        <v>50.0</v>
      </c>
      <c r="I2412" s="23"/>
      <c r="J2412" s="36"/>
      <c r="K2412" s="25">
        <f>IFERROR(VLOOKUP(B2412,DADOS!$A$2:$H$252,4,0)*J2412,"")</f>
        <v>0</v>
      </c>
      <c r="L2412" s="26" t="str">
        <f t="shared" si="23"/>
        <v/>
      </c>
      <c r="M2412" s="27"/>
      <c r="N2412" s="30"/>
      <c r="O2412" s="28"/>
      <c r="P2412" s="28"/>
      <c r="Q2412" s="28"/>
      <c r="R2412" s="28"/>
      <c r="S2412" s="28"/>
    </row>
    <row r="2413">
      <c r="A2413" s="17">
        <v>46182.0</v>
      </c>
      <c r="B2413" s="18" t="s">
        <v>35</v>
      </c>
      <c r="C2413" s="18" t="s">
        <v>165</v>
      </c>
      <c r="D2413" s="19"/>
      <c r="E2413" s="19"/>
      <c r="F2413" s="20">
        <f t="shared" si="24"/>
        <v>0</v>
      </c>
      <c r="G2413" s="67">
        <f>IFERROR(VLOOKUP(B2413,DADOS!$A$2:$H$252,8,0),"")</f>
        <v>30</v>
      </c>
      <c r="H2413" s="22">
        <v>23.0</v>
      </c>
      <c r="I2413" s="23"/>
      <c r="J2413" s="36"/>
      <c r="K2413" s="25">
        <f>IFERROR(VLOOKUP(B2413,DADOS!$A$2:$H$252,4,0)*J2413,"")</f>
        <v>0</v>
      </c>
      <c r="L2413" s="26" t="str">
        <f t="shared" si="23"/>
        <v/>
      </c>
      <c r="M2413" s="27"/>
      <c r="N2413" s="30"/>
      <c r="O2413" s="28"/>
      <c r="P2413" s="28"/>
      <c r="Q2413" s="28"/>
      <c r="R2413" s="28"/>
      <c r="S2413" s="28"/>
    </row>
    <row r="2414">
      <c r="A2414" s="17">
        <v>46182.0</v>
      </c>
      <c r="B2414" s="18" t="s">
        <v>183</v>
      </c>
      <c r="C2414" s="18" t="s">
        <v>165</v>
      </c>
      <c r="D2414" s="19"/>
      <c r="E2414" s="19"/>
      <c r="F2414" s="20">
        <f t="shared" si="24"/>
        <v>0</v>
      </c>
      <c r="G2414" s="67">
        <f>IFERROR(VLOOKUP(B2414,DADOS!$A$2:$H$252,8,0),"")</f>
        <v>40</v>
      </c>
      <c r="H2414" s="22">
        <v>52.0</v>
      </c>
      <c r="I2414" s="23"/>
      <c r="J2414" s="24">
        <v>3.0</v>
      </c>
      <c r="K2414" s="25">
        <f>IFERROR(VLOOKUP(B2414,DADOS!$A$2:$H$252,4,0)*J2414,"")</f>
        <v>0.4437504</v>
      </c>
      <c r="L2414" s="26" t="str">
        <f t="shared" si="23"/>
        <v/>
      </c>
      <c r="M2414" s="27"/>
      <c r="N2414" s="30"/>
      <c r="O2414" s="28"/>
      <c r="P2414" s="28"/>
      <c r="Q2414" s="28"/>
      <c r="R2414" s="28"/>
      <c r="S2414" s="28"/>
    </row>
    <row r="2415">
      <c r="A2415" s="17">
        <v>46182.0</v>
      </c>
      <c r="B2415" s="18" t="s">
        <v>75</v>
      </c>
      <c r="C2415" s="18" t="s">
        <v>166</v>
      </c>
      <c r="D2415" s="19"/>
      <c r="E2415" s="19"/>
      <c r="F2415" s="20">
        <f t="shared" si="24"/>
        <v>0</v>
      </c>
      <c r="G2415" s="67">
        <f>IFERROR(VLOOKUP(B2415,DADOS!$A$2:$H$252,8,0),"")</f>
        <v>23</v>
      </c>
      <c r="H2415" s="22">
        <v>23.0</v>
      </c>
      <c r="I2415" s="23"/>
      <c r="J2415" s="36"/>
      <c r="K2415" s="25">
        <f>IFERROR(VLOOKUP(B2415,DADOS!$A$2:$H$252,4,0)*J2415,"")</f>
        <v>0</v>
      </c>
      <c r="L2415" s="26" t="str">
        <f t="shared" si="23"/>
        <v/>
      </c>
      <c r="M2415" s="27"/>
      <c r="N2415" s="30"/>
      <c r="O2415" s="28"/>
      <c r="P2415" s="28"/>
      <c r="Q2415" s="28"/>
      <c r="R2415" s="28"/>
      <c r="S2415" s="28"/>
    </row>
    <row r="2416">
      <c r="A2416" s="17">
        <v>46182.0</v>
      </c>
      <c r="B2416" s="18" t="s">
        <v>150</v>
      </c>
      <c r="C2416" s="18" t="s">
        <v>166</v>
      </c>
      <c r="D2416" s="19"/>
      <c r="E2416" s="19"/>
      <c r="F2416" s="20">
        <f t="shared" si="24"/>
        <v>0</v>
      </c>
      <c r="G2416" s="67">
        <f>IFERROR(VLOOKUP(B2416,DADOS!$A$2:$H$252,8,0),"")</f>
        <v>12</v>
      </c>
      <c r="H2416" s="22">
        <v>21.0</v>
      </c>
      <c r="I2416" s="23"/>
      <c r="J2416" s="24">
        <v>1.0</v>
      </c>
      <c r="K2416" s="25">
        <f>IFERROR(VLOOKUP(B2416,DADOS!$A$2:$H$252,4,0)*J2416,"")</f>
        <v>0.1716066</v>
      </c>
      <c r="L2416" s="26" t="str">
        <f t="shared" si="23"/>
        <v/>
      </c>
      <c r="M2416" s="27"/>
      <c r="N2416" s="30"/>
      <c r="O2416" s="28"/>
      <c r="P2416" s="28"/>
      <c r="Q2416" s="28"/>
      <c r="R2416" s="28"/>
      <c r="S2416" s="28"/>
    </row>
    <row r="2417">
      <c r="A2417" s="17">
        <v>46183.0</v>
      </c>
      <c r="B2417" s="18" t="s">
        <v>150</v>
      </c>
      <c r="C2417" s="18" t="s">
        <v>166</v>
      </c>
      <c r="D2417" s="19"/>
      <c r="E2417" s="19"/>
      <c r="F2417" s="20">
        <f t="shared" si="24"/>
        <v>0</v>
      </c>
      <c r="G2417" s="67">
        <f>IFERROR(VLOOKUP(B2417,DADOS!$A$2:$H$252,8,0),"")</f>
        <v>12</v>
      </c>
      <c r="H2417" s="22">
        <v>8.0</v>
      </c>
      <c r="I2417" s="23"/>
      <c r="J2417" s="24">
        <v>1.0</v>
      </c>
      <c r="K2417" s="25">
        <f>IFERROR(VLOOKUP(B2417,DADOS!$A$2:$H$252,4,0)*J2417,"")</f>
        <v>0.1716066</v>
      </c>
      <c r="L2417" s="26" t="str">
        <f t="shared" si="23"/>
        <v/>
      </c>
      <c r="M2417" s="27"/>
      <c r="N2417" s="30"/>
      <c r="O2417" s="28"/>
      <c r="P2417" s="28"/>
      <c r="Q2417" s="28"/>
      <c r="R2417" s="28"/>
      <c r="S2417" s="28"/>
    </row>
    <row r="2418">
      <c r="A2418" s="17">
        <v>46183.0</v>
      </c>
      <c r="B2418" s="18" t="s">
        <v>64</v>
      </c>
      <c r="C2418" s="18" t="s">
        <v>166</v>
      </c>
      <c r="D2418" s="19"/>
      <c r="E2418" s="19"/>
      <c r="F2418" s="20">
        <f t="shared" si="24"/>
        <v>0</v>
      </c>
      <c r="G2418" s="67">
        <f>IFERROR(VLOOKUP(B2418,DADOS!$A$2:$H$252,8,0),"")</f>
        <v>21</v>
      </c>
      <c r="H2418" s="22">
        <v>30.0</v>
      </c>
      <c r="I2418" s="23"/>
      <c r="J2418" s="36"/>
      <c r="K2418" s="25">
        <f>IFERROR(VLOOKUP(B2418,DADOS!$A$2:$H$252,4,0)*J2418,"")</f>
        <v>0</v>
      </c>
      <c r="L2418" s="26" t="str">
        <f t="shared" si="23"/>
        <v/>
      </c>
      <c r="M2418" s="27"/>
      <c r="N2418" s="30"/>
      <c r="O2418" s="28"/>
      <c r="P2418" s="28"/>
      <c r="Q2418" s="28"/>
      <c r="R2418" s="28"/>
      <c r="S2418" s="28"/>
    </row>
    <row r="2419">
      <c r="A2419" s="17">
        <v>46183.0</v>
      </c>
      <c r="B2419" s="18" t="s">
        <v>63</v>
      </c>
      <c r="C2419" s="18" t="s">
        <v>166</v>
      </c>
      <c r="D2419" s="19"/>
      <c r="E2419" s="19"/>
      <c r="F2419" s="20">
        <f t="shared" si="24"/>
        <v>0</v>
      </c>
      <c r="G2419" s="67" t="str">
        <f>IFERROR(VLOOKUP(B2419,DADOS!$A$2:$H$252,8,0),"")</f>
        <v/>
      </c>
      <c r="H2419" s="22">
        <v>30.0</v>
      </c>
      <c r="I2419" s="23"/>
      <c r="J2419" s="36"/>
      <c r="K2419" s="25">
        <f>IFERROR(VLOOKUP(B2419,DADOS!$A$2:$H$252,4,0)*J2419,"")</f>
        <v>0</v>
      </c>
      <c r="L2419" s="26" t="str">
        <f t="shared" si="23"/>
        <v/>
      </c>
      <c r="M2419" s="27"/>
      <c r="N2419" s="30"/>
      <c r="O2419" s="28"/>
      <c r="P2419" s="28"/>
      <c r="Q2419" s="28"/>
      <c r="R2419" s="28"/>
      <c r="S2419" s="28"/>
    </row>
    <row r="2420">
      <c r="A2420" s="17">
        <v>46183.0</v>
      </c>
      <c r="B2420" s="18" t="s">
        <v>55</v>
      </c>
      <c r="C2420" s="18" t="s">
        <v>165</v>
      </c>
      <c r="D2420" s="19"/>
      <c r="E2420" s="19"/>
      <c r="F2420" s="20">
        <f t="shared" si="24"/>
        <v>0</v>
      </c>
      <c r="G2420" s="67">
        <f>IFERROR(VLOOKUP(B2420,DADOS!$A$2:$H$252,8,0),"")</f>
        <v>60</v>
      </c>
      <c r="H2420" s="22">
        <v>131.0</v>
      </c>
      <c r="I2420" s="23"/>
      <c r="J2420" s="36"/>
      <c r="K2420" s="25">
        <f>IFERROR(VLOOKUP(B2420,DADOS!$A$2:$H$252,4,0)*J2420,"")</f>
        <v>0</v>
      </c>
      <c r="L2420" s="26" t="str">
        <f t="shared" si="23"/>
        <v/>
      </c>
      <c r="M2420" s="27"/>
      <c r="N2420" s="30"/>
      <c r="O2420" s="28"/>
      <c r="P2420" s="28"/>
      <c r="Q2420" s="28"/>
      <c r="R2420" s="28"/>
      <c r="S2420" s="28"/>
    </row>
    <row r="2421">
      <c r="A2421" s="17">
        <v>46183.0</v>
      </c>
      <c r="B2421" s="18" t="s">
        <v>184</v>
      </c>
      <c r="C2421" s="18" t="s">
        <v>19</v>
      </c>
      <c r="D2421" s="19"/>
      <c r="E2421" s="19"/>
      <c r="F2421" s="20">
        <f t="shared" si="24"/>
        <v>0</v>
      </c>
      <c r="G2421" s="67">
        <f>IFERROR(VLOOKUP(B2421,DADOS!$A$2:$H$252,8,0),"")</f>
        <v>40</v>
      </c>
      <c r="H2421" s="22">
        <v>56.0</v>
      </c>
      <c r="I2421" s="23"/>
      <c r="J2421" s="36"/>
      <c r="K2421" s="25">
        <f>IFERROR(VLOOKUP(B2421,DADOS!$A$2:$H$252,4,0)*J2421,"")</f>
        <v>0</v>
      </c>
      <c r="L2421" s="26" t="str">
        <f t="shared" si="23"/>
        <v/>
      </c>
      <c r="M2421" s="27"/>
      <c r="N2421" s="30"/>
      <c r="O2421" s="28"/>
      <c r="P2421" s="28"/>
      <c r="Q2421" s="28"/>
      <c r="R2421" s="28"/>
      <c r="S2421" s="28"/>
    </row>
    <row r="2422">
      <c r="A2422" s="17">
        <v>46184.0</v>
      </c>
      <c r="B2422" s="18" t="s">
        <v>133</v>
      </c>
      <c r="C2422" s="18" t="s">
        <v>166</v>
      </c>
      <c r="D2422" s="19"/>
      <c r="E2422" s="19"/>
      <c r="F2422" s="20">
        <f t="shared" si="24"/>
        <v>0</v>
      </c>
      <c r="G2422" s="67">
        <f>IFERROR(VLOOKUP(B2422,DADOS!$A$2:$H$252,8,0),"")</f>
        <v>20</v>
      </c>
      <c r="H2422" s="22">
        <v>27.0</v>
      </c>
      <c r="I2422" s="23"/>
      <c r="J2422" s="36"/>
      <c r="K2422" s="25">
        <f>IFERROR(VLOOKUP(B2422,DADOS!$A$2:$H$252,4,0)*J2422,"")</f>
        <v>0</v>
      </c>
      <c r="L2422" s="26" t="str">
        <f t="shared" si="23"/>
        <v/>
      </c>
      <c r="M2422" s="27"/>
      <c r="N2422" s="30"/>
      <c r="O2422" s="28"/>
      <c r="P2422" s="28"/>
      <c r="Q2422" s="28"/>
      <c r="R2422" s="28"/>
      <c r="S2422" s="28"/>
    </row>
    <row r="2423">
      <c r="A2423" s="17">
        <v>46184.0</v>
      </c>
      <c r="B2423" s="18" t="s">
        <v>62</v>
      </c>
      <c r="C2423" s="18" t="s">
        <v>166</v>
      </c>
      <c r="D2423" s="19"/>
      <c r="E2423" s="19"/>
      <c r="F2423" s="20">
        <f t="shared" si="24"/>
        <v>0</v>
      </c>
      <c r="G2423" s="67">
        <f>IFERROR(VLOOKUP(B2423,DADOS!$A$2:$H$252,8,0),"")</f>
        <v>14</v>
      </c>
      <c r="H2423" s="22">
        <v>37.0</v>
      </c>
      <c r="I2423" s="23"/>
      <c r="J2423" s="36"/>
      <c r="K2423" s="25">
        <f>IFERROR(VLOOKUP(B2423,DADOS!$A$2:$H$252,4,0)*J2423,"")</f>
        <v>0</v>
      </c>
      <c r="L2423" s="26" t="str">
        <f t="shared" si="23"/>
        <v/>
      </c>
      <c r="M2423" s="27"/>
      <c r="N2423" s="30"/>
      <c r="O2423" s="28"/>
      <c r="P2423" s="28"/>
      <c r="Q2423" s="28"/>
      <c r="R2423" s="28"/>
      <c r="S2423" s="28"/>
    </row>
    <row r="2424">
      <c r="A2424" s="17">
        <v>46184.0</v>
      </c>
      <c r="B2424" s="18" t="s">
        <v>72</v>
      </c>
      <c r="C2424" s="18" t="s">
        <v>19</v>
      </c>
      <c r="D2424" s="19"/>
      <c r="E2424" s="19"/>
      <c r="F2424" s="20">
        <f t="shared" si="24"/>
        <v>0</v>
      </c>
      <c r="G2424" s="67">
        <f>IFERROR(VLOOKUP(B2424,DADOS!$A$2:$H$252,8,0),"")</f>
        <v>43</v>
      </c>
      <c r="H2424" s="22">
        <v>77.0</v>
      </c>
      <c r="I2424" s="23"/>
      <c r="J2424" s="36"/>
      <c r="K2424" s="25">
        <f>IFERROR(VLOOKUP(B2424,DADOS!$A$2:$H$252,4,0)*J2424,"")</f>
        <v>0</v>
      </c>
      <c r="L2424" s="26" t="str">
        <f t="shared" si="23"/>
        <v/>
      </c>
      <c r="M2424" s="27"/>
      <c r="N2424" s="30"/>
      <c r="O2424" s="28"/>
      <c r="P2424" s="28"/>
      <c r="Q2424" s="28"/>
      <c r="R2424" s="28"/>
      <c r="S2424" s="28"/>
    </row>
    <row r="2425">
      <c r="A2425" s="17">
        <v>46184.0</v>
      </c>
      <c r="B2425" s="18" t="s">
        <v>101</v>
      </c>
      <c r="C2425" s="18" t="s">
        <v>165</v>
      </c>
      <c r="D2425" s="19"/>
      <c r="E2425" s="19"/>
      <c r="F2425" s="20">
        <f t="shared" si="24"/>
        <v>0</v>
      </c>
      <c r="G2425" s="67" t="str">
        <f>IFERROR(VLOOKUP(B2425,DADOS!$A$2:$H$252,8,0),"")</f>
        <v/>
      </c>
      <c r="H2425" s="22">
        <v>41.0</v>
      </c>
      <c r="I2425" s="23"/>
      <c r="J2425" s="36"/>
      <c r="K2425" s="25">
        <f>IFERROR(VLOOKUP(B2425,DADOS!$A$2:$H$252,4,0)*J2425,"")</f>
        <v>0</v>
      </c>
      <c r="L2425" s="26" t="str">
        <f t="shared" si="23"/>
        <v/>
      </c>
      <c r="M2425" s="27"/>
      <c r="N2425" s="30"/>
      <c r="O2425" s="28"/>
      <c r="P2425" s="28"/>
      <c r="Q2425" s="28"/>
      <c r="R2425" s="28"/>
      <c r="S2425" s="28"/>
    </row>
    <row r="2426">
      <c r="A2426" s="17">
        <v>46185.0</v>
      </c>
      <c r="B2426" s="18" t="s">
        <v>135</v>
      </c>
      <c r="C2426" s="18" t="s">
        <v>19</v>
      </c>
      <c r="D2426" s="19"/>
      <c r="E2426" s="19"/>
      <c r="F2426" s="20">
        <f t="shared" si="24"/>
        <v>0</v>
      </c>
      <c r="G2426" s="67">
        <f>IFERROR(VLOOKUP(B2426,DADOS!$A$2:$H$252,8,0),"")</f>
        <v>18</v>
      </c>
      <c r="H2426" s="22">
        <v>12.0</v>
      </c>
      <c r="I2426" s="23"/>
      <c r="J2426" s="24">
        <v>1.0</v>
      </c>
      <c r="K2426" s="25">
        <f>IFERROR(VLOOKUP(B2426,DADOS!$A$2:$H$252,4,0)*J2426,"")</f>
        <v>0.325494</v>
      </c>
      <c r="L2426" s="26" t="str">
        <f t="shared" si="23"/>
        <v/>
      </c>
      <c r="M2426" s="27"/>
      <c r="N2426" s="30"/>
      <c r="O2426" s="28"/>
      <c r="P2426" s="28"/>
      <c r="Q2426" s="28"/>
      <c r="R2426" s="28"/>
      <c r="S2426" s="28"/>
    </row>
    <row r="2427">
      <c r="A2427" s="17">
        <v>46185.0</v>
      </c>
      <c r="B2427" s="18" t="s">
        <v>21</v>
      </c>
      <c r="C2427" s="18" t="s">
        <v>166</v>
      </c>
      <c r="D2427" s="19"/>
      <c r="E2427" s="19"/>
      <c r="F2427" s="20">
        <f t="shared" si="24"/>
        <v>0</v>
      </c>
      <c r="G2427" s="67">
        <f>IFERROR(VLOOKUP(B2427,DADOS!$A$2:$H$252,8,0),"")</f>
        <v>33</v>
      </c>
      <c r="H2427" s="22">
        <v>51.0</v>
      </c>
      <c r="I2427" s="23"/>
      <c r="J2427" s="36"/>
      <c r="K2427" s="25">
        <f>IFERROR(VLOOKUP(B2427,DADOS!$A$2:$H$252,4,0)*J2427,"")</f>
        <v>0</v>
      </c>
      <c r="L2427" s="26" t="str">
        <f t="shared" si="23"/>
        <v/>
      </c>
      <c r="M2427" s="27"/>
      <c r="N2427" s="30"/>
      <c r="O2427" s="28"/>
      <c r="P2427" s="28"/>
      <c r="Q2427" s="28"/>
      <c r="R2427" s="28"/>
      <c r="S2427" s="28"/>
    </row>
    <row r="2428">
      <c r="A2428" s="17">
        <v>46185.0</v>
      </c>
      <c r="B2428" s="18" t="s">
        <v>101</v>
      </c>
      <c r="C2428" s="18" t="s">
        <v>165</v>
      </c>
      <c r="D2428" s="19"/>
      <c r="E2428" s="19"/>
      <c r="F2428" s="20">
        <f t="shared" si="24"/>
        <v>0</v>
      </c>
      <c r="G2428" s="67" t="str">
        <f>IFERROR(VLOOKUP(B2428,DADOS!$A$2:$H$252,8,0),"")</f>
        <v/>
      </c>
      <c r="H2428" s="22">
        <v>28.0</v>
      </c>
      <c r="I2428" s="23"/>
      <c r="J2428" s="24">
        <v>1.0</v>
      </c>
      <c r="K2428" s="25">
        <f>IFERROR(VLOOKUP(B2428,DADOS!$A$2:$H$252,4,0)*J2428,"")</f>
        <v>0.1591304</v>
      </c>
      <c r="L2428" s="26" t="str">
        <f t="shared" si="23"/>
        <v/>
      </c>
      <c r="M2428" s="27"/>
      <c r="N2428" s="30"/>
      <c r="O2428" s="28"/>
      <c r="P2428" s="28"/>
      <c r="Q2428" s="28"/>
      <c r="R2428" s="28"/>
      <c r="S2428" s="28"/>
    </row>
    <row r="2429">
      <c r="A2429" s="17">
        <v>46188.0</v>
      </c>
      <c r="B2429" s="18" t="s">
        <v>135</v>
      </c>
      <c r="C2429" s="18" t="s">
        <v>19</v>
      </c>
      <c r="D2429" s="19"/>
      <c r="E2429" s="19"/>
      <c r="F2429" s="20">
        <f t="shared" si="24"/>
        <v>0</v>
      </c>
      <c r="G2429" s="67">
        <f>IFERROR(VLOOKUP(B2429,DADOS!$A$2:$H$252,8,0),"")</f>
        <v>18</v>
      </c>
      <c r="H2429" s="22">
        <v>20.0</v>
      </c>
      <c r="I2429" s="23"/>
      <c r="J2429" s="36"/>
      <c r="K2429" s="25">
        <f>IFERROR(VLOOKUP(B2429,DADOS!$A$2:$H$252,4,0)*J2429,"")</f>
        <v>0</v>
      </c>
      <c r="L2429" s="26" t="str">
        <f t="shared" si="23"/>
        <v/>
      </c>
      <c r="M2429" s="27"/>
      <c r="N2429" s="30"/>
      <c r="O2429" s="28"/>
      <c r="P2429" s="28"/>
      <c r="Q2429" s="28"/>
      <c r="R2429" s="28"/>
      <c r="S2429" s="28"/>
    </row>
    <row r="2430">
      <c r="A2430" s="17">
        <v>46188.0</v>
      </c>
      <c r="B2430" s="18" t="s">
        <v>229</v>
      </c>
      <c r="C2430" s="18" t="s">
        <v>19</v>
      </c>
      <c r="D2430" s="19"/>
      <c r="E2430" s="19"/>
      <c r="F2430" s="20">
        <f t="shared" si="24"/>
        <v>0</v>
      </c>
      <c r="G2430" s="67">
        <f>IFERROR(VLOOKUP(B2430,DADOS!$A$2:$H$252,8,0),"")</f>
        <v>65</v>
      </c>
      <c r="H2430" s="22">
        <v>82.0</v>
      </c>
      <c r="I2430" s="23"/>
      <c r="J2430" s="36"/>
      <c r="K2430" s="25">
        <f>IFERROR(VLOOKUP(B2430,DADOS!$A$2:$H$252,4,0)*J2430,"")</f>
        <v>0</v>
      </c>
      <c r="L2430" s="26" t="str">
        <f t="shared" si="23"/>
        <v/>
      </c>
      <c r="M2430" s="27"/>
      <c r="N2430" s="30"/>
      <c r="O2430" s="28"/>
      <c r="P2430" s="28"/>
      <c r="Q2430" s="28"/>
      <c r="R2430" s="28"/>
      <c r="S2430" s="28"/>
    </row>
    <row r="2431">
      <c r="A2431" s="17">
        <v>46188.0</v>
      </c>
      <c r="B2431" s="18" t="s">
        <v>66</v>
      </c>
      <c r="C2431" s="18" t="s">
        <v>165</v>
      </c>
      <c r="D2431" s="19"/>
      <c r="E2431" s="19"/>
      <c r="F2431" s="20">
        <f t="shared" si="24"/>
        <v>0</v>
      </c>
      <c r="G2431" s="67" t="str">
        <f>IFERROR(VLOOKUP(B2431,DADOS!$A$2:$H$252,8,0),"")</f>
        <v/>
      </c>
      <c r="H2431" s="22">
        <v>47.0</v>
      </c>
      <c r="I2431" s="23"/>
      <c r="J2431" s="24">
        <v>2.0</v>
      </c>
      <c r="K2431" s="25">
        <f>IFERROR(VLOOKUP(B2431,DADOS!$A$2:$H$252,4,0)*J2431,"")</f>
        <v>0.2675</v>
      </c>
      <c r="L2431" s="26" t="str">
        <f t="shared" si="23"/>
        <v/>
      </c>
      <c r="M2431" s="27"/>
      <c r="N2431" s="30"/>
      <c r="O2431" s="28"/>
      <c r="P2431" s="28"/>
      <c r="Q2431" s="28"/>
      <c r="R2431" s="28"/>
      <c r="S2431" s="28"/>
    </row>
    <row r="2432">
      <c r="A2432" s="17">
        <v>46188.0</v>
      </c>
      <c r="B2432" s="18" t="s">
        <v>105</v>
      </c>
      <c r="C2432" s="18" t="s">
        <v>166</v>
      </c>
      <c r="D2432" s="19"/>
      <c r="E2432" s="19"/>
      <c r="F2432" s="20">
        <f t="shared" si="24"/>
        <v>0</v>
      </c>
      <c r="G2432" s="67">
        <f>IFERROR(VLOOKUP(B2432,DADOS!$A$2:$H$252,8,0),"")</f>
        <v>18</v>
      </c>
      <c r="H2432" s="22">
        <v>82.0</v>
      </c>
      <c r="I2432" s="23"/>
      <c r="J2432" s="36"/>
      <c r="K2432" s="25">
        <f>IFERROR(VLOOKUP(B2432,DADOS!$A$2:$H$252,4,0)*J2432,"")</f>
        <v>0</v>
      </c>
      <c r="L2432" s="26" t="str">
        <f t="shared" si="23"/>
        <v/>
      </c>
      <c r="M2432" s="27"/>
      <c r="N2432" s="30"/>
      <c r="O2432" s="28"/>
      <c r="P2432" s="28"/>
      <c r="Q2432" s="28"/>
      <c r="R2432" s="28"/>
      <c r="S2432" s="28"/>
    </row>
    <row r="2433">
      <c r="A2433" s="17">
        <v>46189.0</v>
      </c>
      <c r="B2433" s="18" t="s">
        <v>105</v>
      </c>
      <c r="C2433" s="18" t="s">
        <v>166</v>
      </c>
      <c r="D2433" s="19"/>
      <c r="E2433" s="19"/>
      <c r="F2433" s="20">
        <f t="shared" si="24"/>
        <v>0</v>
      </c>
      <c r="G2433" s="67">
        <f>IFERROR(VLOOKUP(B2433,DADOS!$A$2:$H$252,8,0),"")</f>
        <v>18</v>
      </c>
      <c r="H2433" s="22">
        <v>18.0</v>
      </c>
      <c r="I2433" s="23"/>
      <c r="J2433" s="36"/>
      <c r="K2433" s="25">
        <f>IFERROR(VLOOKUP(B2433,DADOS!$A$2:$H$252,4,0)*J2433,"")</f>
        <v>0</v>
      </c>
      <c r="L2433" s="26" t="str">
        <f t="shared" si="23"/>
        <v/>
      </c>
      <c r="M2433" s="27"/>
      <c r="N2433" s="30"/>
      <c r="O2433" s="28"/>
      <c r="P2433" s="28"/>
      <c r="Q2433" s="28"/>
      <c r="R2433" s="28"/>
      <c r="S2433" s="28"/>
    </row>
    <row r="2434">
      <c r="A2434" s="17">
        <v>46189.0</v>
      </c>
      <c r="B2434" s="18" t="s">
        <v>47</v>
      </c>
      <c r="C2434" s="18" t="s">
        <v>166</v>
      </c>
      <c r="D2434" s="19"/>
      <c r="E2434" s="19"/>
      <c r="F2434" s="20">
        <f t="shared" si="24"/>
        <v>0</v>
      </c>
      <c r="G2434" s="67">
        <f>IFERROR(VLOOKUP(B2434,DADOS!$A$2:$H$252,8,0),"")</f>
        <v>35</v>
      </c>
      <c r="H2434" s="22">
        <v>40.0</v>
      </c>
      <c r="I2434" s="23"/>
      <c r="J2434" s="36"/>
      <c r="K2434" s="25">
        <f>IFERROR(VLOOKUP(B2434,DADOS!$A$2:$H$252,4,0)*J2434,"")</f>
        <v>0</v>
      </c>
      <c r="L2434" s="26" t="str">
        <f t="shared" si="23"/>
        <v/>
      </c>
      <c r="M2434" s="27"/>
      <c r="N2434" s="30"/>
      <c r="O2434" s="28"/>
      <c r="P2434" s="28"/>
      <c r="Q2434" s="28"/>
      <c r="R2434" s="28"/>
      <c r="S2434" s="28"/>
    </row>
    <row r="2435">
      <c r="A2435" s="17">
        <v>46189.0</v>
      </c>
      <c r="B2435" s="18" t="s">
        <v>66</v>
      </c>
      <c r="C2435" s="18" t="s">
        <v>165</v>
      </c>
      <c r="D2435" s="19"/>
      <c r="E2435" s="19"/>
      <c r="F2435" s="20">
        <f t="shared" si="24"/>
        <v>0</v>
      </c>
      <c r="G2435" s="67" t="str">
        <f>IFERROR(VLOOKUP(B2435,DADOS!$A$2:$H$252,8,0),"")</f>
        <v/>
      </c>
      <c r="H2435" s="22">
        <v>15.0</v>
      </c>
      <c r="I2435" s="23"/>
      <c r="J2435" s="36"/>
      <c r="K2435" s="25">
        <f>IFERROR(VLOOKUP(B2435,DADOS!$A$2:$H$252,4,0)*J2435,"")</f>
        <v>0</v>
      </c>
      <c r="L2435" s="26" t="str">
        <f t="shared" si="23"/>
        <v/>
      </c>
      <c r="M2435" s="27"/>
      <c r="N2435" s="30"/>
      <c r="O2435" s="28"/>
      <c r="P2435" s="28"/>
      <c r="Q2435" s="28"/>
      <c r="R2435" s="28"/>
      <c r="S2435" s="28"/>
    </row>
    <row r="2436">
      <c r="A2436" s="17">
        <v>46189.0</v>
      </c>
      <c r="B2436" s="104" t="s">
        <v>18</v>
      </c>
      <c r="C2436" s="18" t="s">
        <v>165</v>
      </c>
      <c r="D2436" s="19"/>
      <c r="E2436" s="19"/>
      <c r="F2436" s="20">
        <f t="shared" si="24"/>
        <v>0</v>
      </c>
      <c r="G2436" s="67">
        <f>IFERROR(VLOOKUP(B2437,DADOS!$A$2:$H$252,8,0),"")</f>
        <v>65</v>
      </c>
      <c r="H2436" s="22">
        <v>30.0</v>
      </c>
      <c r="I2436" s="23"/>
      <c r="J2436" s="24">
        <v>1.0</v>
      </c>
      <c r="K2436" s="25">
        <f>IFERROR(VLOOKUP(B2437,DADOS!$A$2:$H$252,4,0)*J2436,"")</f>
        <v>0.052965</v>
      </c>
      <c r="L2436" s="26" t="str">
        <f t="shared" si="23"/>
        <v/>
      </c>
      <c r="M2436" s="27"/>
      <c r="N2436" s="30"/>
      <c r="O2436" s="28"/>
      <c r="P2436" s="28"/>
      <c r="Q2436" s="28"/>
      <c r="R2436" s="28"/>
      <c r="S2436" s="28"/>
    </row>
    <row r="2437">
      <c r="A2437" s="17">
        <v>46189.0</v>
      </c>
      <c r="B2437" s="18" t="s">
        <v>229</v>
      </c>
      <c r="C2437" s="18" t="s">
        <v>19</v>
      </c>
      <c r="D2437" s="19"/>
      <c r="E2437" s="19"/>
      <c r="F2437" s="20">
        <f t="shared" si="24"/>
        <v>0</v>
      </c>
      <c r="G2437" s="67" t="str">
        <f>IFERROR(VLOOKUP(#REF!,DADOS!$A$2:$H$252,8,0),"")</f>
        <v/>
      </c>
      <c r="H2437" s="22">
        <v>110.0</v>
      </c>
      <c r="I2437" s="23"/>
      <c r="J2437" s="36"/>
      <c r="K2437" s="25" t="str">
        <f>IFERROR(VLOOKUP(#REF!,DADOS!$A$2:$H$252,4,0)*J2437,"")</f>
        <v/>
      </c>
      <c r="L2437" s="26" t="str">
        <f t="shared" si="23"/>
        <v/>
      </c>
      <c r="M2437" s="27"/>
      <c r="N2437" s="30"/>
      <c r="O2437" s="28"/>
      <c r="P2437" s="28"/>
      <c r="Q2437" s="28"/>
      <c r="R2437" s="28"/>
      <c r="S2437" s="28"/>
    </row>
    <row r="2438">
      <c r="A2438" s="17">
        <v>46189.0</v>
      </c>
      <c r="B2438" s="18" t="s">
        <v>207</v>
      </c>
      <c r="C2438" s="18" t="s">
        <v>19</v>
      </c>
      <c r="D2438" s="19"/>
      <c r="E2438" s="19"/>
      <c r="F2438" s="20">
        <f t="shared" si="24"/>
        <v>0</v>
      </c>
      <c r="G2438" s="67">
        <f>IFERROR(VLOOKUP(B2438,DADOS!$A$2:$H$252,8,0),"")</f>
        <v>100</v>
      </c>
      <c r="H2438" s="22">
        <v>16.0</v>
      </c>
      <c r="I2438" s="23"/>
      <c r="J2438" s="36"/>
      <c r="K2438" s="25">
        <f>IFERROR(VLOOKUP(B2438,DADOS!$A$2:$H$252,4,0)*J2438,"")</f>
        <v>0</v>
      </c>
      <c r="L2438" s="26" t="str">
        <f t="shared" si="23"/>
        <v/>
      </c>
      <c r="M2438" s="27"/>
      <c r="N2438" s="30"/>
      <c r="O2438" s="28"/>
      <c r="P2438" s="28"/>
      <c r="Q2438" s="28"/>
      <c r="R2438" s="28"/>
      <c r="S2438" s="28"/>
    </row>
    <row r="2439">
      <c r="A2439" s="17">
        <v>46190.0</v>
      </c>
      <c r="B2439" s="18" t="s">
        <v>18</v>
      </c>
      <c r="C2439" s="18" t="s">
        <v>165</v>
      </c>
      <c r="D2439" s="19"/>
      <c r="E2439" s="19"/>
      <c r="F2439" s="20">
        <f t="shared" si="24"/>
        <v>0</v>
      </c>
      <c r="G2439" s="67">
        <f>IFERROR(VLOOKUP(B2439,DADOS!$A$2:$H$252,8,0),"")</f>
        <v>21</v>
      </c>
      <c r="H2439" s="22">
        <v>98.0</v>
      </c>
      <c r="I2439" s="23"/>
      <c r="J2439" s="36"/>
      <c r="K2439" s="25">
        <f>IFERROR(VLOOKUP(B2439,DADOS!$A$2:$H$252,4,0)*J2439,"")</f>
        <v>0</v>
      </c>
      <c r="L2439" s="26" t="str">
        <f t="shared" si="23"/>
        <v/>
      </c>
      <c r="M2439" s="27"/>
      <c r="N2439" s="30"/>
      <c r="O2439" s="28"/>
      <c r="P2439" s="28"/>
      <c r="Q2439" s="28"/>
      <c r="R2439" s="28"/>
      <c r="S2439" s="28"/>
    </row>
    <row r="2440">
      <c r="A2440" s="17">
        <v>46190.0</v>
      </c>
      <c r="B2440" s="18" t="s">
        <v>229</v>
      </c>
      <c r="C2440" s="18" t="s">
        <v>19</v>
      </c>
      <c r="D2440" s="19"/>
      <c r="E2440" s="19"/>
      <c r="F2440" s="20">
        <f t="shared" si="24"/>
        <v>0</v>
      </c>
      <c r="G2440" s="67">
        <f>IFERROR(VLOOKUP(B2440,DADOS!$A$2:$H$252,8,0),"")</f>
        <v>65</v>
      </c>
      <c r="H2440" s="22">
        <v>39.0</v>
      </c>
      <c r="I2440" s="23"/>
      <c r="J2440" s="24">
        <v>1.0</v>
      </c>
      <c r="K2440" s="25">
        <f>IFERROR(VLOOKUP(B2440,DADOS!$A$2:$H$252,4,0)*J2440,"")</f>
        <v>0.052965</v>
      </c>
      <c r="L2440" s="26" t="str">
        <f t="shared" si="23"/>
        <v/>
      </c>
      <c r="M2440" s="27"/>
      <c r="N2440" s="30"/>
      <c r="O2440" s="28"/>
      <c r="P2440" s="28"/>
      <c r="Q2440" s="28"/>
      <c r="R2440" s="28"/>
      <c r="S2440" s="28"/>
    </row>
    <row r="2441">
      <c r="A2441" s="17">
        <v>46190.0</v>
      </c>
      <c r="B2441" s="18" t="s">
        <v>22</v>
      </c>
      <c r="C2441" s="18" t="s">
        <v>166</v>
      </c>
      <c r="D2441" s="19"/>
      <c r="E2441" s="19"/>
      <c r="F2441" s="20">
        <f t="shared" si="24"/>
        <v>0</v>
      </c>
      <c r="G2441" s="67">
        <f>IFERROR(VLOOKUP(B2441,DADOS!$A$2:$H$252,8,0),"")</f>
        <v>15</v>
      </c>
      <c r="H2441" s="22">
        <v>50.0</v>
      </c>
      <c r="I2441" s="23"/>
      <c r="J2441" s="36"/>
      <c r="K2441" s="25">
        <f>IFERROR(VLOOKUP(B2441,DADOS!$A$2:$H$252,4,0)*J2441,"")</f>
        <v>0</v>
      </c>
      <c r="L2441" s="26" t="str">
        <f t="shared" si="23"/>
        <v/>
      </c>
      <c r="M2441" s="27"/>
      <c r="N2441" s="30"/>
      <c r="O2441" s="28"/>
      <c r="P2441" s="28"/>
      <c r="Q2441" s="28"/>
      <c r="R2441" s="28"/>
      <c r="S2441" s="28"/>
    </row>
    <row r="2442">
      <c r="A2442" s="17">
        <v>46190.0</v>
      </c>
      <c r="B2442" s="18" t="s">
        <v>207</v>
      </c>
      <c r="C2442" s="18" t="s">
        <v>19</v>
      </c>
      <c r="D2442" s="19"/>
      <c r="E2442" s="19"/>
      <c r="F2442" s="20">
        <f t="shared" si="24"/>
        <v>0</v>
      </c>
      <c r="G2442" s="67">
        <f>IFERROR(VLOOKUP(B2442,DADOS!$A$2:$H$252,8,0),"")</f>
        <v>100</v>
      </c>
      <c r="H2442" s="22">
        <v>155.0</v>
      </c>
      <c r="I2442" s="23"/>
      <c r="J2442" s="24">
        <v>3.0</v>
      </c>
      <c r="K2442" s="25">
        <f>IFERROR(VLOOKUP(B2442,DADOS!$A$2:$H$252,4,0)*J2442,"")</f>
        <v>0.0543774</v>
      </c>
      <c r="L2442" s="26" t="str">
        <f t="shared" si="23"/>
        <v/>
      </c>
      <c r="M2442" s="27"/>
      <c r="N2442" s="30"/>
      <c r="O2442" s="28"/>
      <c r="P2442" s="28"/>
      <c r="Q2442" s="28"/>
      <c r="R2442" s="28"/>
      <c r="S2442" s="28"/>
    </row>
    <row r="2443">
      <c r="A2443" s="17">
        <v>46191.0</v>
      </c>
      <c r="B2443" s="18" t="s">
        <v>25</v>
      </c>
      <c r="C2443" s="18" t="s">
        <v>165</v>
      </c>
      <c r="D2443" s="19"/>
      <c r="E2443" s="19"/>
      <c r="F2443" s="20">
        <f t="shared" si="24"/>
        <v>0</v>
      </c>
      <c r="G2443" s="67">
        <f>IFERROR(VLOOKUP(B2443,DADOS!$A$2:$H$252,8,0),"")</f>
        <v>40</v>
      </c>
      <c r="H2443" s="22">
        <v>35.0</v>
      </c>
      <c r="I2443" s="23"/>
      <c r="J2443" s="24">
        <v>5.0</v>
      </c>
      <c r="K2443" s="25">
        <f>IFERROR(VLOOKUP(B2443,DADOS!$A$2:$H$252,4,0)*J2443,"")</f>
        <v>0.51788</v>
      </c>
      <c r="L2443" s="26" t="str">
        <f t="shared" si="23"/>
        <v/>
      </c>
      <c r="M2443" s="27"/>
      <c r="N2443" s="30"/>
      <c r="O2443" s="28"/>
      <c r="P2443" s="28"/>
      <c r="Q2443" s="28"/>
      <c r="R2443" s="28"/>
      <c r="S2443" s="28"/>
    </row>
    <row r="2444">
      <c r="A2444" s="17">
        <v>46191.0</v>
      </c>
      <c r="B2444" s="18" t="s">
        <v>49</v>
      </c>
      <c r="C2444" s="18" t="s">
        <v>165</v>
      </c>
      <c r="D2444" s="19"/>
      <c r="E2444" s="19"/>
      <c r="F2444" s="20">
        <f t="shared" si="24"/>
        <v>0</v>
      </c>
      <c r="G2444" s="67">
        <f>IFERROR(VLOOKUP(B2444,DADOS!$A$2:$H$252,8,0),"")</f>
        <v>42</v>
      </c>
      <c r="H2444" s="22">
        <v>40.0</v>
      </c>
      <c r="I2444" s="23"/>
      <c r="J2444" s="24">
        <v>2.0</v>
      </c>
      <c r="K2444" s="25">
        <f>IFERROR(VLOOKUP(B2444,DADOS!$A$2:$H$252,4,0)*J2444,"")</f>
        <v>0.1360612</v>
      </c>
      <c r="L2444" s="26" t="str">
        <f t="shared" si="23"/>
        <v/>
      </c>
      <c r="M2444" s="27"/>
      <c r="N2444" s="30"/>
      <c r="O2444" s="28"/>
      <c r="P2444" s="28"/>
      <c r="Q2444" s="28"/>
      <c r="R2444" s="28"/>
      <c r="S2444" s="28"/>
    </row>
    <row r="2445">
      <c r="A2445" s="17">
        <v>46191.0</v>
      </c>
      <c r="B2445" s="18" t="s">
        <v>26</v>
      </c>
      <c r="C2445" s="18" t="s">
        <v>19</v>
      </c>
      <c r="D2445" s="19"/>
      <c r="E2445" s="19"/>
      <c r="F2445" s="20">
        <f t="shared" si="24"/>
        <v>0</v>
      </c>
      <c r="G2445" s="67">
        <f>IFERROR(VLOOKUP(B2445,DADOS!$A$2:$H$252,8,0),"")</f>
        <v>50</v>
      </c>
      <c r="H2445" s="22">
        <v>35.0</v>
      </c>
      <c r="I2445" s="23"/>
      <c r="J2445" s="36"/>
      <c r="K2445" s="25">
        <f>IFERROR(VLOOKUP(B2445,DADOS!$A$2:$H$252,4,0)*J2445,"")</f>
        <v>0</v>
      </c>
      <c r="L2445" s="26" t="str">
        <f t="shared" si="23"/>
        <v/>
      </c>
      <c r="M2445" s="27"/>
      <c r="N2445" s="30"/>
      <c r="O2445" s="28"/>
      <c r="P2445" s="28"/>
      <c r="Q2445" s="28"/>
      <c r="R2445" s="28"/>
      <c r="S2445" s="28"/>
    </row>
    <row r="2446">
      <c r="A2446" s="17">
        <v>46191.0</v>
      </c>
      <c r="B2446" s="18" t="s">
        <v>135</v>
      </c>
      <c r="C2446" s="18" t="s">
        <v>19</v>
      </c>
      <c r="D2446" s="19"/>
      <c r="E2446" s="19"/>
      <c r="F2446" s="20">
        <f t="shared" si="24"/>
        <v>0</v>
      </c>
      <c r="G2446" s="67">
        <f>IFERROR(VLOOKUP(B2446,DADOS!$A$2:$H$252,8,0),"")</f>
        <v>18</v>
      </c>
      <c r="H2446" s="22">
        <v>25.0</v>
      </c>
      <c r="I2446" s="23"/>
      <c r="J2446" s="36"/>
      <c r="K2446" s="25">
        <f>IFERROR(VLOOKUP(B2446,DADOS!$A$2:$H$252,4,0)*J2446,"")</f>
        <v>0</v>
      </c>
      <c r="L2446" s="26" t="str">
        <f t="shared" si="23"/>
        <v/>
      </c>
      <c r="M2446" s="27"/>
      <c r="N2446" s="30"/>
      <c r="O2446" s="28"/>
      <c r="P2446" s="28"/>
      <c r="Q2446" s="28"/>
      <c r="R2446" s="28"/>
      <c r="S2446" s="28"/>
    </row>
    <row r="2447">
      <c r="A2447" s="17">
        <v>46191.0</v>
      </c>
      <c r="B2447" s="18" t="s">
        <v>187</v>
      </c>
      <c r="C2447" s="18" t="s">
        <v>166</v>
      </c>
      <c r="D2447" s="19"/>
      <c r="E2447" s="19"/>
      <c r="F2447" s="20">
        <f t="shared" si="24"/>
        <v>0</v>
      </c>
      <c r="G2447" s="67">
        <f>IFERROR(VLOOKUP(B2447,DADOS!$A$2:$H$252,8,0),"")</f>
        <v>40</v>
      </c>
      <c r="H2447" s="22">
        <v>40.0</v>
      </c>
      <c r="I2447" s="23"/>
      <c r="J2447" s="36"/>
      <c r="K2447" s="25">
        <f>IFERROR(VLOOKUP(B2447,DADOS!$A$2:$H$252,4,0)*J2447,"")</f>
        <v>0</v>
      </c>
      <c r="L2447" s="26" t="str">
        <f t="shared" si="23"/>
        <v/>
      </c>
      <c r="M2447" s="27"/>
      <c r="N2447" s="30"/>
      <c r="O2447" s="28"/>
      <c r="P2447" s="28"/>
      <c r="Q2447" s="28"/>
      <c r="R2447" s="28"/>
      <c r="S2447" s="28"/>
    </row>
    <row r="2448">
      <c r="A2448" s="17">
        <v>46191.0</v>
      </c>
      <c r="B2448" s="18" t="s">
        <v>178</v>
      </c>
      <c r="C2448" s="18" t="s">
        <v>166</v>
      </c>
      <c r="D2448" s="19"/>
      <c r="E2448" s="19"/>
      <c r="F2448" s="20">
        <f t="shared" si="24"/>
        <v>0</v>
      </c>
      <c r="G2448" s="67">
        <f>IFERROR(VLOOKUP(B2448,DADOS!$A$2:$H$252,8,0),"")</f>
        <v>35</v>
      </c>
      <c r="H2448" s="22">
        <v>30.0</v>
      </c>
      <c r="I2448" s="23"/>
      <c r="J2448" s="36"/>
      <c r="K2448" s="25">
        <f>IFERROR(VLOOKUP(B2448,DADOS!$A$2:$H$252,4,0)*J2448,"")</f>
        <v>0</v>
      </c>
      <c r="L2448" s="26" t="str">
        <f t="shared" si="23"/>
        <v/>
      </c>
      <c r="M2448" s="27"/>
      <c r="N2448" s="30"/>
      <c r="O2448" s="28"/>
      <c r="P2448" s="28"/>
      <c r="Q2448" s="28"/>
      <c r="R2448" s="28"/>
      <c r="S2448" s="28"/>
    </row>
    <row r="2449">
      <c r="A2449" s="17">
        <v>46191.0</v>
      </c>
      <c r="B2449" s="18" t="s">
        <v>22</v>
      </c>
      <c r="C2449" s="18" t="s">
        <v>166</v>
      </c>
      <c r="D2449" s="19"/>
      <c r="E2449" s="19"/>
      <c r="F2449" s="20">
        <f t="shared" si="24"/>
        <v>0</v>
      </c>
      <c r="G2449" s="67">
        <f>IFERROR(VLOOKUP(B2449,DADOS!$A$2:$H$252,8,0),"")</f>
        <v>15</v>
      </c>
      <c r="H2449" s="22">
        <v>3.0</v>
      </c>
      <c r="I2449" s="23"/>
      <c r="J2449" s="36"/>
      <c r="K2449" s="25">
        <f>IFERROR(VLOOKUP(B2449,DADOS!$A$2:$H$252,4,0)*J2449,"")</f>
        <v>0</v>
      </c>
      <c r="L2449" s="26" t="str">
        <f t="shared" si="23"/>
        <v/>
      </c>
      <c r="M2449" s="27"/>
      <c r="N2449" s="30"/>
      <c r="O2449" s="28"/>
      <c r="P2449" s="28"/>
      <c r="Q2449" s="28"/>
      <c r="R2449" s="28"/>
      <c r="S2449" s="28"/>
    </row>
    <row r="2450">
      <c r="A2450" s="17">
        <v>46191.0</v>
      </c>
      <c r="B2450" s="18" t="s">
        <v>71</v>
      </c>
      <c r="C2450" s="18" t="s">
        <v>193</v>
      </c>
      <c r="D2450" s="19"/>
      <c r="E2450" s="19"/>
      <c r="F2450" s="20">
        <f t="shared" si="24"/>
        <v>0</v>
      </c>
      <c r="G2450" s="67">
        <f>IFERROR(VLOOKUP(B2450,DADOS!$A$2:$H$252,8,0),"")</f>
        <v>7</v>
      </c>
      <c r="H2450" s="22">
        <v>19.0</v>
      </c>
      <c r="I2450" s="23"/>
      <c r="J2450" s="36"/>
      <c r="K2450" s="25">
        <f>IFERROR(VLOOKUP(B2450,DADOS!$A$2:$H$252,4,0)*J2450,"")</f>
        <v>0</v>
      </c>
      <c r="L2450" s="26" t="str">
        <f t="shared" si="23"/>
        <v/>
      </c>
      <c r="M2450" s="27"/>
      <c r="N2450" s="30"/>
      <c r="O2450" s="28"/>
      <c r="P2450" s="28"/>
      <c r="Q2450" s="28"/>
      <c r="R2450" s="28"/>
      <c r="S2450" s="28"/>
    </row>
    <row r="2451">
      <c r="A2451" s="17">
        <v>46192.0</v>
      </c>
      <c r="B2451" s="18" t="s">
        <v>49</v>
      </c>
      <c r="C2451" s="18" t="s">
        <v>165</v>
      </c>
      <c r="D2451" s="19"/>
      <c r="E2451" s="19"/>
      <c r="F2451" s="20">
        <f t="shared" si="24"/>
        <v>0</v>
      </c>
      <c r="G2451" s="67">
        <f>IFERROR(VLOOKUP(B2451,DADOS!$A$2:$H$252,8,0),"")</f>
        <v>42</v>
      </c>
      <c r="H2451" s="22">
        <v>58.0</v>
      </c>
      <c r="I2451" s="23"/>
      <c r="J2451" s="36"/>
      <c r="K2451" s="25">
        <f>IFERROR(VLOOKUP(B2451,DADOS!$A$2:$H$252,4,0)*J2451,"")</f>
        <v>0</v>
      </c>
      <c r="L2451" s="26" t="str">
        <f t="shared" si="23"/>
        <v/>
      </c>
      <c r="M2451" s="27"/>
      <c r="N2451" s="30"/>
      <c r="O2451" s="28"/>
      <c r="P2451" s="28"/>
      <c r="Q2451" s="28"/>
      <c r="R2451" s="28"/>
      <c r="S2451" s="28"/>
    </row>
    <row r="2452">
      <c r="A2452" s="17">
        <v>46192.0</v>
      </c>
      <c r="B2452" s="18" t="s">
        <v>196</v>
      </c>
      <c r="C2452" s="18" t="s">
        <v>165</v>
      </c>
      <c r="D2452" s="19"/>
      <c r="E2452" s="19"/>
      <c r="F2452" s="20">
        <f t="shared" si="24"/>
        <v>0</v>
      </c>
      <c r="G2452" s="67">
        <f>IFERROR(VLOOKUP(B2452,DADOS!$A$2:$H$252,8,0),"")</f>
        <v>15</v>
      </c>
      <c r="H2452" s="22">
        <v>88.0</v>
      </c>
      <c r="I2452" s="23"/>
      <c r="J2452" s="36"/>
      <c r="K2452" s="25">
        <f>IFERROR(VLOOKUP(B2452,DADOS!$A$2:$H$252,4,0)*J2452,"")</f>
        <v>0</v>
      </c>
      <c r="L2452" s="26"/>
      <c r="M2452" s="27"/>
      <c r="N2452" s="30"/>
      <c r="O2452" s="28"/>
      <c r="P2452" s="28"/>
      <c r="Q2452" s="28"/>
      <c r="R2452" s="28"/>
      <c r="S2452" s="28"/>
    </row>
    <row r="2453">
      <c r="A2453" s="17">
        <v>46192.0</v>
      </c>
      <c r="B2453" s="18" t="s">
        <v>74</v>
      </c>
      <c r="C2453" s="18" t="s">
        <v>165</v>
      </c>
      <c r="D2453" s="19"/>
      <c r="E2453" s="19"/>
      <c r="F2453" s="20">
        <f t="shared" si="24"/>
        <v>0</v>
      </c>
      <c r="G2453" s="67">
        <f>IFERROR(VLOOKUP(B2453,DADOS!$A$2:$H$252,8,0),"")</f>
        <v>60</v>
      </c>
      <c r="H2453" s="22">
        <v>20.0</v>
      </c>
      <c r="I2453" s="23"/>
      <c r="J2453" s="24">
        <v>1.0</v>
      </c>
      <c r="K2453" s="25">
        <f>IFERROR(VLOOKUP(B2453,DADOS!$A$2:$H$252,4,0)*J2453,"")</f>
        <v>1.38672</v>
      </c>
      <c r="L2453" s="26"/>
      <c r="M2453" s="27"/>
      <c r="N2453" s="30"/>
      <c r="O2453" s="28"/>
      <c r="P2453" s="28"/>
      <c r="Q2453" s="28"/>
      <c r="R2453" s="28"/>
      <c r="S2453" s="28"/>
    </row>
    <row r="2454">
      <c r="A2454" s="103"/>
      <c r="B2454" s="18"/>
      <c r="C2454" s="18"/>
      <c r="D2454" s="19"/>
      <c r="E2454" s="19"/>
      <c r="F2454" s="20">
        <f t="shared" si="24"/>
        <v>0</v>
      </c>
      <c r="G2454" s="67" t="str">
        <f>IFERROR(VLOOKUP(B2454,DADOS!$A$2:$H$252,8,0),"")</f>
        <v/>
      </c>
      <c r="H2454" s="35"/>
      <c r="I2454" s="23"/>
      <c r="J2454" s="36"/>
      <c r="K2454" s="25" t="str">
        <f>IFERROR(VLOOKUP(B2454,DADOS!$A$2:$H$252,4,0)*J2454,"")</f>
        <v/>
      </c>
      <c r="L2454" s="26"/>
      <c r="M2454" s="27"/>
      <c r="N2454" s="30"/>
      <c r="O2454" s="28"/>
      <c r="P2454" s="28"/>
      <c r="Q2454" s="28"/>
      <c r="R2454" s="28"/>
      <c r="S2454" s="28"/>
    </row>
    <row r="2455">
      <c r="A2455" s="103"/>
      <c r="B2455" s="18"/>
      <c r="C2455" s="18"/>
      <c r="D2455" s="19"/>
      <c r="E2455" s="19"/>
      <c r="F2455" s="20">
        <f t="shared" si="24"/>
        <v>0</v>
      </c>
      <c r="G2455" s="67" t="str">
        <f>IFERROR(VLOOKUP(B2455,DADOS!$A$2:$H$252,8,0),"")</f>
        <v/>
      </c>
      <c r="H2455" s="35"/>
      <c r="I2455" s="23"/>
      <c r="J2455" s="36"/>
      <c r="K2455" s="25" t="str">
        <f>IFERROR(VLOOKUP(B2455,DADOS!$A$2:$H$252,4,0)*J2455,"")</f>
        <v/>
      </c>
      <c r="L2455" s="26"/>
      <c r="M2455" s="27"/>
      <c r="N2455" s="30"/>
      <c r="O2455" s="28"/>
      <c r="P2455" s="28"/>
      <c r="Q2455" s="28"/>
      <c r="R2455" s="28"/>
      <c r="S2455" s="28"/>
    </row>
    <row r="2456">
      <c r="A2456" s="103"/>
      <c r="B2456" s="18"/>
      <c r="C2456" s="18"/>
      <c r="D2456" s="19"/>
      <c r="E2456" s="19"/>
      <c r="F2456" s="20">
        <f t="shared" si="24"/>
        <v>0</v>
      </c>
      <c r="G2456" s="67" t="str">
        <f>IFERROR(VLOOKUP(B2456,DADOS!$A$2:$H$252,8,0),"")</f>
        <v/>
      </c>
      <c r="H2456" s="35"/>
      <c r="I2456" s="23"/>
      <c r="J2456" s="36"/>
      <c r="K2456" s="25" t="str">
        <f>IFERROR(VLOOKUP(B2456,DADOS!$A$2:$H$252,4,0)*J2456,"")</f>
        <v/>
      </c>
      <c r="L2456" s="26"/>
      <c r="M2456" s="27"/>
      <c r="N2456" s="30"/>
      <c r="O2456" s="28"/>
      <c r="P2456" s="28"/>
      <c r="Q2456" s="28"/>
      <c r="R2456" s="28"/>
      <c r="S2456" s="28"/>
    </row>
    <row r="2457">
      <c r="A2457" s="103"/>
      <c r="B2457" s="18"/>
      <c r="C2457" s="18"/>
      <c r="D2457" s="19"/>
      <c r="E2457" s="19"/>
      <c r="F2457" s="20">
        <f t="shared" si="24"/>
        <v>0</v>
      </c>
      <c r="G2457" s="67" t="str">
        <f>IFERROR(VLOOKUP(B2457,DADOS!$A$2:$H$252,8,0),"")</f>
        <v/>
      </c>
      <c r="H2457" s="35"/>
      <c r="I2457" s="23"/>
      <c r="J2457" s="36"/>
      <c r="K2457" s="25" t="str">
        <f>IFERROR(VLOOKUP(B2457,DADOS!$A$2:$H$252,4,0)*J2457,"")</f>
        <v/>
      </c>
      <c r="L2457" s="26"/>
      <c r="M2457" s="27"/>
      <c r="N2457" s="30"/>
      <c r="O2457" s="28"/>
      <c r="P2457" s="28"/>
      <c r="Q2457" s="28"/>
      <c r="R2457" s="28"/>
      <c r="S2457" s="28"/>
    </row>
    <row r="2458">
      <c r="A2458" s="103"/>
      <c r="B2458" s="18"/>
      <c r="C2458" s="18"/>
      <c r="D2458" s="19"/>
      <c r="E2458" s="19"/>
      <c r="F2458" s="20">
        <f t="shared" si="24"/>
        <v>0</v>
      </c>
      <c r="G2458" s="67" t="str">
        <f>IFERROR(VLOOKUP(B2458,DADOS!$A$2:$H$252,8,0),"")</f>
        <v/>
      </c>
      <c r="H2458" s="35"/>
      <c r="I2458" s="23"/>
      <c r="J2458" s="36"/>
      <c r="K2458" s="25" t="str">
        <f>IFERROR(VLOOKUP(B2458,DADOS!$A$2:$H$252,4,0)*J2458,"")</f>
        <v/>
      </c>
      <c r="L2458" s="26"/>
      <c r="M2458" s="27"/>
      <c r="N2458" s="30"/>
      <c r="O2458" s="28"/>
      <c r="P2458" s="28"/>
      <c r="Q2458" s="28"/>
      <c r="R2458" s="28"/>
      <c r="S2458" s="28"/>
    </row>
    <row r="2459">
      <c r="A2459" s="103"/>
      <c r="B2459" s="18"/>
      <c r="C2459" s="18"/>
      <c r="D2459" s="19"/>
      <c r="E2459" s="19"/>
      <c r="F2459" s="20">
        <f t="shared" si="24"/>
        <v>0</v>
      </c>
      <c r="G2459" s="67" t="str">
        <f>IFERROR(VLOOKUP(B2459,DADOS!$A$2:$H$252,8,0),"")</f>
        <v/>
      </c>
      <c r="H2459" s="35"/>
      <c r="I2459" s="23"/>
      <c r="J2459" s="36"/>
      <c r="K2459" s="25" t="str">
        <f>IFERROR(VLOOKUP(B2459,DADOS!$A$2:$H$252,4,0)*J2459,"")</f>
        <v/>
      </c>
      <c r="L2459" s="26"/>
      <c r="M2459" s="27"/>
      <c r="N2459" s="30"/>
      <c r="O2459" s="28"/>
      <c r="P2459" s="28"/>
      <c r="Q2459" s="28"/>
      <c r="R2459" s="28"/>
      <c r="S2459" s="28"/>
    </row>
    <row r="2460">
      <c r="A2460" s="103"/>
      <c r="B2460" s="18"/>
      <c r="C2460" s="18"/>
      <c r="D2460" s="19"/>
      <c r="E2460" s="19"/>
      <c r="F2460" s="20">
        <f t="shared" si="24"/>
        <v>0</v>
      </c>
      <c r="G2460" s="67" t="str">
        <f>IFERROR(VLOOKUP(B2460,DADOS!$A$2:$H$252,8,0),"")</f>
        <v/>
      </c>
      <c r="H2460" s="35"/>
      <c r="I2460" s="23"/>
      <c r="J2460" s="36"/>
      <c r="K2460" s="25" t="str">
        <f>IFERROR(VLOOKUP(B2460,DADOS!$A$2:$H$252,4,0)*J2460,"")</f>
        <v/>
      </c>
      <c r="L2460" s="26"/>
      <c r="M2460" s="27"/>
      <c r="N2460" s="30"/>
      <c r="O2460" s="28"/>
      <c r="P2460" s="28"/>
      <c r="Q2460" s="28"/>
      <c r="R2460" s="28"/>
      <c r="S2460" s="28"/>
    </row>
    <row r="2461">
      <c r="A2461" s="103"/>
      <c r="B2461" s="18"/>
      <c r="C2461" s="18"/>
      <c r="D2461" s="19"/>
      <c r="E2461" s="19"/>
      <c r="F2461" s="20">
        <f t="shared" si="24"/>
        <v>0</v>
      </c>
      <c r="G2461" s="67" t="str">
        <f>IFERROR(VLOOKUP(B2461,DADOS!$A$2:$H$252,8,0),"")</f>
        <v/>
      </c>
      <c r="H2461" s="35"/>
      <c r="I2461" s="23"/>
      <c r="J2461" s="36"/>
      <c r="K2461" s="25" t="str">
        <f>IFERROR(VLOOKUP(B2461,DADOS!$A$2:$H$252,4,0)*J2461,"")</f>
        <v/>
      </c>
      <c r="L2461" s="26"/>
      <c r="M2461" s="27"/>
      <c r="N2461" s="30"/>
      <c r="O2461" s="28"/>
      <c r="P2461" s="28"/>
      <c r="Q2461" s="28"/>
      <c r="R2461" s="28"/>
      <c r="S2461" s="28"/>
    </row>
    <row r="2462">
      <c r="A2462" s="103"/>
      <c r="B2462" s="18"/>
      <c r="C2462" s="18"/>
      <c r="D2462" s="19"/>
      <c r="E2462" s="19"/>
      <c r="F2462" s="20">
        <f t="shared" si="24"/>
        <v>0</v>
      </c>
      <c r="G2462" s="67" t="str">
        <f>IFERROR(VLOOKUP(B2462,DADOS!$A$2:$H$252,8,0),"")</f>
        <v/>
      </c>
      <c r="H2462" s="35"/>
      <c r="I2462" s="23"/>
      <c r="J2462" s="36"/>
      <c r="K2462" s="25" t="str">
        <f>IFERROR(VLOOKUP(B2462,DADOS!$A$2:$H$252,4,0)*J2462,"")</f>
        <v/>
      </c>
      <c r="L2462" s="26"/>
      <c r="M2462" s="27"/>
      <c r="N2462" s="30"/>
      <c r="O2462" s="28"/>
      <c r="P2462" s="28"/>
      <c r="Q2462" s="28"/>
      <c r="R2462" s="28"/>
      <c r="S2462" s="28"/>
    </row>
    <row r="2463">
      <c r="A2463" s="103"/>
      <c r="B2463" s="18"/>
      <c r="C2463" s="18"/>
      <c r="D2463" s="19"/>
      <c r="E2463" s="19"/>
      <c r="F2463" s="20">
        <f t="shared" si="24"/>
        <v>0</v>
      </c>
      <c r="G2463" s="67" t="str">
        <f>IFERROR(VLOOKUP(B2463,DADOS!$A$2:$H$252,8,0),"")</f>
        <v/>
      </c>
      <c r="H2463" s="35"/>
      <c r="I2463" s="23"/>
      <c r="J2463" s="36"/>
      <c r="K2463" s="25" t="str">
        <f>IFERROR(VLOOKUP(B2463,DADOS!$A$2:$H$252,4,0)*J2463,"")</f>
        <v/>
      </c>
      <c r="L2463" s="26"/>
      <c r="M2463" s="27"/>
      <c r="N2463" s="30"/>
      <c r="O2463" s="28"/>
      <c r="P2463" s="28"/>
      <c r="Q2463" s="28"/>
      <c r="R2463" s="28"/>
      <c r="S2463" s="28"/>
    </row>
    <row r="2464">
      <c r="A2464" s="103"/>
      <c r="B2464" s="18"/>
      <c r="C2464" s="18"/>
      <c r="D2464" s="19"/>
      <c r="E2464" s="19"/>
      <c r="F2464" s="20">
        <f t="shared" si="24"/>
        <v>0</v>
      </c>
      <c r="G2464" s="67" t="str">
        <f>IFERROR(VLOOKUP(B2464,DADOS!$A$2:$H$252,8,0),"")</f>
        <v/>
      </c>
      <c r="H2464" s="35"/>
      <c r="I2464" s="23"/>
      <c r="J2464" s="36"/>
      <c r="K2464" s="25" t="str">
        <f>IFERROR(VLOOKUP(B2464,DADOS!$A$2:$H$252,4,0)*J2464,"")</f>
        <v/>
      </c>
      <c r="L2464" s="26"/>
      <c r="M2464" s="27"/>
      <c r="N2464" s="30"/>
      <c r="O2464" s="28"/>
      <c r="P2464" s="28"/>
      <c r="Q2464" s="28"/>
      <c r="R2464" s="28"/>
      <c r="S2464" s="28"/>
    </row>
    <row r="2465">
      <c r="A2465" s="103"/>
      <c r="B2465" s="18"/>
      <c r="C2465" s="18"/>
      <c r="D2465" s="19"/>
      <c r="E2465" s="19"/>
      <c r="F2465" s="20">
        <f t="shared" si="24"/>
        <v>0</v>
      </c>
      <c r="G2465" s="67" t="str">
        <f>IFERROR(VLOOKUP(B2465,DADOS!$A$2:$H$252,8,0),"")</f>
        <v/>
      </c>
      <c r="H2465" s="35"/>
      <c r="I2465" s="23"/>
      <c r="J2465" s="36"/>
      <c r="K2465" s="25" t="str">
        <f>IFERROR(VLOOKUP(B2465,DADOS!$A$2:$H$252,4,0)*J2465,"")</f>
        <v/>
      </c>
      <c r="L2465" s="26"/>
      <c r="M2465" s="27"/>
      <c r="N2465" s="30"/>
      <c r="O2465" s="28"/>
      <c r="P2465" s="28"/>
      <c r="Q2465" s="28"/>
      <c r="R2465" s="28"/>
      <c r="S2465" s="28"/>
    </row>
    <row r="2466">
      <c r="A2466" s="103"/>
      <c r="B2466" s="18"/>
      <c r="C2466" s="18"/>
      <c r="D2466" s="19"/>
      <c r="E2466" s="19"/>
      <c r="F2466" s="20">
        <f t="shared" si="24"/>
        <v>0</v>
      </c>
      <c r="G2466" s="67" t="str">
        <f>IFERROR(VLOOKUP(B2466,DADOS!$A$2:$H$252,8,0),"")</f>
        <v/>
      </c>
      <c r="H2466" s="35"/>
      <c r="I2466" s="23"/>
      <c r="J2466" s="36"/>
      <c r="K2466" s="25" t="str">
        <f>IFERROR(VLOOKUP(B2466,DADOS!$A$2:$H$252,4,0)*J2466,"")</f>
        <v/>
      </c>
      <c r="L2466" s="26"/>
      <c r="M2466" s="27"/>
      <c r="N2466" s="30"/>
      <c r="O2466" s="28"/>
      <c r="P2466" s="28"/>
      <c r="Q2466" s="28"/>
      <c r="R2466" s="28"/>
      <c r="S2466" s="28"/>
    </row>
    <row r="2467">
      <c r="A2467" s="103"/>
      <c r="B2467" s="18"/>
      <c r="C2467" s="18"/>
      <c r="D2467" s="19"/>
      <c r="E2467" s="19"/>
      <c r="F2467" s="20">
        <f t="shared" si="24"/>
        <v>0</v>
      </c>
      <c r="G2467" s="67" t="str">
        <f>IFERROR(VLOOKUP(B2467,DADOS!$A$2:$H$252,8,0),"")</f>
        <v/>
      </c>
      <c r="H2467" s="35"/>
      <c r="I2467" s="23"/>
      <c r="J2467" s="36"/>
      <c r="K2467" s="25" t="str">
        <f>IFERROR(VLOOKUP(B2467,DADOS!$A$2:$H$252,4,0)*J2467,"")</f>
        <v/>
      </c>
      <c r="L2467" s="26"/>
      <c r="M2467" s="27"/>
      <c r="N2467" s="30"/>
      <c r="O2467" s="28"/>
      <c r="P2467" s="28"/>
      <c r="Q2467" s="28"/>
      <c r="R2467" s="28"/>
      <c r="S2467" s="28"/>
    </row>
    <row r="2468">
      <c r="A2468" s="103"/>
      <c r="B2468" s="18"/>
      <c r="C2468" s="18"/>
      <c r="D2468" s="19"/>
      <c r="E2468" s="19"/>
      <c r="F2468" s="20">
        <f t="shared" si="24"/>
        <v>0</v>
      </c>
      <c r="G2468" s="67" t="str">
        <f>IFERROR(VLOOKUP(B2468,DADOS!$A$2:$H$252,8,0),"")</f>
        <v/>
      </c>
      <c r="H2468" s="35"/>
      <c r="I2468" s="23"/>
      <c r="J2468" s="36"/>
      <c r="K2468" s="25" t="str">
        <f>IFERROR(VLOOKUP(B2468,DADOS!$A$2:$H$252,4,0)*J2468,"")</f>
        <v/>
      </c>
      <c r="L2468" s="26"/>
      <c r="M2468" s="27"/>
      <c r="N2468" s="30"/>
      <c r="O2468" s="28"/>
      <c r="P2468" s="28"/>
      <c r="Q2468" s="28"/>
      <c r="R2468" s="28"/>
      <c r="S2468" s="28"/>
    </row>
    <row r="2469">
      <c r="A2469" s="103"/>
      <c r="B2469" s="18"/>
      <c r="C2469" s="18"/>
      <c r="D2469" s="19"/>
      <c r="E2469" s="19"/>
      <c r="F2469" s="20">
        <f t="shared" si="24"/>
        <v>0</v>
      </c>
      <c r="G2469" s="67" t="str">
        <f>IFERROR(VLOOKUP(B2469,DADOS!$A$2:$H$252,8,0),"")</f>
        <v/>
      </c>
      <c r="H2469" s="35"/>
      <c r="I2469" s="23"/>
      <c r="J2469" s="36"/>
      <c r="K2469" s="25" t="str">
        <f>IFERROR(VLOOKUP(B2469,DADOS!$A$2:$H$252,4,0)*J2469,"")</f>
        <v/>
      </c>
      <c r="L2469" s="26"/>
      <c r="M2469" s="27"/>
      <c r="N2469" s="30"/>
      <c r="O2469" s="28"/>
      <c r="P2469" s="28"/>
      <c r="Q2469" s="28"/>
      <c r="R2469" s="28"/>
      <c r="S2469" s="28"/>
    </row>
    <row r="2470">
      <c r="A2470" s="103"/>
      <c r="B2470" s="18"/>
      <c r="C2470" s="18"/>
      <c r="D2470" s="19"/>
      <c r="E2470" s="19"/>
      <c r="F2470" s="20">
        <f t="shared" si="24"/>
        <v>0</v>
      </c>
      <c r="G2470" s="67" t="str">
        <f>IFERROR(VLOOKUP(B2470,DADOS!$A$2:$H$252,8,0),"")</f>
        <v/>
      </c>
      <c r="H2470" s="35"/>
      <c r="I2470" s="23"/>
      <c r="J2470" s="36"/>
      <c r="K2470" s="25" t="str">
        <f>IFERROR(VLOOKUP(B2470,DADOS!$A$2:$H$252,4,0)*J2470,"")</f>
        <v/>
      </c>
      <c r="L2470" s="26"/>
      <c r="M2470" s="27"/>
      <c r="N2470" s="30"/>
      <c r="O2470" s="28"/>
      <c r="P2470" s="28"/>
      <c r="Q2470" s="28"/>
      <c r="R2470" s="28"/>
      <c r="S2470" s="28"/>
    </row>
    <row r="2471">
      <c r="A2471" s="103"/>
      <c r="B2471" s="18"/>
      <c r="C2471" s="18"/>
      <c r="D2471" s="19"/>
      <c r="E2471" s="19"/>
      <c r="F2471" s="20">
        <f t="shared" si="24"/>
        <v>0</v>
      </c>
      <c r="G2471" s="67" t="str">
        <f>IFERROR(VLOOKUP(B2471,DADOS!$A$2:$H$252,8,0),"")</f>
        <v/>
      </c>
      <c r="H2471" s="35"/>
      <c r="I2471" s="23"/>
      <c r="J2471" s="36"/>
      <c r="K2471" s="25" t="str">
        <f>IFERROR(VLOOKUP(B2471,DADOS!$A$2:$H$252,4,0)*J2471,"")</f>
        <v/>
      </c>
      <c r="L2471" s="26"/>
      <c r="M2471" s="27"/>
      <c r="N2471" s="30"/>
      <c r="O2471" s="28"/>
      <c r="P2471" s="28"/>
      <c r="Q2471" s="28"/>
      <c r="R2471" s="28"/>
      <c r="S2471" s="28"/>
    </row>
    <row r="2472">
      <c r="A2472" s="103"/>
      <c r="B2472" s="18"/>
      <c r="C2472" s="18"/>
      <c r="D2472" s="19"/>
      <c r="E2472" s="19"/>
      <c r="F2472" s="20">
        <f t="shared" si="24"/>
        <v>0</v>
      </c>
      <c r="G2472" s="67" t="str">
        <f>IFERROR(VLOOKUP(B2472,DADOS!$A$2:$H$252,8,0),"")</f>
        <v/>
      </c>
      <c r="H2472" s="35"/>
      <c r="I2472" s="23"/>
      <c r="J2472" s="36"/>
      <c r="K2472" s="25" t="str">
        <f>IFERROR(VLOOKUP(B2472,DADOS!$A$2:$H$252,4,0)*J2472,"")</f>
        <v/>
      </c>
      <c r="L2472" s="26"/>
      <c r="M2472" s="27"/>
      <c r="N2472" s="30"/>
      <c r="O2472" s="28"/>
      <c r="P2472" s="28"/>
      <c r="Q2472" s="28"/>
      <c r="R2472" s="28"/>
      <c r="S2472" s="28"/>
    </row>
    <row r="2473">
      <c r="A2473" s="103"/>
      <c r="B2473" s="18"/>
      <c r="C2473" s="18"/>
      <c r="D2473" s="19"/>
      <c r="E2473" s="19"/>
      <c r="F2473" s="20">
        <f t="shared" si="24"/>
        <v>0</v>
      </c>
      <c r="G2473" s="67" t="str">
        <f>IFERROR(VLOOKUP(B2473,DADOS!$A$2:$H$252,8,0),"")</f>
        <v/>
      </c>
      <c r="H2473" s="35"/>
      <c r="I2473" s="23"/>
      <c r="J2473" s="36"/>
      <c r="K2473" s="25" t="str">
        <f>IFERROR(VLOOKUP(B2473,DADOS!$A$2:$H$252,4,0)*J2473,"")</f>
        <v/>
      </c>
      <c r="L2473" s="26"/>
      <c r="M2473" s="27"/>
      <c r="N2473" s="30"/>
      <c r="O2473" s="28"/>
      <c r="P2473" s="28"/>
      <c r="Q2473" s="28"/>
      <c r="R2473" s="28"/>
      <c r="S2473" s="28"/>
    </row>
    <row r="2474">
      <c r="A2474" s="103"/>
      <c r="B2474" s="18"/>
      <c r="C2474" s="18"/>
      <c r="D2474" s="19"/>
      <c r="E2474" s="19"/>
      <c r="F2474" s="20">
        <f t="shared" si="24"/>
        <v>0</v>
      </c>
      <c r="G2474" s="67" t="str">
        <f>IFERROR(VLOOKUP(B2474,DADOS!$A$2:$H$252,8,0),"")</f>
        <v/>
      </c>
      <c r="H2474" s="35"/>
      <c r="I2474" s="23"/>
      <c r="J2474" s="36"/>
      <c r="K2474" s="25" t="str">
        <f>IFERROR(VLOOKUP(B2474,DADOS!$A$2:$H$252,4,0)*J2474,"")</f>
        <v/>
      </c>
      <c r="L2474" s="26"/>
      <c r="M2474" s="27"/>
      <c r="N2474" s="30"/>
      <c r="O2474" s="28"/>
      <c r="P2474" s="28"/>
      <c r="Q2474" s="28"/>
      <c r="R2474" s="28"/>
      <c r="S2474" s="28"/>
    </row>
    <row r="2475">
      <c r="A2475" s="103"/>
      <c r="B2475" s="18"/>
      <c r="C2475" s="18"/>
      <c r="D2475" s="19"/>
      <c r="E2475" s="19"/>
      <c r="F2475" s="20">
        <f t="shared" si="24"/>
        <v>0</v>
      </c>
      <c r="G2475" s="67" t="str">
        <f>IFERROR(VLOOKUP(B2475,DADOS!$A$2:$H$252,8,0),"")</f>
        <v/>
      </c>
      <c r="H2475" s="35"/>
      <c r="I2475" s="23"/>
      <c r="J2475" s="36"/>
      <c r="K2475" s="25" t="str">
        <f>IFERROR(VLOOKUP(B2475,DADOS!$A$2:$H$252,4,0)*J2475,"")</f>
        <v/>
      </c>
      <c r="L2475" s="26"/>
      <c r="M2475" s="27"/>
      <c r="N2475" s="30"/>
      <c r="O2475" s="28"/>
      <c r="P2475" s="28"/>
      <c r="Q2475" s="28"/>
      <c r="R2475" s="28"/>
      <c r="S2475" s="28"/>
    </row>
    <row r="2476">
      <c r="A2476" s="103"/>
      <c r="B2476" s="18"/>
      <c r="C2476" s="18"/>
      <c r="D2476" s="19"/>
      <c r="E2476" s="19"/>
      <c r="F2476" s="20">
        <f t="shared" si="24"/>
        <v>0</v>
      </c>
      <c r="G2476" s="67" t="str">
        <f>IFERROR(VLOOKUP(B2476,DADOS!$A$2:$H$252,8,0),"")</f>
        <v/>
      </c>
      <c r="H2476" s="35"/>
      <c r="I2476" s="23"/>
      <c r="J2476" s="36"/>
      <c r="K2476" s="25" t="str">
        <f>IFERROR(VLOOKUP(B2476,DADOS!$A$2:$H$252,4,0)*J2476,"")</f>
        <v/>
      </c>
      <c r="L2476" s="26"/>
      <c r="M2476" s="27"/>
      <c r="N2476" s="30"/>
      <c r="O2476" s="28"/>
      <c r="P2476" s="28"/>
      <c r="Q2476" s="28"/>
      <c r="R2476" s="28"/>
      <c r="S2476" s="28"/>
    </row>
    <row r="2477">
      <c r="A2477" s="103"/>
      <c r="B2477" s="18"/>
      <c r="C2477" s="18"/>
      <c r="D2477" s="19"/>
      <c r="E2477" s="19"/>
      <c r="F2477" s="20">
        <f t="shared" si="24"/>
        <v>0</v>
      </c>
      <c r="G2477" s="67" t="str">
        <f>IFERROR(VLOOKUP(B2477,DADOS!$A$2:$H$252,8,0),"")</f>
        <v/>
      </c>
      <c r="H2477" s="35"/>
      <c r="I2477" s="23"/>
      <c r="J2477" s="36"/>
      <c r="K2477" s="25" t="str">
        <f>IFERROR(VLOOKUP(B2477,DADOS!$A$2:$H$252,4,0)*J2477,"")</f>
        <v/>
      </c>
      <c r="L2477" s="26"/>
      <c r="M2477" s="27"/>
      <c r="N2477" s="30"/>
      <c r="O2477" s="28"/>
      <c r="P2477" s="28"/>
      <c r="Q2477" s="28"/>
      <c r="R2477" s="28"/>
      <c r="S2477" s="28"/>
    </row>
    <row r="2478">
      <c r="A2478" s="103"/>
      <c r="B2478" s="18"/>
      <c r="C2478" s="18"/>
      <c r="D2478" s="19"/>
      <c r="E2478" s="19"/>
      <c r="F2478" s="20">
        <f t="shared" si="24"/>
        <v>0</v>
      </c>
      <c r="G2478" s="67" t="str">
        <f>IFERROR(VLOOKUP(B2478,DADOS!$A$2:$H$252,8,0),"")</f>
        <v/>
      </c>
      <c r="H2478" s="35"/>
      <c r="I2478" s="23"/>
      <c r="J2478" s="36"/>
      <c r="K2478" s="25" t="str">
        <f>IFERROR(VLOOKUP(B2478,DADOS!$A$2:$H$252,4,0)*J2478,"")</f>
        <v/>
      </c>
      <c r="L2478" s="26"/>
      <c r="M2478" s="27"/>
      <c r="N2478" s="30"/>
      <c r="O2478" s="28"/>
      <c r="P2478" s="28"/>
      <c r="Q2478" s="28"/>
      <c r="R2478" s="28"/>
      <c r="S2478" s="28"/>
    </row>
    <row r="2479">
      <c r="A2479" s="103"/>
      <c r="B2479" s="18"/>
      <c r="C2479" s="18"/>
      <c r="D2479" s="19"/>
      <c r="E2479" s="19"/>
      <c r="F2479" s="20">
        <f t="shared" si="24"/>
        <v>0</v>
      </c>
      <c r="G2479" s="67" t="str">
        <f>IFERROR(VLOOKUP(B2479,DADOS!$A$2:$H$252,8,0),"")</f>
        <v/>
      </c>
      <c r="H2479" s="35"/>
      <c r="I2479" s="23"/>
      <c r="J2479" s="36"/>
      <c r="K2479" s="25" t="str">
        <f>IFERROR(VLOOKUP(B2479,DADOS!$A$2:$H$252,4,0)*J2479,"")</f>
        <v/>
      </c>
      <c r="L2479" s="26"/>
      <c r="M2479" s="27"/>
      <c r="N2479" s="30"/>
      <c r="O2479" s="28"/>
      <c r="P2479" s="28"/>
      <c r="Q2479" s="28"/>
      <c r="R2479" s="28"/>
      <c r="S2479" s="28"/>
    </row>
    <row r="2480">
      <c r="A2480" s="103"/>
      <c r="B2480" s="18"/>
      <c r="C2480" s="18"/>
      <c r="D2480" s="19"/>
      <c r="E2480" s="19"/>
      <c r="F2480" s="20">
        <f t="shared" si="24"/>
        <v>0</v>
      </c>
      <c r="G2480" s="67" t="str">
        <f>IFERROR(VLOOKUP(B2480,DADOS!$A$2:$H$252,8,0),"")</f>
        <v/>
      </c>
      <c r="H2480" s="35"/>
      <c r="I2480" s="23"/>
      <c r="J2480" s="36"/>
      <c r="K2480" s="25" t="str">
        <f>IFERROR(VLOOKUP(B2480,DADOS!$A$2:$H$252,4,0)*J2480,"")</f>
        <v/>
      </c>
      <c r="L2480" s="26"/>
      <c r="M2480" s="27"/>
      <c r="N2480" s="30"/>
      <c r="O2480" s="28"/>
      <c r="P2480" s="28"/>
      <c r="Q2480" s="28"/>
      <c r="R2480" s="28"/>
      <c r="S2480" s="28"/>
    </row>
    <row r="2481">
      <c r="A2481" s="103"/>
      <c r="B2481" s="18"/>
      <c r="C2481" s="18"/>
      <c r="D2481" s="19"/>
      <c r="E2481" s="19"/>
      <c r="F2481" s="20">
        <f t="shared" si="24"/>
        <v>0</v>
      </c>
      <c r="G2481" s="67" t="str">
        <f>IFERROR(VLOOKUP(B2481,DADOS!$A$2:$H$252,8,0),"")</f>
        <v/>
      </c>
      <c r="H2481" s="35"/>
      <c r="I2481" s="23"/>
      <c r="J2481" s="36"/>
      <c r="K2481" s="25" t="str">
        <f>IFERROR(VLOOKUP(B2481,DADOS!$A$2:$H$252,4,0)*J2481,"")</f>
        <v/>
      </c>
      <c r="L2481" s="26"/>
      <c r="M2481" s="27"/>
      <c r="N2481" s="30"/>
      <c r="O2481" s="28"/>
      <c r="P2481" s="28"/>
      <c r="Q2481" s="28"/>
      <c r="R2481" s="28"/>
      <c r="S2481" s="28"/>
    </row>
    <row r="2482">
      <c r="A2482" s="103"/>
      <c r="B2482" s="18"/>
      <c r="C2482" s="18"/>
      <c r="D2482" s="19"/>
      <c r="E2482" s="19"/>
      <c r="F2482" s="20">
        <f t="shared" si="24"/>
        <v>0</v>
      </c>
      <c r="G2482" s="67" t="str">
        <f>IFERROR(VLOOKUP(B2482,DADOS!$A$2:$H$252,8,0),"")</f>
        <v/>
      </c>
      <c r="H2482" s="35"/>
      <c r="I2482" s="23"/>
      <c r="J2482" s="36"/>
      <c r="K2482" s="25" t="str">
        <f>IFERROR(VLOOKUP(B2482,DADOS!$A$2:$H$252,4,0)*J2482,"")</f>
        <v/>
      </c>
      <c r="L2482" s="26"/>
      <c r="M2482" s="27"/>
      <c r="N2482" s="30"/>
      <c r="O2482" s="28"/>
      <c r="P2482" s="28"/>
      <c r="Q2482" s="28"/>
      <c r="R2482" s="28"/>
      <c r="S2482" s="28"/>
    </row>
    <row r="2483">
      <c r="A2483" s="103"/>
      <c r="B2483" s="18"/>
      <c r="C2483" s="18"/>
      <c r="D2483" s="19"/>
      <c r="E2483" s="19"/>
      <c r="F2483" s="20">
        <f t="shared" si="24"/>
        <v>0</v>
      </c>
      <c r="G2483" s="67" t="str">
        <f>IFERROR(VLOOKUP(B2483,DADOS!$A$2:$H$252,8,0),"")</f>
        <v/>
      </c>
      <c r="H2483" s="35"/>
      <c r="I2483" s="23"/>
      <c r="J2483" s="36"/>
      <c r="K2483" s="25" t="str">
        <f>IFERROR(VLOOKUP(B2483,DADOS!$A$2:$H$252,4,0)*J2483,"")</f>
        <v/>
      </c>
      <c r="L2483" s="26"/>
      <c r="M2483" s="27"/>
      <c r="N2483" s="30"/>
      <c r="O2483" s="28"/>
      <c r="P2483" s="28"/>
      <c r="Q2483" s="28"/>
      <c r="R2483" s="28"/>
      <c r="S2483" s="28"/>
    </row>
    <row r="2484">
      <c r="A2484" s="103"/>
      <c r="B2484" s="18"/>
      <c r="C2484" s="18"/>
      <c r="D2484" s="19"/>
      <c r="E2484" s="19"/>
      <c r="F2484" s="20">
        <f t="shared" si="24"/>
        <v>0</v>
      </c>
      <c r="G2484" s="67" t="str">
        <f>IFERROR(VLOOKUP(B2484,DADOS!$A$2:$H$252,8,0),"")</f>
        <v/>
      </c>
      <c r="H2484" s="35"/>
      <c r="I2484" s="23"/>
      <c r="J2484" s="36"/>
      <c r="K2484" s="25" t="str">
        <f>IFERROR(VLOOKUP(B2484,DADOS!$A$2:$H$252,4,0)*J2484,"")</f>
        <v/>
      </c>
      <c r="L2484" s="26"/>
      <c r="M2484" s="27"/>
      <c r="N2484" s="30"/>
      <c r="O2484" s="28"/>
      <c r="P2484" s="28"/>
      <c r="Q2484" s="28"/>
      <c r="R2484" s="28"/>
      <c r="S2484" s="28"/>
    </row>
    <row r="2485">
      <c r="A2485" s="103"/>
      <c r="B2485" s="18"/>
      <c r="C2485" s="18"/>
      <c r="D2485" s="19"/>
      <c r="E2485" s="19"/>
      <c r="F2485" s="20">
        <f t="shared" si="24"/>
        <v>0</v>
      </c>
      <c r="G2485" s="67" t="str">
        <f>IFERROR(VLOOKUP(B2485,DADOS!$A$2:$H$252,8,0),"")</f>
        <v/>
      </c>
      <c r="H2485" s="35"/>
      <c r="I2485" s="23"/>
      <c r="J2485" s="36"/>
      <c r="K2485" s="25" t="str">
        <f>IFERROR(VLOOKUP(B2485,DADOS!$A$2:$H$252,4,0)*J2485,"")</f>
        <v/>
      </c>
      <c r="L2485" s="26"/>
      <c r="M2485" s="27"/>
      <c r="N2485" s="30"/>
      <c r="O2485" s="28"/>
      <c r="P2485" s="28"/>
      <c r="Q2485" s="28"/>
      <c r="R2485" s="28"/>
      <c r="S2485" s="28"/>
    </row>
    <row r="2486">
      <c r="A2486" s="103"/>
      <c r="B2486" s="18"/>
      <c r="C2486" s="18"/>
      <c r="D2486" s="19"/>
      <c r="E2486" s="19"/>
      <c r="F2486" s="20">
        <f t="shared" si="24"/>
        <v>0</v>
      </c>
      <c r="G2486" s="67" t="str">
        <f>IFERROR(VLOOKUP(B2486,DADOS!$A$2:$H$252,8,0),"")</f>
        <v/>
      </c>
      <c r="H2486" s="35"/>
      <c r="I2486" s="23"/>
      <c r="J2486" s="36"/>
      <c r="K2486" s="25" t="str">
        <f>IFERROR(VLOOKUP(B2486,DADOS!$A$2:$H$252,4,0)*J2486,"")</f>
        <v/>
      </c>
      <c r="L2486" s="26"/>
      <c r="M2486" s="27"/>
      <c r="N2486" s="30"/>
      <c r="O2486" s="28"/>
      <c r="P2486" s="28"/>
      <c r="Q2486" s="28"/>
      <c r="R2486" s="28"/>
      <c r="S2486" s="28"/>
    </row>
    <row r="2487">
      <c r="A2487" s="17"/>
      <c r="B2487" s="18"/>
      <c r="C2487" s="18"/>
      <c r="D2487" s="19"/>
      <c r="E2487" s="19"/>
      <c r="F2487" s="20">
        <f t="shared" si="24"/>
        <v>0</v>
      </c>
      <c r="G2487" s="67" t="str">
        <f>IFERROR(VLOOKUP(B2487,DADOS!$A$2:$H$252,8,0),"")</f>
        <v/>
      </c>
      <c r="H2487" s="22"/>
      <c r="I2487" s="23"/>
      <c r="J2487" s="36"/>
      <c r="K2487" s="25" t="str">
        <f>IFERROR(VLOOKUP(B2487,DADOS!$A$2:$H$252,4,0)*J2487,"")</f>
        <v/>
      </c>
      <c r="L2487" s="26"/>
      <c r="M2487" s="27"/>
      <c r="N2487" s="30"/>
      <c r="O2487" s="28"/>
      <c r="P2487" s="28"/>
      <c r="Q2487" s="28"/>
      <c r="R2487" s="28"/>
      <c r="S2487" s="28"/>
    </row>
    <row r="2488">
      <c r="A2488" s="17"/>
      <c r="B2488" s="18"/>
      <c r="C2488" s="18"/>
      <c r="D2488" s="19"/>
      <c r="E2488" s="19"/>
      <c r="F2488" s="20">
        <f t="shared" si="24"/>
        <v>0</v>
      </c>
      <c r="G2488" s="67" t="str">
        <f>IFERROR(VLOOKUP(B2488,DADOS!$A$2:$H$252,8,0),"")</f>
        <v/>
      </c>
      <c r="H2488" s="22"/>
      <c r="I2488" s="23"/>
      <c r="J2488" s="36"/>
      <c r="K2488" s="25" t="str">
        <f>IFERROR(VLOOKUP(B2488,DADOS!$A$2:$H$252,4,0)*J2488,"")</f>
        <v/>
      </c>
      <c r="L2488" s="26"/>
      <c r="M2488" s="27"/>
      <c r="N2488" s="30"/>
      <c r="O2488" s="28"/>
      <c r="P2488" s="28"/>
      <c r="Q2488" s="28"/>
      <c r="R2488" s="28"/>
      <c r="S2488" s="28"/>
    </row>
    <row r="2489">
      <c r="A2489" s="17"/>
      <c r="B2489" s="18"/>
      <c r="C2489" s="18"/>
      <c r="D2489" s="19"/>
      <c r="E2489" s="19"/>
      <c r="F2489" s="20">
        <f t="shared" si="24"/>
        <v>0</v>
      </c>
      <c r="G2489" s="67" t="str">
        <f>IFERROR(VLOOKUP(B2489,DADOS!$A$2:$H$252,8,0),"")</f>
        <v/>
      </c>
      <c r="H2489" s="22"/>
      <c r="I2489" s="23"/>
      <c r="J2489" s="36"/>
      <c r="K2489" s="25" t="str">
        <f>IFERROR(VLOOKUP(B2489,DADOS!$A$2:$H$252,4,0)*J2489,"")</f>
        <v/>
      </c>
      <c r="L2489" s="26"/>
      <c r="M2489" s="27"/>
      <c r="N2489" s="30"/>
      <c r="O2489" s="28"/>
      <c r="P2489" s="28"/>
      <c r="Q2489" s="28"/>
      <c r="R2489" s="28"/>
      <c r="S2489" s="28"/>
    </row>
    <row r="2490">
      <c r="A2490" s="17"/>
      <c r="B2490" s="18"/>
      <c r="C2490" s="18"/>
      <c r="D2490" s="19"/>
      <c r="E2490" s="19"/>
      <c r="F2490" s="20">
        <f t="shared" si="24"/>
        <v>0</v>
      </c>
      <c r="G2490" s="67" t="str">
        <f>IFERROR(VLOOKUP(B2490,DADOS!$A$2:$H$252,8,0),"")</f>
        <v/>
      </c>
      <c r="H2490" s="22"/>
      <c r="I2490" s="23"/>
      <c r="J2490" s="36"/>
      <c r="K2490" s="25" t="str">
        <f>IFERROR(VLOOKUP(B2490,DADOS!$A$2:$H$252,4,0)*J2490,"")</f>
        <v/>
      </c>
      <c r="L2490" s="26"/>
      <c r="M2490" s="27"/>
      <c r="N2490" s="30"/>
      <c r="O2490" s="28"/>
      <c r="P2490" s="28"/>
      <c r="Q2490" s="28"/>
      <c r="R2490" s="28"/>
      <c r="S2490" s="28"/>
    </row>
    <row r="2491">
      <c r="A2491" s="17"/>
      <c r="B2491" s="18"/>
      <c r="C2491" s="18"/>
      <c r="D2491" s="19"/>
      <c r="E2491" s="19"/>
      <c r="F2491" s="20">
        <f t="shared" si="24"/>
        <v>0</v>
      </c>
      <c r="G2491" s="67" t="str">
        <f>IFERROR(VLOOKUP(B2491,DADOS!$A$2:$H$252,8,0),"")</f>
        <v/>
      </c>
      <c r="H2491" s="22"/>
      <c r="I2491" s="23"/>
      <c r="J2491" s="36"/>
      <c r="K2491" s="25" t="str">
        <f>IFERROR(VLOOKUP(B2491,DADOS!$A$2:$H$252,4,0)*J2491,"")</f>
        <v/>
      </c>
      <c r="L2491" s="26"/>
      <c r="M2491" s="27"/>
      <c r="N2491" s="30"/>
      <c r="O2491" s="28"/>
      <c r="P2491" s="28"/>
      <c r="Q2491" s="28"/>
      <c r="R2491" s="28"/>
      <c r="S2491" s="28"/>
    </row>
    <row r="2492">
      <c r="A2492" s="17"/>
      <c r="B2492" s="18"/>
      <c r="C2492" s="18"/>
      <c r="D2492" s="19"/>
      <c r="E2492" s="19"/>
      <c r="F2492" s="20">
        <f t="shared" si="24"/>
        <v>0</v>
      </c>
      <c r="G2492" s="67" t="str">
        <f>IFERROR(VLOOKUP(B2492,DADOS!$A$2:$H$252,8,0),"")</f>
        <v/>
      </c>
      <c r="H2492" s="22"/>
      <c r="I2492" s="23"/>
      <c r="J2492" s="36"/>
      <c r="K2492" s="25" t="str">
        <f>IFERROR(VLOOKUP(B2492,DADOS!$A$2:$H$252,4,0)*J2492,"")</f>
        <v/>
      </c>
      <c r="L2492" s="26"/>
      <c r="M2492" s="27"/>
      <c r="N2492" s="30"/>
      <c r="O2492" s="28"/>
      <c r="P2492" s="28"/>
      <c r="Q2492" s="28"/>
      <c r="R2492" s="28"/>
      <c r="S2492" s="28"/>
    </row>
    <row r="2493">
      <c r="A2493" s="17"/>
      <c r="B2493" s="18"/>
      <c r="C2493" s="18"/>
      <c r="D2493" s="19"/>
      <c r="E2493" s="19"/>
      <c r="F2493" s="20">
        <f t="shared" si="24"/>
        <v>0</v>
      </c>
      <c r="G2493" s="67" t="str">
        <f>IFERROR(VLOOKUP(B2493,DADOS!$A$2:$H$252,8,0),"")</f>
        <v/>
      </c>
      <c r="H2493" s="22"/>
      <c r="I2493" s="23"/>
      <c r="J2493" s="36"/>
      <c r="K2493" s="25" t="str">
        <f>IFERROR(VLOOKUP(B2493,DADOS!$A$2:$H$252,4,0)*J2493,"")</f>
        <v/>
      </c>
      <c r="L2493" s="26"/>
      <c r="M2493" s="27"/>
      <c r="N2493" s="30"/>
      <c r="O2493" s="28"/>
      <c r="P2493" s="28"/>
      <c r="Q2493" s="28"/>
      <c r="R2493" s="28"/>
      <c r="S2493" s="28"/>
    </row>
    <row r="2494">
      <c r="A2494" s="17"/>
      <c r="B2494" s="18"/>
      <c r="C2494" s="18"/>
      <c r="D2494" s="19"/>
      <c r="E2494" s="19"/>
      <c r="F2494" s="20">
        <f t="shared" si="24"/>
        <v>0</v>
      </c>
      <c r="G2494" s="67" t="str">
        <f>IFERROR(VLOOKUP(B2494,DADOS!$A$2:$H$252,8,0),"")</f>
        <v/>
      </c>
      <c r="H2494" s="22"/>
      <c r="I2494" s="23"/>
      <c r="J2494" s="36"/>
      <c r="K2494" s="25" t="str">
        <f>IFERROR(VLOOKUP(B2494,DADOS!$A$2:$H$252,4,0)*J2494,"")</f>
        <v/>
      </c>
      <c r="L2494" s="26"/>
      <c r="M2494" s="27"/>
      <c r="N2494" s="30"/>
      <c r="O2494" s="28"/>
      <c r="P2494" s="28"/>
      <c r="Q2494" s="28"/>
      <c r="R2494" s="28"/>
      <c r="S2494" s="28"/>
    </row>
    <row r="2495">
      <c r="A2495" s="17"/>
      <c r="B2495" s="18"/>
      <c r="C2495" s="18"/>
      <c r="D2495" s="19"/>
      <c r="E2495" s="19"/>
      <c r="F2495" s="20">
        <f t="shared" si="24"/>
        <v>0</v>
      </c>
      <c r="G2495" s="67" t="str">
        <f>IFERROR(VLOOKUP(B2495,DADOS!$A$2:$H$252,8,0),"")</f>
        <v/>
      </c>
      <c r="H2495" s="22"/>
      <c r="I2495" s="23"/>
      <c r="J2495" s="36"/>
      <c r="K2495" s="25" t="str">
        <f>IFERROR(VLOOKUP(B2495,DADOS!$A$2:$H$252,4,0)*J2495,"")</f>
        <v/>
      </c>
      <c r="L2495" s="26"/>
      <c r="M2495" s="27"/>
      <c r="N2495" s="30"/>
      <c r="O2495" s="28"/>
      <c r="P2495" s="28"/>
      <c r="Q2495" s="28"/>
      <c r="R2495" s="28"/>
      <c r="S2495" s="28"/>
    </row>
    <row r="2496">
      <c r="A2496" s="17"/>
      <c r="B2496" s="18"/>
      <c r="C2496" s="18"/>
      <c r="D2496" s="19"/>
      <c r="E2496" s="19"/>
      <c r="F2496" s="20">
        <f t="shared" si="24"/>
        <v>0</v>
      </c>
      <c r="G2496" s="67" t="str">
        <f>IFERROR(VLOOKUP(B2496,DADOS!$A$2:$H$252,8,0),"")</f>
        <v/>
      </c>
      <c r="H2496" s="22"/>
      <c r="I2496" s="23"/>
      <c r="J2496" s="36"/>
      <c r="K2496" s="25" t="str">
        <f>IFERROR(VLOOKUP(B2496,DADOS!$A$2:$H$252,4,0)*J2496,"")</f>
        <v/>
      </c>
      <c r="L2496" s="26"/>
      <c r="M2496" s="27"/>
      <c r="N2496" s="30"/>
      <c r="O2496" s="28"/>
      <c r="P2496" s="28"/>
      <c r="Q2496" s="28"/>
      <c r="R2496" s="28"/>
      <c r="S2496" s="28"/>
    </row>
    <row r="2497">
      <c r="A2497" s="17"/>
      <c r="B2497" s="18"/>
      <c r="C2497" s="18"/>
      <c r="D2497" s="19"/>
      <c r="E2497" s="19"/>
      <c r="F2497" s="20">
        <f t="shared" si="24"/>
        <v>0</v>
      </c>
      <c r="G2497" s="67" t="str">
        <f>IFERROR(VLOOKUP(B2497,DADOS!$A$2:$H$252,8,0),"")</f>
        <v/>
      </c>
      <c r="H2497" s="22"/>
      <c r="I2497" s="23"/>
      <c r="J2497" s="36"/>
      <c r="K2497" s="25" t="str">
        <f>IFERROR(VLOOKUP(B2497,DADOS!$A$2:$H$252,4,0)*J2497,"")</f>
        <v/>
      </c>
      <c r="L2497" s="26"/>
      <c r="M2497" s="27"/>
      <c r="N2497" s="30"/>
      <c r="O2497" s="28"/>
      <c r="P2497" s="28"/>
      <c r="Q2497" s="28"/>
      <c r="R2497" s="28"/>
      <c r="S2497" s="28"/>
    </row>
    <row r="2498">
      <c r="A2498" s="17"/>
      <c r="B2498" s="18"/>
      <c r="C2498" s="18"/>
      <c r="D2498" s="19"/>
      <c r="E2498" s="19"/>
      <c r="F2498" s="20">
        <f t="shared" si="24"/>
        <v>0</v>
      </c>
      <c r="G2498" s="67" t="str">
        <f>IFERROR(VLOOKUP(B2498,DADOS!$A$2:$H$252,8,0),"")</f>
        <v/>
      </c>
      <c r="H2498" s="22"/>
      <c r="I2498" s="23"/>
      <c r="J2498" s="36"/>
      <c r="K2498" s="25" t="str">
        <f>IFERROR(VLOOKUP(B2498,DADOS!$A$2:$H$252,4,0)*J2498,"")</f>
        <v/>
      </c>
      <c r="L2498" s="26"/>
      <c r="M2498" s="27"/>
      <c r="N2498" s="30"/>
      <c r="O2498" s="28"/>
      <c r="P2498" s="28"/>
      <c r="Q2498" s="28"/>
      <c r="R2498" s="28"/>
      <c r="S2498" s="28"/>
    </row>
    <row r="2499">
      <c r="A2499" s="17"/>
      <c r="B2499" s="18"/>
      <c r="C2499" s="18"/>
      <c r="D2499" s="19"/>
      <c r="E2499" s="19"/>
      <c r="F2499" s="20">
        <f t="shared" si="24"/>
        <v>0</v>
      </c>
      <c r="G2499" s="67" t="str">
        <f>IFERROR(VLOOKUP(B2499,DADOS!$A$2:$H$252,8,0),"")</f>
        <v/>
      </c>
      <c r="H2499" s="22"/>
      <c r="I2499" s="23"/>
      <c r="J2499" s="36"/>
      <c r="K2499" s="25" t="str">
        <f>IFERROR(VLOOKUP(B2499,DADOS!$A$2:$H$252,4,0)*J2499,"")</f>
        <v/>
      </c>
      <c r="L2499" s="26"/>
      <c r="M2499" s="27"/>
      <c r="N2499" s="30"/>
      <c r="O2499" s="28"/>
      <c r="P2499" s="28"/>
      <c r="Q2499" s="28"/>
      <c r="R2499" s="28"/>
      <c r="S2499" s="28"/>
    </row>
    <row r="2500">
      <c r="A2500" s="17"/>
      <c r="B2500" s="18"/>
      <c r="C2500" s="18"/>
      <c r="D2500" s="19"/>
      <c r="E2500" s="19"/>
      <c r="F2500" s="20">
        <f t="shared" si="24"/>
        <v>0</v>
      </c>
      <c r="G2500" s="67" t="str">
        <f>IFERROR(VLOOKUP(B2500,DADOS!$A$2:$H$252,8,0),"")</f>
        <v/>
      </c>
      <c r="H2500" s="22"/>
      <c r="I2500" s="23"/>
      <c r="J2500" s="36"/>
      <c r="K2500" s="25" t="str">
        <f>IFERROR(VLOOKUP(B2500,DADOS!$A$2:$H$252,4,0)*J2500,"")</f>
        <v/>
      </c>
      <c r="L2500" s="26"/>
      <c r="M2500" s="27"/>
      <c r="N2500" s="30"/>
      <c r="O2500" s="28"/>
      <c r="P2500" s="28"/>
      <c r="Q2500" s="28"/>
      <c r="R2500" s="28"/>
      <c r="S2500" s="28"/>
    </row>
    <row r="2501">
      <c r="A2501" s="17"/>
      <c r="B2501" s="18"/>
      <c r="C2501" s="18"/>
      <c r="D2501" s="19"/>
      <c r="E2501" s="19"/>
      <c r="F2501" s="20">
        <f t="shared" si="24"/>
        <v>0</v>
      </c>
      <c r="G2501" s="67" t="str">
        <f>IFERROR(VLOOKUP(B2501,DADOS!$A$2:$H$252,8,0),"")</f>
        <v/>
      </c>
      <c r="H2501" s="22"/>
      <c r="I2501" s="23"/>
      <c r="J2501" s="36"/>
      <c r="K2501" s="25" t="str">
        <f>IFERROR(VLOOKUP(B2501,DADOS!$A$2:$H$252,4,0)*J2501,"")</f>
        <v/>
      </c>
      <c r="L2501" s="26"/>
      <c r="M2501" s="27"/>
      <c r="N2501" s="30"/>
      <c r="O2501" s="28"/>
      <c r="P2501" s="28"/>
      <c r="Q2501" s="28"/>
      <c r="R2501" s="28"/>
      <c r="S2501" s="28"/>
    </row>
    <row r="2502">
      <c r="A2502" s="17"/>
      <c r="B2502" s="18"/>
      <c r="C2502" s="18"/>
      <c r="D2502" s="19"/>
      <c r="E2502" s="19"/>
      <c r="F2502" s="20">
        <f t="shared" si="24"/>
        <v>0</v>
      </c>
      <c r="G2502" s="67" t="str">
        <f>IFERROR(VLOOKUP(B2502,DADOS!$A$2:$H$252,8,0),"")</f>
        <v/>
      </c>
      <c r="H2502" s="22"/>
      <c r="I2502" s="23"/>
      <c r="J2502" s="36"/>
      <c r="K2502" s="25" t="str">
        <f>IFERROR(VLOOKUP(B2502,DADOS!$A$2:$H$252,4,0)*J2502,"")</f>
        <v/>
      </c>
      <c r="L2502" s="26"/>
      <c r="M2502" s="27"/>
      <c r="N2502" s="30"/>
      <c r="O2502" s="28"/>
      <c r="P2502" s="28"/>
      <c r="Q2502" s="28"/>
      <c r="R2502" s="28"/>
      <c r="S2502" s="28"/>
    </row>
    <row r="2503">
      <c r="A2503" s="17"/>
      <c r="B2503" s="18"/>
      <c r="C2503" s="18"/>
      <c r="D2503" s="19"/>
      <c r="E2503" s="19"/>
      <c r="F2503" s="20">
        <f t="shared" si="24"/>
        <v>0</v>
      </c>
      <c r="G2503" s="67" t="str">
        <f>IFERROR(VLOOKUP(B2503,DADOS!$A$2:$H$252,8,0),"")</f>
        <v/>
      </c>
      <c r="H2503" s="22"/>
      <c r="I2503" s="23"/>
      <c r="J2503" s="36"/>
      <c r="K2503" s="25" t="str">
        <f>IFERROR(VLOOKUP(B2503,DADOS!$A$2:$H$252,4,0)*J2503,"")</f>
        <v/>
      </c>
      <c r="L2503" s="26"/>
      <c r="M2503" s="27"/>
      <c r="N2503" s="30"/>
      <c r="O2503" s="28"/>
      <c r="P2503" s="28"/>
      <c r="Q2503" s="28"/>
      <c r="R2503" s="28"/>
      <c r="S2503" s="28"/>
    </row>
    <row r="2504">
      <c r="A2504" s="17"/>
      <c r="B2504" s="18"/>
      <c r="C2504" s="18"/>
      <c r="D2504" s="19"/>
      <c r="E2504" s="19"/>
      <c r="F2504" s="20">
        <f t="shared" si="24"/>
        <v>0</v>
      </c>
      <c r="G2504" s="67" t="str">
        <f>IFERROR(VLOOKUP(B2504,DADOS!$A$2:$H$252,8,0),"")</f>
        <v/>
      </c>
      <c r="H2504" s="22"/>
      <c r="I2504" s="23"/>
      <c r="J2504" s="36"/>
      <c r="K2504" s="25" t="str">
        <f>IFERROR(VLOOKUP(B2504,DADOS!$A$2:$H$252,4,0)*J2504,"")</f>
        <v/>
      </c>
      <c r="L2504" s="26"/>
      <c r="M2504" s="27"/>
      <c r="N2504" s="30"/>
      <c r="O2504" s="28"/>
      <c r="P2504" s="28"/>
      <c r="Q2504" s="28"/>
      <c r="R2504" s="28"/>
      <c r="S2504" s="28"/>
    </row>
    <row r="2505">
      <c r="A2505" s="17"/>
      <c r="B2505" s="18"/>
      <c r="C2505" s="18"/>
      <c r="D2505" s="19"/>
      <c r="E2505" s="19"/>
      <c r="F2505" s="20">
        <f t="shared" si="24"/>
        <v>0</v>
      </c>
      <c r="G2505" s="67" t="str">
        <f>IFERROR(VLOOKUP(B2505,DADOS!$A$2:$H$252,8,0),"")</f>
        <v/>
      </c>
      <c r="H2505" s="22"/>
      <c r="I2505" s="23"/>
      <c r="J2505" s="36"/>
      <c r="K2505" s="25" t="str">
        <f>IFERROR(VLOOKUP(B2505,DADOS!$A$2:$H$252,4,0)*J2505,"")</f>
        <v/>
      </c>
      <c r="L2505" s="26"/>
      <c r="M2505" s="27"/>
      <c r="N2505" s="30"/>
      <c r="O2505" s="28"/>
      <c r="P2505" s="28"/>
      <c r="Q2505" s="28"/>
      <c r="R2505" s="28"/>
      <c r="S2505" s="28"/>
    </row>
    <row r="2506">
      <c r="A2506" s="17"/>
      <c r="B2506" s="18"/>
      <c r="C2506" s="18"/>
      <c r="D2506" s="19"/>
      <c r="E2506" s="19"/>
      <c r="F2506" s="20">
        <f t="shared" si="24"/>
        <v>0</v>
      </c>
      <c r="G2506" s="67" t="str">
        <f>IFERROR(VLOOKUP(B2506,DADOS!$A$2:$H$252,8,0),"")</f>
        <v/>
      </c>
      <c r="H2506" s="22"/>
      <c r="I2506" s="23"/>
      <c r="J2506" s="36"/>
      <c r="K2506" s="25" t="str">
        <f>IFERROR(VLOOKUP(B2506,DADOS!$A$2:$H$252,4,0)*J2506,"")</f>
        <v/>
      </c>
      <c r="L2506" s="26"/>
      <c r="M2506" s="27"/>
      <c r="N2506" s="30"/>
      <c r="O2506" s="28"/>
      <c r="P2506" s="28"/>
      <c r="Q2506" s="28"/>
      <c r="R2506" s="28"/>
      <c r="S2506" s="28"/>
    </row>
    <row r="2507">
      <c r="A2507" s="17"/>
      <c r="B2507" s="18"/>
      <c r="C2507" s="18"/>
      <c r="D2507" s="19"/>
      <c r="E2507" s="19"/>
      <c r="F2507" s="20">
        <f t="shared" si="24"/>
        <v>0</v>
      </c>
      <c r="G2507" s="67" t="str">
        <f>IFERROR(VLOOKUP(B2507,DADOS!$A$2:$H$252,8,0),"")</f>
        <v/>
      </c>
      <c r="H2507" s="22"/>
      <c r="I2507" s="23"/>
      <c r="J2507" s="36"/>
      <c r="K2507" s="25" t="str">
        <f>IFERROR(VLOOKUP(B2507,DADOS!$A$2:$H$252,4,0)*J2507,"")</f>
        <v/>
      </c>
      <c r="L2507" s="26"/>
      <c r="M2507" s="27"/>
      <c r="N2507" s="30"/>
      <c r="O2507" s="28"/>
      <c r="P2507" s="28"/>
      <c r="Q2507" s="28"/>
      <c r="R2507" s="28"/>
      <c r="S2507" s="28"/>
    </row>
    <row r="2508">
      <c r="A2508" s="17"/>
      <c r="B2508" s="18"/>
      <c r="C2508" s="18"/>
      <c r="D2508" s="19"/>
      <c r="E2508" s="19"/>
      <c r="F2508" s="20">
        <f t="shared" si="24"/>
        <v>0</v>
      </c>
      <c r="G2508" s="67" t="str">
        <f>IFERROR(VLOOKUP(B2508,DADOS!$A$2:$H$252,8,0),"")</f>
        <v/>
      </c>
      <c r="H2508" s="22"/>
      <c r="I2508" s="23"/>
      <c r="J2508" s="36"/>
      <c r="K2508" s="25" t="str">
        <f>IFERROR(VLOOKUP(B2508,DADOS!$A$2:$H$252,4,0)*J2508,"")</f>
        <v/>
      </c>
      <c r="L2508" s="26"/>
      <c r="M2508" s="27"/>
      <c r="N2508" s="30"/>
      <c r="O2508" s="28"/>
      <c r="P2508" s="28"/>
      <c r="Q2508" s="28"/>
      <c r="R2508" s="28"/>
      <c r="S2508" s="28"/>
    </row>
    <row r="2509">
      <c r="A2509" s="17"/>
      <c r="B2509" s="18"/>
      <c r="C2509" s="18"/>
      <c r="D2509" s="19"/>
      <c r="E2509" s="19"/>
      <c r="F2509" s="20">
        <f t="shared" si="24"/>
        <v>0</v>
      </c>
      <c r="G2509" s="67" t="str">
        <f>IFERROR(VLOOKUP(B2509,DADOS!$A$2:$H$252,8,0),"")</f>
        <v/>
      </c>
      <c r="H2509" s="22"/>
      <c r="I2509" s="23"/>
      <c r="J2509" s="36"/>
      <c r="K2509" s="25" t="str">
        <f>IFERROR(VLOOKUP(B2509,DADOS!$A$2:$H$252,4,0)*J2509,"")</f>
        <v/>
      </c>
      <c r="L2509" s="26"/>
      <c r="M2509" s="27"/>
      <c r="N2509" s="30"/>
      <c r="O2509" s="28"/>
      <c r="P2509" s="28"/>
      <c r="Q2509" s="28"/>
      <c r="R2509" s="28"/>
      <c r="S2509" s="28"/>
    </row>
    <row r="2510">
      <c r="A2510" s="17"/>
      <c r="B2510" s="18"/>
      <c r="C2510" s="18"/>
      <c r="D2510" s="19"/>
      <c r="E2510" s="19"/>
      <c r="F2510" s="20">
        <f t="shared" si="24"/>
        <v>0</v>
      </c>
      <c r="G2510" s="67" t="str">
        <f>IFERROR(VLOOKUP(B2510,DADOS!$A$2:$H$252,8,0),"")</f>
        <v/>
      </c>
      <c r="H2510" s="22"/>
      <c r="I2510" s="23"/>
      <c r="J2510" s="36"/>
      <c r="K2510" s="25" t="str">
        <f>IFERROR(VLOOKUP(B2510,DADOS!$A$2:$H$252,4,0)*J2510,"")</f>
        <v/>
      </c>
      <c r="L2510" s="26"/>
      <c r="M2510" s="27"/>
      <c r="N2510" s="30"/>
      <c r="O2510" s="28"/>
      <c r="P2510" s="28"/>
      <c r="Q2510" s="28"/>
      <c r="R2510" s="28"/>
      <c r="S2510" s="28"/>
    </row>
    <row r="2511">
      <c r="A2511" s="17"/>
      <c r="B2511" s="18"/>
      <c r="C2511" s="18"/>
      <c r="D2511" s="19"/>
      <c r="E2511" s="19"/>
      <c r="F2511" s="20">
        <f t="shared" si="24"/>
        <v>0</v>
      </c>
      <c r="G2511" s="67" t="str">
        <f>IFERROR(VLOOKUP(B2511,DADOS!$A$2:$H$252,8,0),"")</f>
        <v/>
      </c>
      <c r="H2511" s="22"/>
      <c r="I2511" s="23"/>
      <c r="J2511" s="36"/>
      <c r="K2511" s="25" t="str">
        <f>IFERROR(VLOOKUP(B2511,DADOS!$A$2:$H$252,4,0)*J2511,"")</f>
        <v/>
      </c>
      <c r="L2511" s="26"/>
      <c r="M2511" s="27"/>
      <c r="N2511" s="30"/>
      <c r="O2511" s="28"/>
      <c r="P2511" s="28"/>
      <c r="Q2511" s="28"/>
      <c r="R2511" s="28"/>
      <c r="S2511" s="28"/>
    </row>
    <row r="2512">
      <c r="A2512" s="17"/>
      <c r="B2512" s="18"/>
      <c r="C2512" s="18"/>
      <c r="D2512" s="19"/>
      <c r="E2512" s="19"/>
      <c r="F2512" s="20">
        <f t="shared" si="24"/>
        <v>0</v>
      </c>
      <c r="G2512" s="67" t="str">
        <f>IFERROR(VLOOKUP(B2512,DADOS!$A$2:$H$252,8,0),"")</f>
        <v/>
      </c>
      <c r="H2512" s="22"/>
      <c r="I2512" s="23"/>
      <c r="J2512" s="36"/>
      <c r="K2512" s="25" t="str">
        <f>IFERROR(VLOOKUP(B2512,DADOS!$A$2:$H$252,4,0)*J2512,"")</f>
        <v/>
      </c>
      <c r="L2512" s="26"/>
      <c r="M2512" s="27"/>
      <c r="N2512" s="30"/>
      <c r="O2512" s="28"/>
      <c r="P2512" s="28"/>
      <c r="Q2512" s="28"/>
      <c r="R2512" s="28"/>
      <c r="S2512" s="28"/>
    </row>
    <row r="2513">
      <c r="A2513" s="17"/>
      <c r="B2513" s="18"/>
      <c r="C2513" s="18"/>
      <c r="D2513" s="19"/>
      <c r="E2513" s="19"/>
      <c r="F2513" s="20">
        <f t="shared" si="24"/>
        <v>0</v>
      </c>
      <c r="G2513" s="67" t="str">
        <f>IFERROR(VLOOKUP(B2513,DADOS!$A$2:$H$252,8,0),"")</f>
        <v/>
      </c>
      <c r="H2513" s="22"/>
      <c r="I2513" s="23"/>
      <c r="J2513" s="36"/>
      <c r="K2513" s="25" t="str">
        <f>IFERROR(VLOOKUP(B2513,DADOS!$A$2:$H$252,4,0)*J2513,"")</f>
        <v/>
      </c>
      <c r="L2513" s="26"/>
      <c r="M2513" s="27"/>
      <c r="N2513" s="30"/>
      <c r="O2513" s="28"/>
      <c r="P2513" s="28"/>
      <c r="Q2513" s="28"/>
      <c r="R2513" s="28"/>
      <c r="S2513" s="28"/>
    </row>
    <row r="2514">
      <c r="A2514" s="17"/>
      <c r="B2514" s="18"/>
      <c r="C2514" s="18"/>
      <c r="D2514" s="19"/>
      <c r="E2514" s="19"/>
      <c r="F2514" s="20">
        <f t="shared" si="24"/>
        <v>0</v>
      </c>
      <c r="G2514" s="67" t="str">
        <f>IFERROR(VLOOKUP(B2514,DADOS!$A$2:$H$252,8,0),"")</f>
        <v/>
      </c>
      <c r="H2514" s="22"/>
      <c r="I2514" s="23"/>
      <c r="J2514" s="36"/>
      <c r="K2514" s="25" t="str">
        <f>IFERROR(VLOOKUP(B2514,DADOS!$A$2:$H$252,4,0)*J2514,"")</f>
        <v/>
      </c>
      <c r="L2514" s="26"/>
      <c r="M2514" s="27"/>
      <c r="N2514" s="30"/>
      <c r="O2514" s="28"/>
      <c r="P2514" s="28"/>
      <c r="Q2514" s="28"/>
      <c r="R2514" s="28"/>
      <c r="S2514" s="28"/>
    </row>
    <row r="2515">
      <c r="A2515" s="17"/>
      <c r="B2515" s="18"/>
      <c r="C2515" s="18"/>
      <c r="D2515" s="19"/>
      <c r="E2515" s="19"/>
      <c r="F2515" s="20">
        <f t="shared" si="24"/>
        <v>0</v>
      </c>
      <c r="G2515" s="67" t="str">
        <f>IFERROR(VLOOKUP(B2515,DADOS!$A$2:$H$252,8,0),"")</f>
        <v/>
      </c>
      <c r="H2515" s="22"/>
      <c r="I2515" s="23"/>
      <c r="J2515" s="36"/>
      <c r="K2515" s="25" t="str">
        <f>IFERROR(VLOOKUP(B2515,DADOS!$A$2:$H$252,4,0)*J2515,"")</f>
        <v/>
      </c>
      <c r="L2515" s="26"/>
      <c r="M2515" s="27"/>
      <c r="N2515" s="30"/>
      <c r="O2515" s="28"/>
      <c r="P2515" s="28"/>
      <c r="Q2515" s="28"/>
      <c r="R2515" s="28"/>
      <c r="S2515" s="28"/>
    </row>
    <row r="2516">
      <c r="A2516" s="17"/>
      <c r="B2516" s="18"/>
      <c r="C2516" s="18"/>
      <c r="D2516" s="19"/>
      <c r="E2516" s="19"/>
      <c r="F2516" s="20">
        <f t="shared" si="24"/>
        <v>0</v>
      </c>
      <c r="G2516" s="67" t="str">
        <f>IFERROR(VLOOKUP(B2516,DADOS!$A$2:$H$252,8,0),"")</f>
        <v/>
      </c>
      <c r="H2516" s="22"/>
      <c r="I2516" s="23"/>
      <c r="J2516" s="36"/>
      <c r="K2516" s="25" t="str">
        <f>IFERROR(VLOOKUP(B2516,DADOS!$A$2:$H$252,4,0)*J2516,"")</f>
        <v/>
      </c>
      <c r="L2516" s="26"/>
      <c r="M2516" s="27"/>
      <c r="N2516" s="30"/>
      <c r="O2516" s="28"/>
      <c r="P2516" s="28"/>
      <c r="Q2516" s="28"/>
      <c r="R2516" s="28"/>
      <c r="S2516" s="28"/>
    </row>
    <row r="2517">
      <c r="A2517" s="17"/>
      <c r="B2517" s="18"/>
      <c r="C2517" s="18"/>
      <c r="D2517" s="19"/>
      <c r="E2517" s="19"/>
      <c r="F2517" s="20">
        <f t="shared" si="24"/>
        <v>0</v>
      </c>
      <c r="G2517" s="67" t="str">
        <f>IFERROR(VLOOKUP(B2517,DADOS!$A$2:$H$252,8,0),"")</f>
        <v/>
      </c>
      <c r="H2517" s="22"/>
      <c r="I2517" s="23"/>
      <c r="J2517" s="36"/>
      <c r="K2517" s="25" t="str">
        <f>IFERROR(VLOOKUP(B2517,DADOS!$A$2:$H$252,4,0)*J2517,"")</f>
        <v/>
      </c>
      <c r="L2517" s="26"/>
      <c r="M2517" s="27"/>
      <c r="N2517" s="30"/>
      <c r="O2517" s="28"/>
      <c r="P2517" s="28"/>
      <c r="Q2517" s="28"/>
      <c r="R2517" s="28"/>
      <c r="S2517" s="28"/>
    </row>
    <row r="2518">
      <c r="A2518" s="17"/>
      <c r="B2518" s="18"/>
      <c r="C2518" s="18"/>
      <c r="D2518" s="19"/>
      <c r="E2518" s="19"/>
      <c r="F2518" s="20">
        <f t="shared" si="24"/>
        <v>0</v>
      </c>
      <c r="G2518" s="67" t="str">
        <f>IFERROR(VLOOKUP(B2518,DADOS!$A$2:$H$252,8,0),"")</f>
        <v/>
      </c>
      <c r="H2518" s="22"/>
      <c r="I2518" s="23"/>
      <c r="J2518" s="36"/>
      <c r="K2518" s="25" t="str">
        <f>IFERROR(VLOOKUP(B2518,DADOS!$A$2:$H$252,4,0)*J2518,"")</f>
        <v/>
      </c>
      <c r="L2518" s="26"/>
      <c r="M2518" s="27"/>
      <c r="N2518" s="30"/>
      <c r="O2518" s="28"/>
      <c r="P2518" s="28"/>
      <c r="Q2518" s="28"/>
      <c r="R2518" s="28"/>
      <c r="S2518" s="28"/>
    </row>
    <row r="2519">
      <c r="A2519" s="17"/>
      <c r="B2519" s="18"/>
      <c r="C2519" s="18"/>
      <c r="D2519" s="19"/>
      <c r="E2519" s="19"/>
      <c r="F2519" s="20">
        <f t="shared" si="24"/>
        <v>0</v>
      </c>
      <c r="G2519" s="67" t="str">
        <f>IFERROR(VLOOKUP(B2519,DADOS!$A$2:$H$252,8,0),"")</f>
        <v/>
      </c>
      <c r="H2519" s="22"/>
      <c r="I2519" s="23"/>
      <c r="J2519" s="36"/>
      <c r="K2519" s="25" t="str">
        <f>IFERROR(VLOOKUP(B2519,DADOS!$A$2:$H$252,4,0)*J2519,"")</f>
        <v/>
      </c>
      <c r="L2519" s="26"/>
      <c r="M2519" s="27"/>
      <c r="N2519" s="30"/>
      <c r="O2519" s="28"/>
      <c r="P2519" s="28"/>
      <c r="Q2519" s="28"/>
      <c r="R2519" s="28"/>
      <c r="S2519" s="28"/>
    </row>
    <row r="2520">
      <c r="A2520" s="17"/>
      <c r="B2520" s="18"/>
      <c r="C2520" s="18"/>
      <c r="D2520" s="19"/>
      <c r="E2520" s="19"/>
      <c r="F2520" s="20">
        <f t="shared" si="24"/>
        <v>0</v>
      </c>
      <c r="G2520" s="67" t="str">
        <f>IFERROR(VLOOKUP(B2520,DADOS!$A$2:$H$252,8,0),"")</f>
        <v/>
      </c>
      <c r="H2520" s="22"/>
      <c r="I2520" s="23"/>
      <c r="J2520" s="36"/>
      <c r="K2520" s="25" t="str">
        <f>IFERROR(VLOOKUP(B2520,DADOS!$A$2:$H$252,4,0)*J2520,"")</f>
        <v/>
      </c>
      <c r="L2520" s="26"/>
      <c r="M2520" s="27"/>
      <c r="N2520" s="30"/>
      <c r="O2520" s="28"/>
      <c r="P2520" s="28"/>
      <c r="Q2520" s="28"/>
      <c r="R2520" s="28"/>
      <c r="S2520" s="28"/>
    </row>
    <row r="2521">
      <c r="A2521" s="17"/>
      <c r="B2521" s="18"/>
      <c r="C2521" s="18"/>
      <c r="D2521" s="19"/>
      <c r="E2521" s="19"/>
      <c r="F2521" s="20">
        <f t="shared" si="24"/>
        <v>0</v>
      </c>
      <c r="G2521" s="67" t="str">
        <f>IFERROR(VLOOKUP(B2521,DADOS!$A$2:$H$252,8,0),"")</f>
        <v/>
      </c>
      <c r="H2521" s="22"/>
      <c r="I2521" s="23"/>
      <c r="J2521" s="36"/>
      <c r="K2521" s="25" t="str">
        <f>IFERROR(VLOOKUP(B2521,DADOS!$A$2:$H$252,4,0)*J2521,"")</f>
        <v/>
      </c>
      <c r="L2521" s="26"/>
      <c r="M2521" s="27"/>
      <c r="N2521" s="30"/>
      <c r="O2521" s="28"/>
      <c r="P2521" s="28"/>
      <c r="Q2521" s="28"/>
      <c r="R2521" s="28"/>
      <c r="S2521" s="28"/>
    </row>
    <row r="2522">
      <c r="A2522" s="17"/>
      <c r="B2522" s="18"/>
      <c r="C2522" s="18"/>
      <c r="D2522" s="19"/>
      <c r="E2522" s="19"/>
      <c r="F2522" s="20">
        <f t="shared" si="24"/>
        <v>0</v>
      </c>
      <c r="G2522" s="67" t="str">
        <f>IFERROR(VLOOKUP(B2522,DADOS!$A$2:$H$252,8,0),"")</f>
        <v/>
      </c>
      <c r="H2522" s="22"/>
      <c r="I2522" s="23"/>
      <c r="J2522" s="36"/>
      <c r="K2522" s="25" t="str">
        <f>IFERROR(VLOOKUP(B2522,DADOS!$A$2:$H$252,4,0)*J2522,"")</f>
        <v/>
      </c>
      <c r="L2522" s="26"/>
      <c r="M2522" s="27"/>
      <c r="N2522" s="30"/>
      <c r="O2522" s="28"/>
      <c r="P2522" s="28"/>
      <c r="Q2522" s="28"/>
      <c r="R2522" s="28"/>
      <c r="S2522" s="28"/>
    </row>
    <row r="2523">
      <c r="A2523" s="17"/>
      <c r="B2523" s="18"/>
      <c r="C2523" s="18"/>
      <c r="D2523" s="19"/>
      <c r="E2523" s="19"/>
      <c r="F2523" s="20">
        <f t="shared" si="24"/>
        <v>0</v>
      </c>
      <c r="G2523" s="67" t="str">
        <f>IFERROR(VLOOKUP(B2523,DADOS!$A$2:$H$252,8,0),"")</f>
        <v/>
      </c>
      <c r="H2523" s="22"/>
      <c r="I2523" s="23"/>
      <c r="J2523" s="36"/>
      <c r="K2523" s="25" t="str">
        <f>IFERROR(VLOOKUP(B2523,DADOS!$A$2:$H$252,4,0)*J2523,"")</f>
        <v/>
      </c>
      <c r="L2523" s="26"/>
      <c r="M2523" s="27"/>
      <c r="N2523" s="30"/>
      <c r="O2523" s="28"/>
      <c r="P2523" s="28"/>
      <c r="Q2523" s="28"/>
      <c r="R2523" s="28"/>
      <c r="S2523" s="28"/>
    </row>
    <row r="2524">
      <c r="A2524" s="51"/>
      <c r="B2524" s="52"/>
      <c r="C2524" s="52"/>
      <c r="D2524" s="53"/>
      <c r="E2524" s="53"/>
      <c r="F2524" s="20">
        <f t="shared" si="24"/>
        <v>0</v>
      </c>
      <c r="G2524" s="55"/>
      <c r="H2524" s="56"/>
      <c r="I2524" s="57"/>
      <c r="J2524" s="105"/>
      <c r="K2524" s="25" t="str">
        <f>IFERROR(VLOOKUP(B2524,DADOS!$A$2:$H$252,4,0)*J2524,"")</f>
        <v/>
      </c>
      <c r="L2524" s="60"/>
      <c r="M2524" s="61"/>
      <c r="N2524" s="62"/>
    </row>
  </sheetData>
  <autoFilter ref="$A$2:$N$2524">
    <sortState ref="A2:N2524">
      <sortCondition ref="A2:A2524"/>
      <sortCondition ref="C2:C2524"/>
    </sortState>
  </autoFilter>
  <conditionalFormatting sqref="F3:F2525">
    <cfRule type="cellIs" dxfId="0" priority="1" operator="equal">
      <formula>0</formula>
    </cfRule>
  </conditionalFormatting>
  <conditionalFormatting sqref="F3:F2525">
    <cfRule type="cellIs" dxfId="0" priority="2" operator="equal">
      <formula>0</formula>
    </cfRule>
  </conditionalFormatting>
  <conditionalFormatting sqref="F3:F2525">
    <cfRule type="cellIs" dxfId="0" priority="3" operator="equal">
      <formula>0</formula>
    </cfRule>
  </conditionalFormatting>
  <conditionalFormatting sqref="I3:I2525">
    <cfRule type="cellIs" dxfId="0" priority="4" operator="equal">
      <formula>0</formula>
    </cfRule>
  </conditionalFormatting>
  <conditionalFormatting sqref="K3:L2525">
    <cfRule type="cellIs" dxfId="1" priority="5" operator="equal">
      <formula>0</formula>
    </cfRule>
  </conditionalFormatting>
  <conditionalFormatting sqref="J3:J2525">
    <cfRule type="cellIs" dxfId="2" priority="6" operator="equal">
      <formula>0</formula>
    </cfRule>
  </conditionalFormatting>
  <conditionalFormatting sqref="C1:C2525">
    <cfRule type="containsText" dxfId="3" priority="7" operator="containsText" text="TAMBOR">
      <formula>NOT(ISERROR(SEARCH(("TAMBOR"),(C1))))</formula>
    </cfRule>
  </conditionalFormatting>
  <conditionalFormatting sqref="C1:C2525">
    <cfRule type="containsText" dxfId="3" priority="8" operator="containsText" text="TAMBOR">
      <formula>NOT(ISERROR(SEARCH(("TAMBOR"),(C1))))</formula>
    </cfRule>
  </conditionalFormatting>
  <dataValidations>
    <dataValidation type="list" allowBlank="1" showErrorMessage="1" sqref="N3:N904 N906:N2524">
      <formula1>DADOS!$N$2:$N$132</formula1>
    </dataValidation>
    <dataValidation type="list" allowBlank="1" showErrorMessage="1" sqref="B3:B541 B543:B2435 B2437:B2524">
      <formula1>DADOS!$A$2:$A$1052</formula1>
    </dataValidation>
    <dataValidation type="list" allowBlank="1" showErrorMessage="1" sqref="M3:M2524">
      <formula1>DADOS!$L$2:$L$26</formula1>
    </dataValidation>
    <dataValidation type="custom" allowBlank="1" showDropDown="1" sqref="A3:A145 A148:A2524">
      <formula1>OR(NOT(ISERROR(DATEVALUE(A3))), AND(ISNUMBER(A3), LEFT(CELL("format", A3))="D"))</formula1>
    </dataValidation>
    <dataValidation type="list" allowBlank="1" showErrorMessage="1" sqref="C3:C381 C383:C2524">
      <formula1>DADOS!$J$2:$J$1052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63"/>
    <col customWidth="1" min="2" max="2" width="11.63"/>
    <col customWidth="1" min="3" max="3" width="11.5"/>
    <col customWidth="1" min="9" max="9" width="5.13"/>
    <col customWidth="1" min="10" max="10" width="14.75"/>
    <col customWidth="1" min="11" max="11" width="3.63"/>
    <col customWidth="1" min="12" max="12" width="16.38"/>
    <col customWidth="1" min="13" max="13" width="3.75"/>
    <col customWidth="1" min="14" max="14" width="49.25"/>
  </cols>
  <sheetData>
    <row r="1" ht="26.25" customHeight="1">
      <c r="A1" s="106" t="s">
        <v>235</v>
      </c>
      <c r="B1" s="107" t="s">
        <v>236</v>
      </c>
      <c r="C1" s="107" t="s">
        <v>237</v>
      </c>
      <c r="D1" s="108" t="s">
        <v>238</v>
      </c>
      <c r="E1" s="106"/>
      <c r="F1" s="106"/>
      <c r="G1" s="106"/>
      <c r="H1" s="109" t="s">
        <v>239</v>
      </c>
      <c r="I1" s="110"/>
      <c r="J1" s="111" t="s">
        <v>7</v>
      </c>
      <c r="K1" s="6"/>
      <c r="L1" s="112" t="s">
        <v>240</v>
      </c>
      <c r="M1" s="6"/>
      <c r="N1" s="113" t="s">
        <v>241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14" t="s">
        <v>82</v>
      </c>
      <c r="B2" s="115">
        <v>0.484</v>
      </c>
      <c r="C2" s="115">
        <v>1.998</v>
      </c>
      <c r="D2" s="116">
        <f t="shared" ref="D2:D26" si="1">B2*B2*C2*2.14</f>
        <v>1.001613064</v>
      </c>
      <c r="E2" s="28"/>
      <c r="F2" s="28"/>
      <c r="G2" s="28"/>
      <c r="H2" s="117"/>
      <c r="J2" s="104" t="s">
        <v>242</v>
      </c>
      <c r="L2" s="104" t="s">
        <v>110</v>
      </c>
      <c r="N2" s="104" t="s">
        <v>81</v>
      </c>
    </row>
    <row r="3">
      <c r="A3" s="118" t="s">
        <v>129</v>
      </c>
      <c r="B3" s="119">
        <v>0.73</v>
      </c>
      <c r="C3" s="120">
        <v>1.3</v>
      </c>
      <c r="D3" s="121">
        <f t="shared" si="1"/>
        <v>1.4825278</v>
      </c>
      <c r="E3" s="122"/>
      <c r="F3" s="122"/>
      <c r="G3" s="122"/>
      <c r="H3" s="123"/>
      <c r="I3" s="124"/>
      <c r="J3" s="118" t="s">
        <v>149</v>
      </c>
      <c r="K3" s="124"/>
      <c r="L3" s="118" t="s">
        <v>189</v>
      </c>
      <c r="M3" s="124"/>
      <c r="N3" s="118" t="s">
        <v>144</v>
      </c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</row>
    <row r="4">
      <c r="A4" s="104" t="s">
        <v>54</v>
      </c>
      <c r="B4" s="115">
        <v>0.71</v>
      </c>
      <c r="C4" s="115">
        <v>1.3</v>
      </c>
      <c r="D4" s="116">
        <f t="shared" si="1"/>
        <v>1.4024062</v>
      </c>
      <c r="E4" s="117"/>
      <c r="F4" s="117"/>
      <c r="G4" s="117"/>
      <c r="H4" s="117"/>
      <c r="J4" s="104" t="s">
        <v>166</v>
      </c>
      <c r="L4" s="104" t="s">
        <v>118</v>
      </c>
      <c r="N4" s="104" t="s">
        <v>40</v>
      </c>
    </row>
    <row r="5">
      <c r="A5" s="104" t="s">
        <v>69</v>
      </c>
      <c r="B5" s="115">
        <v>0.4</v>
      </c>
      <c r="C5" s="115">
        <v>1.0</v>
      </c>
      <c r="D5" s="116">
        <f t="shared" si="1"/>
        <v>0.3424</v>
      </c>
      <c r="E5" s="117"/>
      <c r="F5" s="117"/>
      <c r="G5" s="117"/>
      <c r="H5" s="117">
        <v>13.0</v>
      </c>
      <c r="J5" s="104" t="s">
        <v>19</v>
      </c>
      <c r="L5" s="104" t="s">
        <v>83</v>
      </c>
      <c r="N5" s="104" t="s">
        <v>124</v>
      </c>
    </row>
    <row r="6">
      <c r="A6" s="104" t="s">
        <v>25</v>
      </c>
      <c r="B6" s="115">
        <v>0.22</v>
      </c>
      <c r="C6" s="115">
        <v>1.0</v>
      </c>
      <c r="D6" s="116">
        <f t="shared" si="1"/>
        <v>0.103576</v>
      </c>
      <c r="E6" s="104"/>
      <c r="F6" s="104"/>
      <c r="G6" s="104"/>
      <c r="H6" s="117">
        <v>40.0</v>
      </c>
      <c r="J6" s="104" t="s">
        <v>65</v>
      </c>
      <c r="L6" s="104" t="s">
        <v>39</v>
      </c>
      <c r="N6" s="104" t="s">
        <v>46</v>
      </c>
    </row>
    <row r="7">
      <c r="A7" s="118" t="s">
        <v>183</v>
      </c>
      <c r="B7" s="119">
        <v>0.24</v>
      </c>
      <c r="C7" s="119">
        <v>1.2</v>
      </c>
      <c r="D7" s="121">
        <f t="shared" si="1"/>
        <v>0.1479168</v>
      </c>
      <c r="E7" s="122"/>
      <c r="F7" s="122"/>
      <c r="G7" s="122"/>
      <c r="H7" s="123">
        <v>40.0</v>
      </c>
      <c r="I7" s="124"/>
      <c r="J7" s="118" t="s">
        <v>193</v>
      </c>
      <c r="K7" s="124"/>
      <c r="L7" s="118" t="s">
        <v>103</v>
      </c>
      <c r="M7" s="124"/>
      <c r="N7" s="122" t="s">
        <v>46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</row>
    <row r="8">
      <c r="A8" s="118" t="s">
        <v>130</v>
      </c>
      <c r="B8" s="119">
        <v>0.73</v>
      </c>
      <c r="C8" s="120">
        <v>1.3</v>
      </c>
      <c r="D8" s="121">
        <f t="shared" si="1"/>
        <v>1.4825278</v>
      </c>
      <c r="E8" s="122"/>
      <c r="F8" s="122"/>
      <c r="G8" s="122"/>
      <c r="H8" s="123"/>
      <c r="I8" s="124"/>
      <c r="J8" s="104" t="s">
        <v>52</v>
      </c>
      <c r="K8" s="124"/>
      <c r="L8" s="122"/>
      <c r="M8" s="124"/>
      <c r="N8" s="118" t="s">
        <v>151</v>
      </c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  <c r="AD8" s="124"/>
      <c r="AE8" s="124"/>
    </row>
    <row r="9">
      <c r="A9" s="104" t="s">
        <v>33</v>
      </c>
      <c r="B9" s="115">
        <v>0.71</v>
      </c>
      <c r="C9" s="115">
        <v>1.3</v>
      </c>
      <c r="D9" s="121">
        <f t="shared" si="1"/>
        <v>1.4024062</v>
      </c>
      <c r="E9" s="117"/>
      <c r="F9" s="117"/>
      <c r="G9" s="117"/>
      <c r="H9" s="117">
        <v>7.0</v>
      </c>
      <c r="J9" s="122" t="s">
        <v>97</v>
      </c>
      <c r="N9" s="104" t="s">
        <v>85</v>
      </c>
    </row>
    <row r="10">
      <c r="A10" s="104" t="s">
        <v>70</v>
      </c>
      <c r="B10" s="115">
        <v>0.4</v>
      </c>
      <c r="C10" s="115">
        <v>1.0</v>
      </c>
      <c r="D10" s="121">
        <f t="shared" si="1"/>
        <v>0.3424</v>
      </c>
      <c r="E10" s="117"/>
      <c r="F10" s="117"/>
      <c r="G10" s="117"/>
      <c r="H10" s="117">
        <v>13.0</v>
      </c>
      <c r="J10" s="104" t="s">
        <v>168</v>
      </c>
      <c r="N10" s="104" t="s">
        <v>88</v>
      </c>
    </row>
    <row r="11">
      <c r="A11" s="104" t="s">
        <v>26</v>
      </c>
      <c r="B11" s="115">
        <v>0.22</v>
      </c>
      <c r="C11" s="115">
        <v>1.1</v>
      </c>
      <c r="D11" s="116">
        <f t="shared" si="1"/>
        <v>0.1139336</v>
      </c>
      <c r="E11" s="117"/>
      <c r="F11" s="117"/>
      <c r="G11" s="117"/>
      <c r="H11" s="117">
        <v>50.0</v>
      </c>
      <c r="J11" s="104" t="s">
        <v>158</v>
      </c>
      <c r="N11" s="104" t="s">
        <v>120</v>
      </c>
    </row>
    <row r="12">
      <c r="A12" s="118" t="s">
        <v>184</v>
      </c>
      <c r="B12" s="119">
        <v>0.24</v>
      </c>
      <c r="C12" s="119">
        <v>1.2</v>
      </c>
      <c r="D12" s="121">
        <f t="shared" si="1"/>
        <v>0.1479168</v>
      </c>
      <c r="E12" s="122"/>
      <c r="F12" s="122"/>
      <c r="G12" s="122"/>
      <c r="H12" s="123">
        <v>40.0</v>
      </c>
      <c r="I12" s="124"/>
      <c r="J12" s="122" t="s">
        <v>65</v>
      </c>
      <c r="K12" s="124"/>
      <c r="L12" s="118"/>
      <c r="M12" s="124"/>
      <c r="N12" s="122" t="s">
        <v>46</v>
      </c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  <c r="AD12" s="124"/>
      <c r="AE12" s="124"/>
    </row>
    <row r="13">
      <c r="A13" s="114" t="s">
        <v>243</v>
      </c>
      <c r="B13" s="115">
        <v>0.14</v>
      </c>
      <c r="C13" s="115">
        <v>0.9</v>
      </c>
      <c r="D13" s="116">
        <f t="shared" si="1"/>
        <v>0.0377496</v>
      </c>
      <c r="E13" s="28"/>
      <c r="F13" s="28"/>
      <c r="G13" s="28"/>
      <c r="H13" s="117">
        <v>27.0</v>
      </c>
      <c r="J13" s="104" t="s">
        <v>17</v>
      </c>
      <c r="N13" s="104" t="s">
        <v>128</v>
      </c>
    </row>
    <row r="14">
      <c r="A14" s="104" t="s">
        <v>73</v>
      </c>
      <c r="B14" s="115">
        <v>0.19</v>
      </c>
      <c r="C14" s="115">
        <v>1.0</v>
      </c>
      <c r="D14" s="116">
        <f t="shared" si="1"/>
        <v>0.077254</v>
      </c>
      <c r="E14" s="117"/>
      <c r="F14" s="117"/>
      <c r="G14" s="117"/>
      <c r="H14" s="117">
        <v>37.0</v>
      </c>
      <c r="J14" s="118" t="s">
        <v>136</v>
      </c>
      <c r="N14" s="104" t="s">
        <v>89</v>
      </c>
    </row>
    <row r="15">
      <c r="A15" s="114" t="s">
        <v>215</v>
      </c>
      <c r="B15" s="115">
        <v>0.16</v>
      </c>
      <c r="C15" s="115">
        <v>0.7</v>
      </c>
      <c r="D15" s="116">
        <f t="shared" si="1"/>
        <v>0.0383488</v>
      </c>
      <c r="E15" s="28"/>
      <c r="F15" s="28"/>
      <c r="G15" s="28"/>
      <c r="H15" s="117">
        <v>43.0</v>
      </c>
      <c r="J15" s="104" t="s">
        <v>146</v>
      </c>
      <c r="N15" s="104" t="s">
        <v>86</v>
      </c>
    </row>
    <row r="16">
      <c r="A16" s="125" t="s">
        <v>42</v>
      </c>
      <c r="B16" s="115">
        <v>0.9</v>
      </c>
      <c r="C16" s="115">
        <v>0.7</v>
      </c>
      <c r="D16" s="116">
        <f t="shared" si="1"/>
        <v>1.21338</v>
      </c>
      <c r="E16" s="28"/>
      <c r="F16" s="28"/>
      <c r="G16" s="28"/>
      <c r="H16" s="117">
        <v>100.0</v>
      </c>
      <c r="J16" s="104" t="s">
        <v>80</v>
      </c>
      <c r="N16" s="104" t="s">
        <v>84</v>
      </c>
    </row>
    <row r="17">
      <c r="A17" s="114" t="s">
        <v>231</v>
      </c>
      <c r="B17" s="115">
        <v>0.11</v>
      </c>
      <c r="C17" s="115">
        <v>0.7</v>
      </c>
      <c r="D17" s="116">
        <f t="shared" si="1"/>
        <v>0.0181258</v>
      </c>
      <c r="E17" s="28"/>
      <c r="F17" s="28"/>
      <c r="G17" s="28"/>
      <c r="H17" s="117">
        <v>100.0</v>
      </c>
      <c r="J17" s="104" t="s">
        <v>80</v>
      </c>
      <c r="N17" s="104" t="s">
        <v>84</v>
      </c>
    </row>
    <row r="18">
      <c r="A18" s="125" t="s">
        <v>221</v>
      </c>
      <c r="B18" s="115">
        <v>0.15</v>
      </c>
      <c r="C18" s="115">
        <v>0.6</v>
      </c>
      <c r="D18" s="116">
        <f t="shared" si="1"/>
        <v>0.02889</v>
      </c>
      <c r="E18" s="28"/>
      <c r="F18" s="28"/>
      <c r="G18" s="28"/>
      <c r="H18" s="117">
        <v>100.0</v>
      </c>
      <c r="J18" s="104" t="s">
        <v>172</v>
      </c>
      <c r="N18" s="104" t="s">
        <v>87</v>
      </c>
    </row>
    <row r="19">
      <c r="A19" s="125" t="s">
        <v>47</v>
      </c>
      <c r="B19" s="115">
        <v>0.22</v>
      </c>
      <c r="C19" s="115">
        <v>1.1</v>
      </c>
      <c r="D19" s="116">
        <f t="shared" si="1"/>
        <v>0.1139336</v>
      </c>
      <c r="E19" s="28"/>
      <c r="F19" s="28"/>
      <c r="G19" s="28"/>
      <c r="H19" s="117">
        <v>35.0</v>
      </c>
      <c r="J19" s="104" t="s">
        <v>23</v>
      </c>
      <c r="N19" s="104" t="s">
        <v>91</v>
      </c>
    </row>
    <row r="20">
      <c r="A20" s="125" t="s">
        <v>49</v>
      </c>
      <c r="B20" s="115">
        <v>0.17</v>
      </c>
      <c r="C20" s="115">
        <v>1.1</v>
      </c>
      <c r="D20" s="116">
        <f t="shared" si="1"/>
        <v>0.0680306</v>
      </c>
      <c r="E20" s="28"/>
      <c r="F20" s="28"/>
      <c r="G20" s="28"/>
      <c r="H20" s="117">
        <v>42.0</v>
      </c>
      <c r="J20" s="118" t="s">
        <v>165</v>
      </c>
      <c r="N20" s="104" t="s">
        <v>90</v>
      </c>
    </row>
    <row r="21">
      <c r="A21" s="114" t="s">
        <v>61</v>
      </c>
      <c r="B21" s="115">
        <v>0.1</v>
      </c>
      <c r="C21" s="115">
        <v>0.7</v>
      </c>
      <c r="D21" s="116">
        <f t="shared" si="1"/>
        <v>0.01498</v>
      </c>
      <c r="E21" s="28"/>
      <c r="F21" s="28"/>
      <c r="G21" s="28"/>
      <c r="H21" s="117">
        <v>112.0</v>
      </c>
      <c r="N21" s="104" t="s">
        <v>111</v>
      </c>
    </row>
    <row r="22">
      <c r="A22" s="114" t="s">
        <v>77</v>
      </c>
      <c r="B22" s="115">
        <v>0.075</v>
      </c>
      <c r="C22" s="115">
        <v>0.8</v>
      </c>
      <c r="D22" s="116">
        <f t="shared" si="1"/>
        <v>0.00963</v>
      </c>
      <c r="E22" s="28"/>
      <c r="F22" s="28"/>
      <c r="G22" s="28"/>
      <c r="H22" s="117">
        <v>120.0</v>
      </c>
      <c r="N22" s="104" t="s">
        <v>102</v>
      </c>
    </row>
    <row r="23">
      <c r="A23" s="114" t="s">
        <v>156</v>
      </c>
      <c r="B23" s="115">
        <v>0.2</v>
      </c>
      <c r="C23" s="115">
        <v>0.8</v>
      </c>
      <c r="D23" s="116">
        <f t="shared" si="1"/>
        <v>0.06848</v>
      </c>
      <c r="E23" s="28"/>
      <c r="F23" s="28"/>
      <c r="G23" s="28"/>
      <c r="H23" s="117">
        <v>25.0</v>
      </c>
      <c r="N23" s="104" t="s">
        <v>121</v>
      </c>
    </row>
    <row r="24">
      <c r="A24" s="125" t="s">
        <v>38</v>
      </c>
      <c r="B24" s="115">
        <v>0.19</v>
      </c>
      <c r="C24" s="115">
        <v>0.8</v>
      </c>
      <c r="D24" s="116">
        <f t="shared" si="1"/>
        <v>0.0618032</v>
      </c>
      <c r="E24" s="28"/>
      <c r="F24" s="28"/>
      <c r="G24" s="28"/>
      <c r="H24" s="117">
        <v>25.0</v>
      </c>
      <c r="N24" s="104" t="s">
        <v>177</v>
      </c>
    </row>
    <row r="25">
      <c r="A25" s="114" t="s">
        <v>152</v>
      </c>
      <c r="B25" s="115">
        <v>0.14</v>
      </c>
      <c r="C25" s="115">
        <v>0.9</v>
      </c>
      <c r="D25" s="116">
        <f t="shared" si="1"/>
        <v>0.0377496</v>
      </c>
      <c r="E25" s="28"/>
      <c r="F25" s="28"/>
      <c r="G25" s="28"/>
      <c r="H25" s="117">
        <v>45.0</v>
      </c>
      <c r="N25" s="104" t="s">
        <v>143</v>
      </c>
    </row>
    <row r="26">
      <c r="A26" s="114" t="s">
        <v>207</v>
      </c>
      <c r="B26" s="115">
        <v>0.11</v>
      </c>
      <c r="C26" s="115">
        <v>0.7</v>
      </c>
      <c r="D26" s="116">
        <f t="shared" si="1"/>
        <v>0.0181258</v>
      </c>
      <c r="E26" s="28"/>
      <c r="F26" s="28"/>
      <c r="G26" s="28"/>
      <c r="H26" s="117">
        <v>100.0</v>
      </c>
      <c r="N26" s="104" t="s">
        <v>106</v>
      </c>
    </row>
    <row r="27">
      <c r="A27" s="114" t="s">
        <v>98</v>
      </c>
      <c r="B27" s="115">
        <v>0.14</v>
      </c>
      <c r="C27" s="115">
        <v>0.9</v>
      </c>
      <c r="D27" s="116">
        <f>SUM(B27*C27*2.14)</f>
        <v>0.26964</v>
      </c>
      <c r="E27" s="28"/>
      <c r="F27" s="28"/>
      <c r="G27" s="28"/>
      <c r="H27" s="117">
        <v>100.0</v>
      </c>
      <c r="N27" s="104" t="s">
        <v>143</v>
      </c>
    </row>
    <row r="28">
      <c r="A28" s="125" t="s">
        <v>132</v>
      </c>
      <c r="B28" s="115">
        <v>0.11</v>
      </c>
      <c r="C28" s="115">
        <v>0.7</v>
      </c>
      <c r="D28" s="116">
        <f t="shared" ref="D28:D54" si="2">B28*B28*C28*2.14</f>
        <v>0.0181258</v>
      </c>
      <c r="E28" s="28"/>
      <c r="F28" s="28"/>
      <c r="G28" s="28"/>
      <c r="H28" s="117">
        <v>100.0</v>
      </c>
      <c r="N28" s="104" t="s">
        <v>170</v>
      </c>
    </row>
    <row r="29">
      <c r="A29" s="125" t="s">
        <v>72</v>
      </c>
      <c r="B29" s="115">
        <v>0.1</v>
      </c>
      <c r="C29" s="115">
        <v>0.8</v>
      </c>
      <c r="D29" s="116">
        <f t="shared" si="2"/>
        <v>0.01712</v>
      </c>
      <c r="E29" s="28"/>
      <c r="F29" s="28"/>
      <c r="G29" s="28"/>
      <c r="H29" s="117">
        <v>43.0</v>
      </c>
      <c r="N29" s="104" t="s">
        <v>173</v>
      </c>
    </row>
    <row r="30">
      <c r="A30" s="125" t="s">
        <v>55</v>
      </c>
      <c r="B30" s="115">
        <v>0.1</v>
      </c>
      <c r="C30" s="115">
        <v>0.8</v>
      </c>
      <c r="D30" s="116">
        <f t="shared" si="2"/>
        <v>0.01712</v>
      </c>
      <c r="E30" s="28"/>
      <c r="F30" s="28"/>
      <c r="G30" s="28"/>
      <c r="H30" s="117">
        <v>60.0</v>
      </c>
      <c r="N30" s="104" t="s">
        <v>104</v>
      </c>
    </row>
    <row r="31">
      <c r="A31" s="104" t="s">
        <v>94</v>
      </c>
      <c r="B31" s="115">
        <v>0.14</v>
      </c>
      <c r="C31" s="115">
        <v>0.9</v>
      </c>
      <c r="D31" s="116">
        <f t="shared" si="2"/>
        <v>0.0377496</v>
      </c>
      <c r="E31" s="117"/>
      <c r="F31" s="117"/>
      <c r="G31" s="117"/>
      <c r="H31" s="117">
        <v>100.0</v>
      </c>
      <c r="N31" s="104" t="s">
        <v>174</v>
      </c>
    </row>
    <row r="32">
      <c r="A32" s="114" t="s">
        <v>244</v>
      </c>
      <c r="B32" s="115">
        <v>0.19</v>
      </c>
      <c r="C32" s="115">
        <v>1.0</v>
      </c>
      <c r="D32" s="116">
        <f t="shared" si="2"/>
        <v>0.077254</v>
      </c>
      <c r="E32" s="28"/>
      <c r="F32" s="28"/>
      <c r="G32" s="28"/>
      <c r="H32" s="117">
        <v>37.0</v>
      </c>
      <c r="N32" s="122" t="s">
        <v>85</v>
      </c>
    </row>
    <row r="33">
      <c r="A33" s="125" t="s">
        <v>74</v>
      </c>
      <c r="B33" s="115">
        <v>0.9</v>
      </c>
      <c r="C33" s="115">
        <v>0.8</v>
      </c>
      <c r="D33" s="116">
        <f t="shared" si="2"/>
        <v>1.38672</v>
      </c>
      <c r="E33" s="28"/>
      <c r="F33" s="28"/>
      <c r="G33" s="28"/>
      <c r="H33" s="117">
        <v>60.0</v>
      </c>
      <c r="N33" s="118" t="s">
        <v>163</v>
      </c>
    </row>
    <row r="34">
      <c r="A34" s="114" t="s">
        <v>56</v>
      </c>
      <c r="B34" s="115">
        <v>0.075</v>
      </c>
      <c r="C34" s="115">
        <v>0.8</v>
      </c>
      <c r="D34" s="116">
        <f t="shared" si="2"/>
        <v>0.00963</v>
      </c>
      <c r="E34" s="28"/>
      <c r="F34" s="28"/>
      <c r="G34" s="28"/>
      <c r="H34" s="117">
        <v>162.0</v>
      </c>
    </row>
    <row r="35">
      <c r="A35" s="118" t="s">
        <v>71</v>
      </c>
      <c r="B35" s="120">
        <v>0.71</v>
      </c>
      <c r="C35" s="120">
        <v>1.3</v>
      </c>
      <c r="D35" s="121">
        <f t="shared" si="2"/>
        <v>1.4024062</v>
      </c>
      <c r="E35" s="122"/>
      <c r="F35" s="122"/>
      <c r="G35" s="122"/>
      <c r="H35" s="123">
        <v>7.0</v>
      </c>
      <c r="I35" s="124"/>
      <c r="K35" s="124"/>
      <c r="M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</row>
    <row r="36">
      <c r="A36" s="118" t="s">
        <v>159</v>
      </c>
      <c r="B36" s="119">
        <v>0.73</v>
      </c>
      <c r="C36" s="120">
        <v>1.3</v>
      </c>
      <c r="D36" s="121">
        <f t="shared" si="2"/>
        <v>1.4825278</v>
      </c>
      <c r="E36" s="122"/>
      <c r="F36" s="122"/>
      <c r="G36" s="122"/>
      <c r="H36" s="126">
        <v>8.0</v>
      </c>
      <c r="I36" s="124"/>
      <c r="K36" s="124"/>
      <c r="L36" s="122"/>
      <c r="M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>
      <c r="A37" s="127" t="s">
        <v>22</v>
      </c>
      <c r="B37" s="115">
        <v>0.51</v>
      </c>
      <c r="C37" s="115">
        <v>1.1</v>
      </c>
      <c r="D37" s="116">
        <f t="shared" si="2"/>
        <v>0.6122754</v>
      </c>
      <c r="E37" s="117"/>
      <c r="F37" s="117"/>
      <c r="G37" s="117"/>
      <c r="H37" s="117">
        <v>15.0</v>
      </c>
    </row>
    <row r="38">
      <c r="A38" s="127" t="s">
        <v>32</v>
      </c>
      <c r="B38" s="115">
        <v>0.51</v>
      </c>
      <c r="C38" s="115">
        <v>1.1</v>
      </c>
      <c r="D38" s="116">
        <f t="shared" si="2"/>
        <v>0.6122754</v>
      </c>
      <c r="E38" s="117"/>
      <c r="F38" s="117"/>
      <c r="G38" s="117"/>
      <c r="H38" s="117">
        <v>10.0</v>
      </c>
    </row>
    <row r="39">
      <c r="A39" s="104" t="s">
        <v>18</v>
      </c>
      <c r="B39" s="115">
        <v>0.37</v>
      </c>
      <c r="C39" s="115">
        <v>1.0</v>
      </c>
      <c r="D39" s="116">
        <f t="shared" si="2"/>
        <v>0.292966</v>
      </c>
      <c r="E39" s="117"/>
      <c r="F39" s="117"/>
      <c r="G39" s="117"/>
      <c r="H39" s="117">
        <v>21.0</v>
      </c>
    </row>
    <row r="40">
      <c r="A40" s="104" t="s">
        <v>60</v>
      </c>
      <c r="B40" s="115">
        <v>0.39</v>
      </c>
      <c r="C40" s="115">
        <v>1.0</v>
      </c>
      <c r="D40" s="116">
        <f t="shared" si="2"/>
        <v>0.325494</v>
      </c>
      <c r="E40" s="117"/>
      <c r="F40" s="117"/>
      <c r="G40" s="117"/>
      <c r="H40" s="117">
        <v>15.0</v>
      </c>
    </row>
    <row r="41">
      <c r="A41" s="127" t="s">
        <v>30</v>
      </c>
      <c r="B41" s="115">
        <v>0.3</v>
      </c>
      <c r="C41" s="115">
        <v>1.1</v>
      </c>
      <c r="D41" s="116">
        <f t="shared" si="2"/>
        <v>0.21186</v>
      </c>
      <c r="E41" s="28"/>
      <c r="F41" s="28"/>
      <c r="G41" s="28"/>
      <c r="H41" s="117">
        <v>14.0</v>
      </c>
    </row>
    <row r="42">
      <c r="A42" s="104" t="s">
        <v>96</v>
      </c>
      <c r="B42" s="115">
        <v>0.2</v>
      </c>
      <c r="C42" s="115">
        <v>1.1</v>
      </c>
      <c r="D42" s="116">
        <f t="shared" si="2"/>
        <v>0.09416</v>
      </c>
      <c r="E42" s="28"/>
      <c r="F42" s="28"/>
      <c r="G42" s="28"/>
      <c r="H42" s="117">
        <v>27.0</v>
      </c>
    </row>
    <row r="43">
      <c r="A43" s="104" t="s">
        <v>63</v>
      </c>
      <c r="B43" s="128"/>
      <c r="C43" s="128"/>
      <c r="D43" s="116">
        <f t="shared" si="2"/>
        <v>0</v>
      </c>
      <c r="E43" s="28"/>
      <c r="F43" s="28"/>
      <c r="G43" s="28"/>
      <c r="H43" s="28"/>
    </row>
    <row r="44">
      <c r="A44" s="125" t="s">
        <v>44</v>
      </c>
      <c r="B44" s="115">
        <v>0.28</v>
      </c>
      <c r="C44" s="115">
        <v>1.1</v>
      </c>
      <c r="D44" s="116">
        <f t="shared" si="2"/>
        <v>0.1845536</v>
      </c>
      <c r="E44" s="28"/>
      <c r="F44" s="28"/>
      <c r="G44" s="28"/>
      <c r="H44" s="117">
        <v>15.0</v>
      </c>
    </row>
    <row r="45">
      <c r="A45" s="125" t="s">
        <v>245</v>
      </c>
      <c r="B45" s="115">
        <v>0.14</v>
      </c>
      <c r="C45" s="115">
        <v>0.9</v>
      </c>
      <c r="D45" s="116">
        <f t="shared" si="2"/>
        <v>0.0377496</v>
      </c>
      <c r="E45" s="28"/>
      <c r="F45" s="28"/>
      <c r="G45" s="28"/>
      <c r="H45" s="117">
        <v>62.0</v>
      </c>
    </row>
    <row r="46">
      <c r="A46" s="125" t="s">
        <v>21</v>
      </c>
      <c r="B46" s="115">
        <v>0.22</v>
      </c>
      <c r="C46" s="115">
        <v>1.1</v>
      </c>
      <c r="D46" s="116">
        <f t="shared" si="2"/>
        <v>0.1139336</v>
      </c>
      <c r="E46" s="28"/>
      <c r="F46" s="28"/>
      <c r="G46" s="28"/>
      <c r="H46" s="117">
        <v>33.0</v>
      </c>
    </row>
    <row r="47">
      <c r="A47" s="127" t="s">
        <v>24</v>
      </c>
      <c r="B47" s="115">
        <v>0.22</v>
      </c>
      <c r="C47" s="115">
        <v>1.1</v>
      </c>
      <c r="D47" s="116">
        <f t="shared" si="2"/>
        <v>0.1139336</v>
      </c>
      <c r="E47" s="28"/>
      <c r="F47" s="28"/>
      <c r="G47" s="28"/>
      <c r="H47" s="117">
        <v>37.0</v>
      </c>
    </row>
    <row r="48">
      <c r="A48" s="125" t="s">
        <v>62</v>
      </c>
      <c r="B48" s="115">
        <v>0.19</v>
      </c>
      <c r="C48" s="115">
        <v>1.1</v>
      </c>
      <c r="D48" s="116">
        <f t="shared" si="2"/>
        <v>0.0849794</v>
      </c>
      <c r="E48" s="28"/>
      <c r="F48" s="28"/>
      <c r="G48" s="28"/>
      <c r="H48" s="117">
        <v>14.0</v>
      </c>
    </row>
    <row r="49">
      <c r="A49" s="114" t="s">
        <v>218</v>
      </c>
      <c r="B49" s="115">
        <v>0.11</v>
      </c>
      <c r="C49" s="115">
        <v>0.7</v>
      </c>
      <c r="D49" s="116">
        <f t="shared" si="2"/>
        <v>0.0181258</v>
      </c>
      <c r="E49" s="28"/>
      <c r="F49" s="28"/>
      <c r="G49" s="28"/>
      <c r="H49" s="117">
        <v>14.0</v>
      </c>
    </row>
    <row r="50">
      <c r="A50" s="114" t="s">
        <v>229</v>
      </c>
      <c r="B50" s="129">
        <v>0.15</v>
      </c>
      <c r="C50" s="115">
        <v>1.1</v>
      </c>
      <c r="D50" s="116">
        <f t="shared" si="2"/>
        <v>0.052965</v>
      </c>
      <c r="E50" s="28"/>
      <c r="F50" s="28"/>
      <c r="G50" s="28"/>
      <c r="H50" s="117">
        <v>65.0</v>
      </c>
    </row>
    <row r="51">
      <c r="A51" s="114" t="s">
        <v>234</v>
      </c>
      <c r="B51" s="129">
        <v>0.15</v>
      </c>
      <c r="C51" s="115">
        <v>1.1</v>
      </c>
      <c r="D51" s="116">
        <f t="shared" si="2"/>
        <v>0.052965</v>
      </c>
      <c r="E51" s="28"/>
      <c r="F51" s="28"/>
      <c r="G51" s="28"/>
      <c r="H51" s="117">
        <v>65.0</v>
      </c>
    </row>
    <row r="52">
      <c r="A52" s="125" t="s">
        <v>92</v>
      </c>
      <c r="B52" s="129">
        <v>0.13</v>
      </c>
      <c r="C52" s="115">
        <v>0.7</v>
      </c>
      <c r="D52" s="116">
        <f t="shared" si="2"/>
        <v>0.0253162</v>
      </c>
      <c r="E52" s="28"/>
      <c r="F52" s="28"/>
      <c r="G52" s="28"/>
      <c r="H52" s="117">
        <v>100.0</v>
      </c>
    </row>
    <row r="53">
      <c r="A53" s="114" t="s">
        <v>222</v>
      </c>
      <c r="B53" s="129">
        <v>0.13</v>
      </c>
      <c r="C53" s="115">
        <v>0.8</v>
      </c>
      <c r="D53" s="116">
        <f t="shared" si="2"/>
        <v>0.0289328</v>
      </c>
      <c r="E53" s="28"/>
      <c r="F53" s="28"/>
      <c r="G53" s="28"/>
      <c r="H53" s="117">
        <v>100.0</v>
      </c>
    </row>
    <row r="54">
      <c r="A54" s="114" t="s">
        <v>224</v>
      </c>
      <c r="B54" s="115">
        <v>0.2</v>
      </c>
      <c r="C54" s="115">
        <v>1.1</v>
      </c>
      <c r="D54" s="116">
        <f t="shared" si="2"/>
        <v>0.09416</v>
      </c>
      <c r="E54" s="28"/>
      <c r="F54" s="28"/>
      <c r="G54" s="28"/>
      <c r="H54" s="117">
        <v>75.0</v>
      </c>
    </row>
    <row r="55">
      <c r="A55" s="114" t="s">
        <v>225</v>
      </c>
      <c r="B55" s="115"/>
      <c r="C55" s="115"/>
      <c r="D55" s="116"/>
      <c r="E55" s="28"/>
      <c r="F55" s="28"/>
      <c r="G55" s="28"/>
      <c r="H55" s="117"/>
    </row>
    <row r="56">
      <c r="A56" s="114" t="s">
        <v>226</v>
      </c>
      <c r="B56" s="115"/>
      <c r="C56" s="115"/>
      <c r="D56" s="116"/>
      <c r="E56" s="28"/>
      <c r="F56" s="28"/>
      <c r="G56" s="28"/>
      <c r="H56" s="117"/>
    </row>
    <row r="57">
      <c r="A57" s="114" t="s">
        <v>219</v>
      </c>
      <c r="B57" s="129">
        <v>0.23</v>
      </c>
      <c r="C57" s="115">
        <v>0.9</v>
      </c>
      <c r="D57" s="116">
        <f>B57*B57*C57*2.14</f>
        <v>0.1018854</v>
      </c>
      <c r="E57" s="28"/>
      <c r="F57" s="28"/>
      <c r="G57" s="28"/>
      <c r="H57" s="117">
        <v>130.0</v>
      </c>
    </row>
    <row r="58">
      <c r="A58" s="114" t="s">
        <v>223</v>
      </c>
      <c r="B58" s="129"/>
      <c r="C58" s="115"/>
      <c r="D58" s="116"/>
      <c r="E58" s="28"/>
      <c r="F58" s="28"/>
      <c r="G58" s="28"/>
      <c r="H58" s="117"/>
    </row>
    <row r="59">
      <c r="A59" s="125" t="s">
        <v>246</v>
      </c>
      <c r="B59" s="115">
        <v>0.26</v>
      </c>
      <c r="C59" s="115">
        <v>0.9</v>
      </c>
      <c r="D59" s="116">
        <f t="shared" ref="D59:D92" si="3">B59*B59*C59*2.14</f>
        <v>0.1301976</v>
      </c>
      <c r="E59" s="28"/>
      <c r="F59" s="28"/>
      <c r="G59" s="28"/>
      <c r="H59" s="117">
        <v>75.0</v>
      </c>
    </row>
    <row r="60">
      <c r="A60" s="114" t="s">
        <v>227</v>
      </c>
      <c r="B60" s="115">
        <v>0.26</v>
      </c>
      <c r="C60" s="115">
        <v>0.9</v>
      </c>
      <c r="D60" s="116">
        <f t="shared" si="3"/>
        <v>0.1301976</v>
      </c>
      <c r="E60" s="28"/>
      <c r="F60" s="28"/>
      <c r="G60" s="28"/>
      <c r="H60" s="117">
        <v>75.0</v>
      </c>
    </row>
    <row r="61">
      <c r="A61" s="125" t="s">
        <v>247</v>
      </c>
      <c r="B61" s="115">
        <v>0.28</v>
      </c>
      <c r="C61" s="115">
        <v>1.1</v>
      </c>
      <c r="D61" s="116">
        <f t="shared" si="3"/>
        <v>0.1845536</v>
      </c>
      <c r="E61" s="28"/>
      <c r="F61" s="28"/>
      <c r="G61" s="28"/>
      <c r="H61" s="117">
        <v>75.0</v>
      </c>
    </row>
    <row r="62">
      <c r="A62" s="125" t="s">
        <v>200</v>
      </c>
      <c r="B62" s="115">
        <v>0.43</v>
      </c>
      <c r="C62" s="115">
        <v>1.0</v>
      </c>
      <c r="D62" s="116">
        <f t="shared" si="3"/>
        <v>0.395686</v>
      </c>
      <c r="E62" s="28"/>
      <c r="F62" s="28"/>
      <c r="G62" s="28"/>
      <c r="H62" s="117">
        <v>37.0</v>
      </c>
    </row>
    <row r="63">
      <c r="A63" s="125" t="s">
        <v>57</v>
      </c>
      <c r="B63" s="115">
        <v>0.1</v>
      </c>
      <c r="C63" s="115">
        <v>0.8</v>
      </c>
      <c r="D63" s="116">
        <f t="shared" si="3"/>
        <v>0.01712</v>
      </c>
      <c r="E63" s="28"/>
      <c r="F63" s="28"/>
      <c r="G63" s="28"/>
      <c r="H63" s="117">
        <v>100.0</v>
      </c>
    </row>
    <row r="64">
      <c r="A64" s="114" t="s">
        <v>126</v>
      </c>
      <c r="B64" s="129">
        <v>0.15</v>
      </c>
      <c r="C64" s="115">
        <v>1.1</v>
      </c>
      <c r="D64" s="116">
        <f t="shared" si="3"/>
        <v>0.052965</v>
      </c>
      <c r="E64" s="28"/>
      <c r="F64" s="28"/>
      <c r="G64" s="28"/>
      <c r="H64" s="117">
        <v>100.0</v>
      </c>
    </row>
    <row r="65">
      <c r="A65" s="125" t="s">
        <v>16</v>
      </c>
      <c r="B65" s="115">
        <v>0.13</v>
      </c>
      <c r="C65" s="115">
        <v>0.8</v>
      </c>
      <c r="D65" s="116">
        <f t="shared" si="3"/>
        <v>0.0289328</v>
      </c>
      <c r="E65" s="28"/>
      <c r="F65" s="28"/>
      <c r="G65" s="28"/>
      <c r="H65" s="117">
        <v>150.0</v>
      </c>
    </row>
    <row r="66">
      <c r="A66" s="127" t="s">
        <v>29</v>
      </c>
      <c r="B66" s="115">
        <v>0.54</v>
      </c>
      <c r="C66" s="115">
        <v>1.4</v>
      </c>
      <c r="D66" s="116">
        <f t="shared" si="3"/>
        <v>0.8736336</v>
      </c>
      <c r="E66" s="28"/>
      <c r="F66" s="28"/>
      <c r="G66" s="28"/>
      <c r="H66" s="117">
        <v>12.0</v>
      </c>
    </row>
    <row r="67">
      <c r="A67" s="125" t="s">
        <v>167</v>
      </c>
      <c r="B67" s="115">
        <v>0.19</v>
      </c>
      <c r="C67" s="115">
        <v>0.8</v>
      </c>
      <c r="D67" s="116">
        <f t="shared" si="3"/>
        <v>0.0618032</v>
      </c>
      <c r="E67" s="28"/>
      <c r="F67" s="28"/>
      <c r="G67" s="28"/>
      <c r="H67" s="117">
        <v>25.0</v>
      </c>
    </row>
    <row r="68">
      <c r="A68" s="125" t="s">
        <v>248</v>
      </c>
      <c r="B68" s="115">
        <v>0.25</v>
      </c>
      <c r="C68" s="115">
        <v>1.05</v>
      </c>
      <c r="D68" s="116">
        <f t="shared" si="3"/>
        <v>0.1404375</v>
      </c>
      <c r="E68" s="28"/>
      <c r="F68" s="28"/>
      <c r="G68" s="28"/>
      <c r="H68" s="117">
        <v>25.0</v>
      </c>
    </row>
    <row r="69">
      <c r="A69" s="125" t="s">
        <v>249</v>
      </c>
      <c r="B69" s="128"/>
      <c r="C69" s="128"/>
      <c r="D69" s="116">
        <f t="shared" si="3"/>
        <v>0</v>
      </c>
      <c r="E69" s="28"/>
      <c r="F69" s="28"/>
      <c r="G69" s="28"/>
      <c r="H69" s="28"/>
    </row>
    <row r="70">
      <c r="A70" s="125" t="s">
        <v>180</v>
      </c>
      <c r="B70" s="128"/>
      <c r="C70" s="128"/>
      <c r="D70" s="116">
        <f t="shared" si="3"/>
        <v>0</v>
      </c>
      <c r="E70" s="28"/>
      <c r="F70" s="28"/>
      <c r="G70" s="28"/>
      <c r="H70" s="28"/>
    </row>
    <row r="71">
      <c r="A71" s="125" t="s">
        <v>123</v>
      </c>
      <c r="B71" s="128"/>
      <c r="C71" s="128"/>
      <c r="D71" s="116">
        <f t="shared" si="3"/>
        <v>0</v>
      </c>
      <c r="E71" s="28"/>
      <c r="F71" s="28"/>
      <c r="G71" s="28"/>
      <c r="H71" s="28"/>
    </row>
    <row r="72">
      <c r="A72" s="125" t="s">
        <v>209</v>
      </c>
      <c r="B72" s="115">
        <v>0.2</v>
      </c>
      <c r="C72" s="115">
        <v>0.8</v>
      </c>
      <c r="D72" s="116">
        <f t="shared" si="3"/>
        <v>0.06848</v>
      </c>
      <c r="E72" s="28"/>
      <c r="F72" s="28"/>
      <c r="G72" s="28"/>
      <c r="H72" s="117">
        <v>25.0</v>
      </c>
    </row>
    <row r="73">
      <c r="A73" s="125" t="s">
        <v>250</v>
      </c>
      <c r="B73" s="115">
        <v>0.36</v>
      </c>
      <c r="C73" s="115">
        <v>0.1</v>
      </c>
      <c r="D73" s="116">
        <f t="shared" si="3"/>
        <v>0.0277344</v>
      </c>
      <c r="E73" s="28"/>
      <c r="F73" s="28"/>
      <c r="G73" s="28"/>
      <c r="H73" s="117">
        <v>31.0</v>
      </c>
    </row>
    <row r="74">
      <c r="A74" s="125" t="s">
        <v>157</v>
      </c>
      <c r="B74" s="115">
        <v>0.22</v>
      </c>
      <c r="C74" s="115">
        <v>1.1</v>
      </c>
      <c r="D74" s="116">
        <f t="shared" si="3"/>
        <v>0.1139336</v>
      </c>
      <c r="E74" s="28"/>
      <c r="F74" s="28"/>
      <c r="G74" s="28"/>
      <c r="H74" s="117">
        <v>37.0</v>
      </c>
    </row>
    <row r="75">
      <c r="A75" s="125" t="s">
        <v>205</v>
      </c>
      <c r="B75" s="115">
        <v>0.13</v>
      </c>
      <c r="C75" s="115">
        <v>0.8</v>
      </c>
      <c r="D75" s="116">
        <f t="shared" si="3"/>
        <v>0.0289328</v>
      </c>
      <c r="E75" s="28"/>
      <c r="F75" s="28"/>
      <c r="G75" s="28"/>
      <c r="H75" s="117">
        <v>50.0</v>
      </c>
    </row>
    <row r="76">
      <c r="A76" s="130" t="s">
        <v>211</v>
      </c>
      <c r="B76" s="120">
        <v>0.13</v>
      </c>
      <c r="C76" s="120">
        <v>0.8</v>
      </c>
      <c r="D76" s="121">
        <f t="shared" si="3"/>
        <v>0.0289328</v>
      </c>
      <c r="E76" s="124"/>
      <c r="F76" s="124"/>
      <c r="G76" s="124"/>
      <c r="H76" s="123">
        <v>50.0</v>
      </c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  <c r="AD76" s="124"/>
      <c r="AE76" s="124"/>
    </row>
    <row r="77">
      <c r="A77" s="127" t="s">
        <v>28</v>
      </c>
      <c r="B77" s="115">
        <v>0.22</v>
      </c>
      <c r="C77" s="115">
        <v>1.1</v>
      </c>
      <c r="D77" s="116">
        <f t="shared" si="3"/>
        <v>0.1139336</v>
      </c>
      <c r="E77" s="28"/>
      <c r="F77" s="28"/>
      <c r="G77" s="28"/>
      <c r="H77" s="117">
        <v>25.0</v>
      </c>
    </row>
    <row r="78">
      <c r="A78" s="104" t="s">
        <v>204</v>
      </c>
      <c r="B78" s="115">
        <v>0.4</v>
      </c>
      <c r="C78" s="115">
        <v>1.0</v>
      </c>
      <c r="D78" s="116">
        <f t="shared" si="3"/>
        <v>0.3424</v>
      </c>
      <c r="E78" s="28"/>
      <c r="F78" s="28"/>
      <c r="G78" s="28"/>
      <c r="H78" s="117">
        <v>25.0</v>
      </c>
    </row>
    <row r="79">
      <c r="A79" s="104" t="s">
        <v>78</v>
      </c>
      <c r="B79" s="115">
        <v>0.39</v>
      </c>
      <c r="C79" s="115">
        <v>1.0</v>
      </c>
      <c r="D79" s="116">
        <f t="shared" si="3"/>
        <v>0.325494</v>
      </c>
      <c r="E79" s="28"/>
      <c r="F79" s="28"/>
      <c r="G79" s="28"/>
      <c r="H79" s="117">
        <v>25.0</v>
      </c>
    </row>
    <row r="80">
      <c r="A80" s="125" t="s">
        <v>117</v>
      </c>
      <c r="B80" s="115">
        <v>0.28</v>
      </c>
      <c r="C80" s="115">
        <v>1.3</v>
      </c>
      <c r="D80" s="116">
        <f t="shared" si="3"/>
        <v>0.2181088</v>
      </c>
      <c r="E80" s="28"/>
      <c r="F80" s="28"/>
      <c r="G80" s="28"/>
      <c r="H80" s="117">
        <v>12.0</v>
      </c>
    </row>
    <row r="81">
      <c r="A81" s="125" t="s">
        <v>58</v>
      </c>
      <c r="B81" s="115">
        <v>0.22</v>
      </c>
      <c r="C81" s="115">
        <v>1.1</v>
      </c>
      <c r="D81" s="116">
        <f t="shared" si="3"/>
        <v>0.1139336</v>
      </c>
      <c r="E81" s="28"/>
      <c r="F81" s="28"/>
      <c r="G81" s="28"/>
      <c r="H81" s="117">
        <v>31.0</v>
      </c>
    </row>
    <row r="82">
      <c r="A82" s="125" t="s">
        <v>116</v>
      </c>
      <c r="B82" s="115">
        <v>0.36</v>
      </c>
      <c r="C82" s="115">
        <v>1.0</v>
      </c>
      <c r="D82" s="116">
        <f t="shared" si="3"/>
        <v>0.277344</v>
      </c>
      <c r="E82" s="28"/>
      <c r="F82" s="28"/>
      <c r="G82" s="28"/>
      <c r="H82" s="117">
        <v>15.0</v>
      </c>
    </row>
    <row r="83">
      <c r="A83" s="125" t="s">
        <v>115</v>
      </c>
      <c r="B83" s="115">
        <v>0.37</v>
      </c>
      <c r="C83" s="115">
        <v>1.0</v>
      </c>
      <c r="D83" s="116">
        <f t="shared" si="3"/>
        <v>0.292966</v>
      </c>
      <c r="E83" s="28"/>
      <c r="F83" s="28"/>
      <c r="G83" s="28"/>
      <c r="H83" s="117">
        <v>12.0</v>
      </c>
    </row>
    <row r="84">
      <c r="A84" s="130" t="s">
        <v>196</v>
      </c>
      <c r="B84" s="119">
        <v>0.18</v>
      </c>
      <c r="C84" s="119">
        <v>0.9</v>
      </c>
      <c r="D84" s="121">
        <f t="shared" si="3"/>
        <v>0.0624024</v>
      </c>
      <c r="E84" s="124"/>
      <c r="F84" s="124"/>
      <c r="G84" s="124"/>
      <c r="H84" s="123">
        <v>15.0</v>
      </c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  <c r="AD84" s="124"/>
      <c r="AE84" s="124"/>
    </row>
    <row r="85">
      <c r="A85" s="114" t="s">
        <v>197</v>
      </c>
      <c r="B85" s="115">
        <v>0.23</v>
      </c>
      <c r="C85" s="115">
        <v>1.0</v>
      </c>
      <c r="D85" s="116">
        <f t="shared" si="3"/>
        <v>0.113206</v>
      </c>
      <c r="E85" s="28"/>
      <c r="F85" s="28"/>
      <c r="G85" s="28"/>
      <c r="H85" s="117">
        <v>15.0</v>
      </c>
    </row>
    <row r="86">
      <c r="A86" s="114" t="s">
        <v>179</v>
      </c>
      <c r="B86" s="115">
        <v>0.28</v>
      </c>
      <c r="C86" s="115">
        <v>1.0</v>
      </c>
      <c r="D86" s="116">
        <f t="shared" si="3"/>
        <v>0.167776</v>
      </c>
      <c r="E86" s="28"/>
      <c r="F86" s="28"/>
      <c r="G86" s="28"/>
      <c r="H86" s="117">
        <v>15.0</v>
      </c>
    </row>
    <row r="87">
      <c r="A87" s="114" t="s">
        <v>213</v>
      </c>
      <c r="B87" s="115">
        <v>0.33</v>
      </c>
      <c r="C87" s="115">
        <v>1.0</v>
      </c>
      <c r="D87" s="116">
        <f t="shared" si="3"/>
        <v>0.233046</v>
      </c>
      <c r="E87" s="28"/>
      <c r="F87" s="28"/>
      <c r="G87" s="28"/>
      <c r="H87" s="117">
        <v>15.0</v>
      </c>
    </row>
    <row r="88">
      <c r="A88" s="114" t="s">
        <v>199</v>
      </c>
      <c r="B88" s="115">
        <v>0.38</v>
      </c>
      <c r="C88" s="115">
        <v>1.0</v>
      </c>
      <c r="D88" s="116">
        <f t="shared" si="3"/>
        <v>0.309016</v>
      </c>
      <c r="E88" s="28"/>
      <c r="F88" s="28"/>
      <c r="G88" s="28"/>
      <c r="H88" s="117">
        <v>15.0</v>
      </c>
    </row>
    <row r="89">
      <c r="A89" s="130" t="s">
        <v>251</v>
      </c>
      <c r="B89" s="119">
        <v>0.43</v>
      </c>
      <c r="C89" s="120">
        <v>1.0</v>
      </c>
      <c r="D89" s="121">
        <f t="shared" si="3"/>
        <v>0.395686</v>
      </c>
      <c r="E89" s="124"/>
      <c r="F89" s="124"/>
      <c r="G89" s="124"/>
      <c r="H89" s="123">
        <v>15.0</v>
      </c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  <c r="AD89" s="124"/>
      <c r="AE89" s="124"/>
    </row>
    <row r="90">
      <c r="A90" s="125" t="s">
        <v>75</v>
      </c>
      <c r="B90" s="115">
        <v>0.22</v>
      </c>
      <c r="C90" s="115">
        <v>1.1</v>
      </c>
      <c r="D90" s="116">
        <f t="shared" si="3"/>
        <v>0.1139336</v>
      </c>
      <c r="E90" s="28"/>
      <c r="F90" s="28"/>
      <c r="G90" s="28"/>
      <c r="H90" s="117">
        <v>23.0</v>
      </c>
    </row>
    <row r="91">
      <c r="A91" s="125" t="s">
        <v>51</v>
      </c>
      <c r="B91" s="115">
        <v>0.22</v>
      </c>
      <c r="C91" s="115">
        <v>1.1</v>
      </c>
      <c r="D91" s="116">
        <f t="shared" si="3"/>
        <v>0.1139336</v>
      </c>
      <c r="E91" s="28"/>
      <c r="F91" s="28"/>
      <c r="G91" s="28"/>
      <c r="H91" s="117">
        <v>28.0</v>
      </c>
    </row>
    <row r="92">
      <c r="A92" s="114" t="s">
        <v>127</v>
      </c>
      <c r="B92" s="128"/>
      <c r="C92" s="128"/>
      <c r="D92" s="116">
        <f t="shared" si="3"/>
        <v>0</v>
      </c>
      <c r="E92" s="28"/>
      <c r="F92" s="28"/>
      <c r="G92" s="28"/>
      <c r="H92" s="28"/>
    </row>
    <row r="93">
      <c r="A93" s="114" t="s">
        <v>202</v>
      </c>
      <c r="B93" s="128"/>
      <c r="C93" s="128"/>
      <c r="D93" s="116"/>
      <c r="E93" s="28"/>
      <c r="F93" s="28"/>
      <c r="G93" s="28"/>
      <c r="H93" s="28"/>
    </row>
    <row r="94">
      <c r="A94" s="114" t="s">
        <v>142</v>
      </c>
      <c r="B94" s="128"/>
      <c r="C94" s="128"/>
      <c r="D94" s="116">
        <f t="shared" ref="D94:D95" si="4">B94*B94*C94*2.14</f>
        <v>0</v>
      </c>
      <c r="E94" s="28"/>
      <c r="F94" s="28"/>
      <c r="G94" s="28"/>
      <c r="H94" s="28"/>
    </row>
    <row r="95">
      <c r="A95" s="114" t="s">
        <v>164</v>
      </c>
      <c r="B95" s="128"/>
      <c r="C95" s="128"/>
      <c r="D95" s="116">
        <f t="shared" si="4"/>
        <v>0</v>
      </c>
      <c r="E95" s="28"/>
      <c r="F95" s="28"/>
      <c r="G95" s="28"/>
      <c r="H95" s="28"/>
    </row>
    <row r="96">
      <c r="A96" s="114" t="s">
        <v>191</v>
      </c>
      <c r="B96" s="128"/>
      <c r="C96" s="128"/>
      <c r="D96" s="116"/>
      <c r="E96" s="28"/>
      <c r="F96" s="28"/>
      <c r="G96" s="28"/>
      <c r="H96" s="28"/>
    </row>
    <row r="97">
      <c r="A97" s="114" t="s">
        <v>176</v>
      </c>
      <c r="B97" s="128"/>
      <c r="C97" s="128"/>
      <c r="D97" s="116"/>
      <c r="E97" s="28"/>
      <c r="F97" s="28"/>
      <c r="G97" s="28"/>
      <c r="H97" s="28"/>
    </row>
    <row r="98">
      <c r="A98" s="114" t="s">
        <v>64</v>
      </c>
      <c r="B98" s="115">
        <v>0.33</v>
      </c>
      <c r="C98" s="115">
        <v>1.0</v>
      </c>
      <c r="D98" s="116">
        <f t="shared" ref="D98:D123" si="5">B98*B98*C98*2.14</f>
        <v>0.233046</v>
      </c>
      <c r="E98" s="28"/>
      <c r="F98" s="28"/>
      <c r="G98" s="28"/>
      <c r="H98" s="117">
        <v>21.0</v>
      </c>
    </row>
    <row r="99">
      <c r="A99" s="114" t="s">
        <v>252</v>
      </c>
      <c r="B99" s="115">
        <v>0.39</v>
      </c>
      <c r="C99" s="115">
        <v>1.0</v>
      </c>
      <c r="D99" s="116">
        <f t="shared" si="5"/>
        <v>0.325494</v>
      </c>
      <c r="E99" s="28"/>
      <c r="F99" s="28"/>
      <c r="G99" s="28"/>
      <c r="H99" s="117">
        <v>15.0</v>
      </c>
    </row>
    <row r="100">
      <c r="A100" s="114" t="s">
        <v>160</v>
      </c>
      <c r="B100" s="115">
        <v>0.36</v>
      </c>
      <c r="C100" s="115">
        <v>1.0</v>
      </c>
      <c r="D100" s="116">
        <f t="shared" si="5"/>
        <v>0.277344</v>
      </c>
      <c r="E100" s="28"/>
      <c r="F100" s="28"/>
      <c r="G100" s="28"/>
      <c r="H100" s="117">
        <v>18.0</v>
      </c>
    </row>
    <row r="101">
      <c r="A101" s="114" t="s">
        <v>161</v>
      </c>
      <c r="B101" s="115">
        <v>0.19</v>
      </c>
      <c r="C101" s="115">
        <v>1.0</v>
      </c>
      <c r="D101" s="116">
        <f t="shared" si="5"/>
        <v>0.077254</v>
      </c>
      <c r="E101" s="28"/>
      <c r="F101" s="28"/>
      <c r="G101" s="28"/>
      <c r="H101" s="117">
        <v>22.0</v>
      </c>
    </row>
    <row r="102">
      <c r="A102" s="125" t="s">
        <v>125</v>
      </c>
      <c r="B102" s="115">
        <v>0.28</v>
      </c>
      <c r="C102" s="115">
        <v>1.1</v>
      </c>
      <c r="D102" s="116">
        <f t="shared" si="5"/>
        <v>0.1845536</v>
      </c>
      <c r="E102" s="28"/>
      <c r="F102" s="28"/>
      <c r="G102" s="28"/>
      <c r="H102" s="117">
        <v>12.0</v>
      </c>
    </row>
    <row r="103">
      <c r="A103" s="114" t="s">
        <v>253</v>
      </c>
      <c r="B103" s="115">
        <v>0.13</v>
      </c>
      <c r="C103" s="115">
        <v>1.15</v>
      </c>
      <c r="D103" s="116">
        <f t="shared" si="5"/>
        <v>0.0415909</v>
      </c>
      <c r="E103" s="28"/>
      <c r="F103" s="28"/>
      <c r="G103" s="28"/>
      <c r="H103" s="117">
        <v>37.0</v>
      </c>
    </row>
    <row r="104">
      <c r="A104" s="125" t="s">
        <v>105</v>
      </c>
      <c r="B104" s="115">
        <v>0.19</v>
      </c>
      <c r="C104" s="115">
        <v>1.1</v>
      </c>
      <c r="D104" s="116">
        <f t="shared" si="5"/>
        <v>0.0849794</v>
      </c>
      <c r="E104" s="28"/>
      <c r="F104" s="28"/>
      <c r="G104" s="28"/>
      <c r="H104" s="117">
        <v>18.0</v>
      </c>
    </row>
    <row r="105">
      <c r="A105" s="114" t="s">
        <v>212</v>
      </c>
      <c r="B105" s="115">
        <v>0.19</v>
      </c>
      <c r="C105" s="115">
        <v>0.8</v>
      </c>
      <c r="D105" s="116">
        <f t="shared" si="5"/>
        <v>0.0618032</v>
      </c>
      <c r="E105" s="28"/>
      <c r="F105" s="28"/>
      <c r="G105" s="28"/>
      <c r="H105" s="117">
        <v>25.0</v>
      </c>
      <c r="N105" s="104" t="s">
        <v>121</v>
      </c>
    </row>
    <row r="106">
      <c r="A106" s="114" t="s">
        <v>34</v>
      </c>
      <c r="B106" s="115">
        <v>0.43</v>
      </c>
      <c r="C106" s="115">
        <v>1.0</v>
      </c>
      <c r="D106" s="116">
        <f t="shared" si="5"/>
        <v>0.395686</v>
      </c>
      <c r="E106" s="28"/>
      <c r="F106" s="28"/>
      <c r="G106" s="28"/>
      <c r="H106" s="117">
        <v>12.0</v>
      </c>
    </row>
    <row r="107">
      <c r="A107" s="114" t="s">
        <v>190</v>
      </c>
      <c r="B107" s="115">
        <v>0.43</v>
      </c>
      <c r="C107" s="115">
        <v>1.0</v>
      </c>
      <c r="D107" s="116">
        <f t="shared" si="5"/>
        <v>0.395686</v>
      </c>
      <c r="E107" s="28"/>
      <c r="F107" s="28"/>
      <c r="G107" s="28"/>
      <c r="H107" s="117">
        <v>12.0</v>
      </c>
    </row>
    <row r="108">
      <c r="A108" s="114" t="s">
        <v>195</v>
      </c>
      <c r="B108" s="115">
        <v>0.3</v>
      </c>
      <c r="C108" s="115">
        <v>1.1</v>
      </c>
      <c r="D108" s="116">
        <f t="shared" si="5"/>
        <v>0.21186</v>
      </c>
      <c r="E108" s="28"/>
      <c r="F108" s="28"/>
      <c r="G108" s="28"/>
      <c r="H108" s="117">
        <v>43.0</v>
      </c>
    </row>
    <row r="109">
      <c r="A109" s="125" t="s">
        <v>119</v>
      </c>
      <c r="B109" s="115">
        <v>0.26</v>
      </c>
      <c r="C109" s="115">
        <v>0.9</v>
      </c>
      <c r="D109" s="116">
        <f t="shared" si="5"/>
        <v>0.1301976</v>
      </c>
      <c r="E109" s="28"/>
      <c r="F109" s="28"/>
      <c r="G109" s="28"/>
      <c r="H109" s="117">
        <v>25.0</v>
      </c>
    </row>
    <row r="110">
      <c r="A110" s="125" t="s">
        <v>101</v>
      </c>
      <c r="B110" s="115">
        <v>0.26</v>
      </c>
      <c r="C110" s="115">
        <v>1.1</v>
      </c>
      <c r="D110" s="116">
        <f t="shared" si="5"/>
        <v>0.1591304</v>
      </c>
      <c r="E110" s="28"/>
      <c r="F110" s="28"/>
      <c r="G110" s="28"/>
      <c r="H110" s="28"/>
    </row>
    <row r="111">
      <c r="A111" s="114" t="s">
        <v>228</v>
      </c>
      <c r="B111" s="115">
        <v>0.16</v>
      </c>
      <c r="C111" s="115">
        <v>0.9</v>
      </c>
      <c r="D111" s="116">
        <f t="shared" si="5"/>
        <v>0.0493056</v>
      </c>
      <c r="E111" s="28"/>
      <c r="F111" s="28"/>
      <c r="G111" s="28"/>
      <c r="H111" s="28"/>
    </row>
    <row r="112">
      <c r="A112" s="125" t="s">
        <v>138</v>
      </c>
      <c r="B112" s="115">
        <v>0.39</v>
      </c>
      <c r="C112" s="115">
        <v>1.0</v>
      </c>
      <c r="D112" s="116">
        <f t="shared" si="5"/>
        <v>0.325494</v>
      </c>
      <c r="E112" s="28"/>
      <c r="F112" s="28"/>
      <c r="G112" s="28"/>
      <c r="H112" s="117">
        <v>15.0</v>
      </c>
    </row>
    <row r="113">
      <c r="A113" s="114" t="s">
        <v>178</v>
      </c>
      <c r="B113" s="115">
        <v>0.3</v>
      </c>
      <c r="C113" s="115">
        <v>1.1</v>
      </c>
      <c r="D113" s="116">
        <f t="shared" si="5"/>
        <v>0.21186</v>
      </c>
      <c r="E113" s="28"/>
      <c r="F113" s="28"/>
      <c r="G113" s="28"/>
      <c r="H113" s="117">
        <v>35.0</v>
      </c>
    </row>
    <row r="114">
      <c r="A114" s="130" t="s">
        <v>185</v>
      </c>
      <c r="B114" s="120">
        <v>0.3</v>
      </c>
      <c r="C114" s="120">
        <v>1.1</v>
      </c>
      <c r="D114" s="121">
        <f t="shared" si="5"/>
        <v>0.21186</v>
      </c>
      <c r="E114" s="124"/>
      <c r="F114" s="124"/>
      <c r="G114" s="124"/>
      <c r="H114" s="126">
        <v>35.0</v>
      </c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</row>
    <row r="115">
      <c r="A115" s="114" t="s">
        <v>186</v>
      </c>
      <c r="B115" s="115">
        <v>0.36</v>
      </c>
      <c r="C115" s="115">
        <v>1.0</v>
      </c>
      <c r="D115" s="116">
        <f t="shared" si="5"/>
        <v>0.277344</v>
      </c>
      <c r="E115" s="28"/>
      <c r="F115" s="28"/>
      <c r="G115" s="28"/>
      <c r="H115" s="117">
        <v>25.0</v>
      </c>
    </row>
    <row r="116">
      <c r="A116" s="114" t="s">
        <v>141</v>
      </c>
      <c r="B116" s="115"/>
      <c r="C116" s="115"/>
      <c r="D116" s="116">
        <f t="shared" si="5"/>
        <v>0</v>
      </c>
      <c r="E116" s="28"/>
      <c r="F116" s="28"/>
      <c r="G116" s="28"/>
      <c r="H116" s="117"/>
    </row>
    <row r="117">
      <c r="A117" s="125" t="s">
        <v>113</v>
      </c>
      <c r="B117" s="115">
        <v>0.52</v>
      </c>
      <c r="C117" s="115">
        <v>1.1</v>
      </c>
      <c r="D117" s="116">
        <f t="shared" si="5"/>
        <v>0.6365216</v>
      </c>
      <c r="E117" s="28"/>
      <c r="F117" s="28"/>
      <c r="G117" s="28"/>
      <c r="H117" s="117">
        <v>8.0</v>
      </c>
    </row>
    <row r="118">
      <c r="A118" s="125" t="s">
        <v>50</v>
      </c>
      <c r="B118" s="115">
        <v>0.53</v>
      </c>
      <c r="C118" s="115">
        <v>1.2</v>
      </c>
      <c r="D118" s="116">
        <f t="shared" si="5"/>
        <v>0.7213512</v>
      </c>
      <c r="E118" s="28"/>
      <c r="F118" s="28"/>
      <c r="G118" s="28"/>
      <c r="H118" s="117">
        <v>8.0</v>
      </c>
    </row>
    <row r="119">
      <c r="A119" s="125" t="s">
        <v>135</v>
      </c>
      <c r="B119" s="115">
        <v>0.39</v>
      </c>
      <c r="C119" s="115">
        <v>1.0</v>
      </c>
      <c r="D119" s="116">
        <f t="shared" si="5"/>
        <v>0.325494</v>
      </c>
      <c r="E119" s="28"/>
      <c r="F119" s="28"/>
      <c r="G119" s="28"/>
      <c r="H119" s="117">
        <v>18.0</v>
      </c>
    </row>
    <row r="120">
      <c r="A120" s="125" t="s">
        <v>230</v>
      </c>
      <c r="B120" s="115">
        <v>0.4</v>
      </c>
      <c r="C120" s="115">
        <v>1.0</v>
      </c>
      <c r="D120" s="116">
        <f t="shared" si="5"/>
        <v>0.3424</v>
      </c>
      <c r="E120" s="28"/>
      <c r="F120" s="28"/>
      <c r="G120" s="28"/>
      <c r="H120" s="117">
        <v>10.0</v>
      </c>
    </row>
    <row r="121">
      <c r="A121" s="125" t="s">
        <v>254</v>
      </c>
      <c r="B121" s="115">
        <v>0.22</v>
      </c>
      <c r="C121" s="115">
        <v>1.1</v>
      </c>
      <c r="D121" s="116">
        <f t="shared" si="5"/>
        <v>0.1139336</v>
      </c>
      <c r="E121" s="28"/>
      <c r="F121" s="28"/>
      <c r="G121" s="28"/>
      <c r="H121" s="117">
        <v>8.0</v>
      </c>
    </row>
    <row r="122">
      <c r="A122" s="125" t="s">
        <v>48</v>
      </c>
      <c r="B122" s="115">
        <v>0.22</v>
      </c>
      <c r="C122" s="115">
        <v>1.1</v>
      </c>
      <c r="D122" s="116">
        <f t="shared" si="5"/>
        <v>0.1139336</v>
      </c>
      <c r="E122" s="28"/>
      <c r="F122" s="28"/>
      <c r="G122" s="28"/>
      <c r="H122" s="117">
        <v>6.0</v>
      </c>
    </row>
    <row r="123">
      <c r="A123" s="114" t="s">
        <v>208</v>
      </c>
      <c r="B123" s="115">
        <v>0.22</v>
      </c>
      <c r="C123" s="115">
        <v>1.1</v>
      </c>
      <c r="D123" s="116">
        <f t="shared" si="5"/>
        <v>0.1139336</v>
      </c>
      <c r="E123" s="28"/>
      <c r="F123" s="28"/>
      <c r="G123" s="28"/>
      <c r="H123" s="117">
        <v>8.0</v>
      </c>
    </row>
    <row r="124">
      <c r="A124" s="114" t="s">
        <v>206</v>
      </c>
      <c r="B124" s="115">
        <v>0.33</v>
      </c>
      <c r="C124" s="115">
        <v>1.1</v>
      </c>
      <c r="D124" s="116"/>
      <c r="E124" s="28"/>
      <c r="F124" s="28"/>
      <c r="G124" s="28"/>
      <c r="H124" s="117">
        <v>11.0</v>
      </c>
    </row>
    <row r="125">
      <c r="A125" s="114" t="s">
        <v>99</v>
      </c>
      <c r="B125" s="115">
        <v>0.2</v>
      </c>
      <c r="C125" s="115">
        <v>1.1</v>
      </c>
      <c r="D125" s="116">
        <f t="shared" ref="D125:D208" si="6">B125*B125*C125*2.14</f>
        <v>0.09416</v>
      </c>
      <c r="E125" s="28"/>
      <c r="F125" s="28"/>
      <c r="G125" s="28"/>
      <c r="H125" s="117">
        <v>26.0</v>
      </c>
    </row>
    <row r="126">
      <c r="A126" s="114" t="s">
        <v>155</v>
      </c>
      <c r="B126" s="115">
        <v>0.43</v>
      </c>
      <c r="C126" s="115">
        <v>1.0</v>
      </c>
      <c r="D126" s="116">
        <f t="shared" si="6"/>
        <v>0.395686</v>
      </c>
      <c r="E126" s="28"/>
      <c r="F126" s="28"/>
      <c r="G126" s="28"/>
      <c r="H126" s="117">
        <v>18.0</v>
      </c>
    </row>
    <row r="127">
      <c r="A127" s="125" t="s">
        <v>214</v>
      </c>
      <c r="B127" s="115">
        <v>0.24</v>
      </c>
      <c r="C127" s="115">
        <v>1.0</v>
      </c>
      <c r="D127" s="116">
        <f t="shared" si="6"/>
        <v>0.123264</v>
      </c>
      <c r="E127" s="28"/>
      <c r="F127" s="28"/>
      <c r="G127" s="28"/>
      <c r="H127" s="28"/>
    </row>
    <row r="128">
      <c r="A128" s="125" t="s">
        <v>255</v>
      </c>
      <c r="B128" s="115">
        <v>0.24</v>
      </c>
      <c r="C128" s="115">
        <v>1.1</v>
      </c>
      <c r="D128" s="116">
        <f t="shared" si="6"/>
        <v>0.1355904</v>
      </c>
      <c r="E128" s="28"/>
      <c r="F128" s="28"/>
      <c r="G128" s="28"/>
      <c r="H128" s="28"/>
    </row>
    <row r="129">
      <c r="A129" s="125" t="s">
        <v>133</v>
      </c>
      <c r="B129" s="115">
        <v>0.19</v>
      </c>
      <c r="C129" s="115">
        <v>1.0</v>
      </c>
      <c r="D129" s="116">
        <f t="shared" si="6"/>
        <v>0.077254</v>
      </c>
      <c r="E129" s="28"/>
      <c r="F129" s="28"/>
      <c r="G129" s="28"/>
      <c r="H129" s="117">
        <v>20.0</v>
      </c>
    </row>
    <row r="130">
      <c r="A130" s="125" t="s">
        <v>134</v>
      </c>
      <c r="B130" s="115">
        <v>0.19</v>
      </c>
      <c r="C130" s="115">
        <v>1.0</v>
      </c>
      <c r="D130" s="116">
        <f t="shared" si="6"/>
        <v>0.077254</v>
      </c>
      <c r="E130" s="28"/>
      <c r="F130" s="28"/>
      <c r="G130" s="28"/>
      <c r="H130" s="117">
        <v>17.0</v>
      </c>
    </row>
    <row r="131">
      <c r="A131" s="125" t="s">
        <v>131</v>
      </c>
      <c r="B131" s="115">
        <v>0.4</v>
      </c>
      <c r="C131" s="115">
        <v>1.0</v>
      </c>
      <c r="D131" s="116">
        <f t="shared" si="6"/>
        <v>0.3424</v>
      </c>
      <c r="E131" s="28"/>
      <c r="F131" s="28"/>
      <c r="G131" s="28"/>
      <c r="H131" s="117">
        <v>15.0</v>
      </c>
    </row>
    <row r="132">
      <c r="A132" s="114" t="s">
        <v>122</v>
      </c>
      <c r="B132" s="115">
        <v>0.27</v>
      </c>
      <c r="C132" s="115">
        <v>1.1</v>
      </c>
      <c r="D132" s="116">
        <f t="shared" si="6"/>
        <v>0.1716066</v>
      </c>
      <c r="E132" s="28"/>
      <c r="F132" s="28"/>
      <c r="G132" s="28"/>
      <c r="H132" s="117">
        <v>17.0</v>
      </c>
    </row>
    <row r="133">
      <c r="A133" s="125" t="s">
        <v>41</v>
      </c>
      <c r="B133" s="115">
        <v>0.36</v>
      </c>
      <c r="C133" s="115">
        <v>1.0</v>
      </c>
      <c r="D133" s="116">
        <f t="shared" si="6"/>
        <v>0.277344</v>
      </c>
      <c r="E133" s="117"/>
      <c r="F133" s="117"/>
      <c r="G133" s="117"/>
      <c r="H133" s="117">
        <v>14.0</v>
      </c>
    </row>
    <row r="134">
      <c r="A134" s="125" t="s">
        <v>35</v>
      </c>
      <c r="B134" s="115">
        <v>0.27</v>
      </c>
      <c r="C134" s="115">
        <v>1.1</v>
      </c>
      <c r="D134" s="116">
        <f t="shared" si="6"/>
        <v>0.1716066</v>
      </c>
      <c r="E134" s="28"/>
      <c r="F134" s="28"/>
      <c r="G134" s="28"/>
      <c r="H134" s="117">
        <v>30.0</v>
      </c>
    </row>
    <row r="135">
      <c r="A135" s="114" t="s">
        <v>188</v>
      </c>
      <c r="B135" s="115">
        <v>0.22</v>
      </c>
      <c r="C135" s="115">
        <v>1.1</v>
      </c>
      <c r="D135" s="116">
        <f t="shared" si="6"/>
        <v>0.1139336</v>
      </c>
      <c r="E135" s="28"/>
      <c r="F135" s="28"/>
      <c r="G135" s="28"/>
      <c r="H135" s="117">
        <v>30.0</v>
      </c>
    </row>
    <row r="136">
      <c r="A136" s="104" t="s">
        <v>194</v>
      </c>
      <c r="B136" s="115">
        <v>0.22</v>
      </c>
      <c r="C136" s="115">
        <v>1.1</v>
      </c>
      <c r="D136" s="116">
        <f t="shared" si="6"/>
        <v>0.1139336</v>
      </c>
      <c r="E136" s="117"/>
      <c r="F136" s="117"/>
      <c r="G136" s="117"/>
      <c r="H136" s="117">
        <v>50.0</v>
      </c>
      <c r="J136" s="104" t="s">
        <v>158</v>
      </c>
      <c r="N136" s="104" t="s">
        <v>198</v>
      </c>
    </row>
    <row r="137">
      <c r="A137" s="125" t="s">
        <v>150</v>
      </c>
      <c r="B137" s="115">
        <v>0.27</v>
      </c>
      <c r="C137" s="115">
        <v>1.1</v>
      </c>
      <c r="D137" s="116">
        <f t="shared" si="6"/>
        <v>0.1716066</v>
      </c>
      <c r="E137" s="28"/>
      <c r="F137" s="28"/>
      <c r="G137" s="28"/>
      <c r="H137" s="117">
        <v>12.0</v>
      </c>
    </row>
    <row r="138">
      <c r="A138" s="114" t="s">
        <v>220</v>
      </c>
      <c r="B138" s="115">
        <v>0.22</v>
      </c>
      <c r="C138" s="115">
        <v>1.1</v>
      </c>
      <c r="D138" s="116">
        <f t="shared" si="6"/>
        <v>0.1139336</v>
      </c>
      <c r="E138" s="28"/>
      <c r="F138" s="28"/>
      <c r="G138" s="28"/>
      <c r="H138" s="117">
        <v>12.0</v>
      </c>
    </row>
    <row r="139">
      <c r="A139" s="114" t="s">
        <v>187</v>
      </c>
      <c r="B139" s="115">
        <v>0.36</v>
      </c>
      <c r="C139" s="115">
        <v>1.0</v>
      </c>
      <c r="D139" s="116">
        <f t="shared" si="6"/>
        <v>0.277344</v>
      </c>
      <c r="E139" s="28"/>
      <c r="F139" s="28"/>
      <c r="G139" s="28"/>
      <c r="H139" s="117">
        <v>40.0</v>
      </c>
    </row>
    <row r="140">
      <c r="A140" s="114" t="s">
        <v>100</v>
      </c>
      <c r="B140" s="115">
        <v>0.24</v>
      </c>
      <c r="C140" s="115">
        <v>1.2</v>
      </c>
      <c r="D140" s="116">
        <f t="shared" si="6"/>
        <v>0.1479168</v>
      </c>
      <c r="E140" s="28"/>
      <c r="F140" s="28"/>
      <c r="G140" s="28"/>
      <c r="H140" s="117">
        <v>15.0</v>
      </c>
    </row>
    <row r="141">
      <c r="A141" s="125" t="s">
        <v>79</v>
      </c>
      <c r="B141" s="115">
        <v>0.1</v>
      </c>
      <c r="C141" s="115">
        <v>0.8</v>
      </c>
      <c r="D141" s="116">
        <f t="shared" si="6"/>
        <v>0.01712</v>
      </c>
      <c r="E141" s="28"/>
      <c r="F141" s="28"/>
      <c r="G141" s="28"/>
      <c r="H141" s="117">
        <v>87.0</v>
      </c>
    </row>
    <row r="142">
      <c r="A142" s="125" t="s">
        <v>27</v>
      </c>
      <c r="B142" s="115">
        <v>0.1</v>
      </c>
      <c r="C142" s="115">
        <v>0.8</v>
      </c>
      <c r="D142" s="116">
        <f t="shared" si="6"/>
        <v>0.01712</v>
      </c>
      <c r="E142" s="28"/>
      <c r="F142" s="28"/>
      <c r="G142" s="28"/>
      <c r="H142" s="117">
        <v>30.0</v>
      </c>
    </row>
    <row r="143">
      <c r="A143" s="125" t="s">
        <v>59</v>
      </c>
      <c r="B143" s="115">
        <v>0.1</v>
      </c>
      <c r="C143" s="115">
        <v>0.8</v>
      </c>
      <c r="D143" s="116">
        <f t="shared" si="6"/>
        <v>0.01712</v>
      </c>
      <c r="E143" s="28"/>
      <c r="F143" s="28"/>
      <c r="G143" s="28"/>
      <c r="H143" s="117">
        <v>50.0</v>
      </c>
    </row>
    <row r="144">
      <c r="A144" s="114" t="s">
        <v>154</v>
      </c>
      <c r="B144" s="115">
        <v>0.22</v>
      </c>
      <c r="C144" s="115">
        <v>1.1</v>
      </c>
      <c r="D144" s="116">
        <f t="shared" si="6"/>
        <v>0.1139336</v>
      </c>
      <c r="E144" s="28"/>
      <c r="F144" s="28"/>
      <c r="G144" s="28"/>
      <c r="H144" s="117">
        <v>10.0</v>
      </c>
    </row>
    <row r="145">
      <c r="A145" s="104" t="s">
        <v>217</v>
      </c>
      <c r="B145" s="115">
        <v>0.43</v>
      </c>
      <c r="C145" s="115">
        <v>1.0</v>
      </c>
      <c r="D145" s="116">
        <f t="shared" si="6"/>
        <v>0.395686</v>
      </c>
      <c r="E145" s="28"/>
      <c r="F145" s="28"/>
      <c r="G145" s="28"/>
      <c r="H145" s="117">
        <v>12.0</v>
      </c>
    </row>
    <row r="146">
      <c r="A146" s="125" t="s">
        <v>145</v>
      </c>
      <c r="B146" s="115">
        <v>0.3</v>
      </c>
      <c r="C146" s="115">
        <v>1.1</v>
      </c>
      <c r="D146" s="116">
        <f t="shared" si="6"/>
        <v>0.21186</v>
      </c>
      <c r="E146" s="28"/>
      <c r="F146" s="28"/>
      <c r="G146" s="28"/>
      <c r="H146" s="117">
        <v>43.0</v>
      </c>
    </row>
    <row r="147">
      <c r="A147" s="125" t="s">
        <v>148</v>
      </c>
      <c r="B147" s="115">
        <v>0.17</v>
      </c>
      <c r="C147" s="115">
        <v>1.0</v>
      </c>
      <c r="D147" s="116">
        <f t="shared" si="6"/>
        <v>0.061846</v>
      </c>
      <c r="E147" s="28"/>
      <c r="F147" s="28"/>
      <c r="G147" s="28"/>
      <c r="H147" s="117">
        <v>22.0</v>
      </c>
    </row>
    <row r="148">
      <c r="A148" s="114" t="s">
        <v>210</v>
      </c>
      <c r="B148" s="115">
        <v>1.9</v>
      </c>
      <c r="C148" s="115">
        <v>0.8</v>
      </c>
      <c r="D148" s="116">
        <f t="shared" si="6"/>
        <v>6.18032</v>
      </c>
      <c r="E148" s="28"/>
      <c r="F148" s="28"/>
      <c r="G148" s="28"/>
      <c r="H148" s="117">
        <v>43.0</v>
      </c>
    </row>
    <row r="149">
      <c r="A149" s="114" t="s">
        <v>256</v>
      </c>
      <c r="B149" s="115">
        <v>0.15</v>
      </c>
      <c r="C149" s="115">
        <v>0.6</v>
      </c>
      <c r="D149" s="116">
        <f t="shared" si="6"/>
        <v>0.02889</v>
      </c>
      <c r="E149" s="28"/>
      <c r="F149" s="28"/>
      <c r="G149" s="28"/>
      <c r="H149" s="117">
        <v>37.0</v>
      </c>
    </row>
    <row r="150">
      <c r="A150" s="114" t="s">
        <v>169</v>
      </c>
      <c r="B150" s="115">
        <v>0.13</v>
      </c>
      <c r="C150" s="115">
        <v>1.15</v>
      </c>
      <c r="D150" s="116">
        <f t="shared" si="6"/>
        <v>0.0415909</v>
      </c>
      <c r="E150" s="28"/>
      <c r="F150" s="28"/>
      <c r="G150" s="28"/>
      <c r="H150" s="117">
        <v>37.0</v>
      </c>
    </row>
    <row r="151">
      <c r="A151" s="104" t="s">
        <v>171</v>
      </c>
      <c r="B151" s="115">
        <v>0.3</v>
      </c>
      <c r="C151" s="115">
        <v>0.8</v>
      </c>
      <c r="D151" s="116">
        <f t="shared" si="6"/>
        <v>0.15408</v>
      </c>
      <c r="E151" s="28"/>
      <c r="F151" s="28"/>
      <c r="G151" s="28"/>
      <c r="H151" s="117">
        <v>75.0</v>
      </c>
    </row>
    <row r="152">
      <c r="A152" s="125" t="s">
        <v>257</v>
      </c>
      <c r="B152" s="115">
        <v>0.3</v>
      </c>
      <c r="C152" s="115">
        <v>1.1</v>
      </c>
      <c r="D152" s="116">
        <f t="shared" si="6"/>
        <v>0.21186</v>
      </c>
      <c r="E152" s="28"/>
      <c r="F152" s="28"/>
      <c r="G152" s="28"/>
      <c r="H152" s="28"/>
    </row>
    <row r="153">
      <c r="A153" s="127" t="s">
        <v>36</v>
      </c>
      <c r="B153" s="115">
        <v>0.14</v>
      </c>
      <c r="C153" s="115">
        <v>0.9</v>
      </c>
      <c r="D153" s="116">
        <f t="shared" si="6"/>
        <v>0.0377496</v>
      </c>
      <c r="E153" s="28"/>
      <c r="F153" s="28"/>
      <c r="G153" s="28"/>
      <c r="H153" s="117">
        <v>10.0</v>
      </c>
    </row>
    <row r="154">
      <c r="A154" s="104" t="s">
        <v>68</v>
      </c>
      <c r="B154" s="115">
        <v>0.075</v>
      </c>
      <c r="C154" s="115">
        <v>0.8</v>
      </c>
      <c r="D154" s="116">
        <f t="shared" si="6"/>
        <v>0.00963</v>
      </c>
      <c r="E154" s="28"/>
      <c r="F154" s="28"/>
      <c r="G154" s="28"/>
      <c r="H154" s="117">
        <v>170.0</v>
      </c>
    </row>
    <row r="155">
      <c r="A155" s="104" t="s">
        <v>67</v>
      </c>
      <c r="B155" s="115">
        <v>0.075</v>
      </c>
      <c r="C155" s="115">
        <v>0.8</v>
      </c>
      <c r="D155" s="116">
        <f t="shared" si="6"/>
        <v>0.00963</v>
      </c>
      <c r="E155" s="28"/>
      <c r="F155" s="28"/>
      <c r="G155" s="28"/>
      <c r="H155" s="117">
        <v>170.0</v>
      </c>
    </row>
    <row r="156">
      <c r="A156" s="104" t="s">
        <v>182</v>
      </c>
      <c r="B156" s="115">
        <v>0.39</v>
      </c>
      <c r="C156" s="115">
        <v>1.0</v>
      </c>
      <c r="D156" s="116">
        <f t="shared" si="6"/>
        <v>0.325494</v>
      </c>
      <c r="E156" s="28"/>
      <c r="F156" s="28"/>
      <c r="G156" s="28"/>
      <c r="H156" s="117">
        <v>120.0</v>
      </c>
    </row>
    <row r="157">
      <c r="A157" s="104" t="s">
        <v>76</v>
      </c>
      <c r="B157" s="115">
        <v>0.045</v>
      </c>
      <c r="C157" s="115">
        <v>0.6</v>
      </c>
      <c r="D157" s="116">
        <f t="shared" si="6"/>
        <v>0.0026001</v>
      </c>
      <c r="E157" s="28"/>
      <c r="F157" s="28"/>
      <c r="G157" s="28"/>
      <c r="H157" s="117">
        <v>120.0</v>
      </c>
    </row>
    <row r="158">
      <c r="A158" s="104" t="s">
        <v>53</v>
      </c>
      <c r="B158" s="115">
        <v>0.075</v>
      </c>
      <c r="C158" s="115">
        <v>0.8</v>
      </c>
      <c r="D158" s="116">
        <f t="shared" si="6"/>
        <v>0.00963</v>
      </c>
      <c r="E158" s="28"/>
      <c r="F158" s="28"/>
      <c r="G158" s="28"/>
      <c r="H158" s="117">
        <v>120.0</v>
      </c>
    </row>
    <row r="159">
      <c r="A159" s="104" t="s">
        <v>232</v>
      </c>
      <c r="B159" s="115">
        <v>0.075</v>
      </c>
      <c r="C159" s="115">
        <v>0.8</v>
      </c>
      <c r="D159" s="116">
        <f t="shared" si="6"/>
        <v>0.00963</v>
      </c>
      <c r="E159" s="28"/>
      <c r="F159" s="28"/>
      <c r="G159" s="28"/>
      <c r="H159" s="117">
        <v>120.0</v>
      </c>
    </row>
    <row r="160">
      <c r="A160" s="104" t="s">
        <v>112</v>
      </c>
      <c r="B160" s="115">
        <v>0.22</v>
      </c>
      <c r="C160" s="115">
        <v>1.1</v>
      </c>
      <c r="D160" s="116">
        <f t="shared" si="6"/>
        <v>0.1139336</v>
      </c>
      <c r="E160" s="28"/>
      <c r="F160" s="28"/>
      <c r="G160" s="28"/>
      <c r="H160" s="117">
        <v>35.0</v>
      </c>
    </row>
    <row r="161">
      <c r="A161" s="125" t="s">
        <v>216</v>
      </c>
      <c r="B161" s="128"/>
      <c r="C161" s="128"/>
      <c r="D161" s="116">
        <f t="shared" si="6"/>
        <v>0</v>
      </c>
      <c r="E161" s="28"/>
      <c r="F161" s="28"/>
      <c r="G161" s="28"/>
      <c r="H161" s="28"/>
    </row>
    <row r="162">
      <c r="A162" s="104" t="s">
        <v>140</v>
      </c>
      <c r="B162" s="128"/>
      <c r="C162" s="128"/>
      <c r="D162" s="116">
        <f t="shared" si="6"/>
        <v>0</v>
      </c>
      <c r="E162" s="28"/>
      <c r="F162" s="28"/>
      <c r="G162" s="28"/>
      <c r="H162" s="28"/>
    </row>
    <row r="163">
      <c r="A163" s="114" t="s">
        <v>139</v>
      </c>
      <c r="B163" s="128"/>
      <c r="C163" s="128"/>
      <c r="D163" s="116">
        <f t="shared" si="6"/>
        <v>0</v>
      </c>
      <c r="E163" s="28"/>
      <c r="F163" s="28"/>
      <c r="G163" s="28"/>
      <c r="H163" s="28"/>
    </row>
    <row r="164">
      <c r="A164" s="114" t="s">
        <v>258</v>
      </c>
      <c r="B164" s="128"/>
      <c r="C164" s="128"/>
      <c r="D164" s="116">
        <f t="shared" si="6"/>
        <v>0</v>
      </c>
      <c r="E164" s="28"/>
      <c r="F164" s="28"/>
      <c r="G164" s="28"/>
      <c r="H164" s="28"/>
    </row>
    <row r="165">
      <c r="A165" s="104" t="s">
        <v>259</v>
      </c>
      <c r="B165" s="128"/>
      <c r="C165" s="128"/>
      <c r="D165" s="116">
        <f t="shared" si="6"/>
        <v>0</v>
      </c>
      <c r="E165" s="28"/>
      <c r="F165" s="28"/>
      <c r="G165" s="28"/>
      <c r="H165" s="28"/>
    </row>
    <row r="166">
      <c r="A166" s="125" t="s">
        <v>114</v>
      </c>
      <c r="B166" s="115">
        <v>0.51</v>
      </c>
      <c r="C166" s="115">
        <v>1.1</v>
      </c>
      <c r="D166" s="116">
        <f t="shared" si="6"/>
        <v>0.6122754</v>
      </c>
      <c r="E166" s="28"/>
      <c r="F166" s="28"/>
      <c r="G166" s="28"/>
      <c r="H166" s="117">
        <v>17.0</v>
      </c>
    </row>
    <row r="167">
      <c r="A167" s="125" t="s">
        <v>201</v>
      </c>
      <c r="B167" s="115">
        <v>0.52</v>
      </c>
      <c r="C167" s="115">
        <v>1.1</v>
      </c>
      <c r="D167" s="116">
        <f t="shared" si="6"/>
        <v>0.6365216</v>
      </c>
      <c r="E167" s="28"/>
      <c r="F167" s="28"/>
      <c r="G167" s="28"/>
      <c r="H167" s="117">
        <v>12.0</v>
      </c>
    </row>
    <row r="168">
      <c r="A168" s="114" t="s">
        <v>260</v>
      </c>
      <c r="B168" s="115">
        <v>0.43</v>
      </c>
      <c r="C168" s="115">
        <v>1.0</v>
      </c>
      <c r="D168" s="116">
        <f t="shared" si="6"/>
        <v>0.395686</v>
      </c>
      <c r="E168" s="28"/>
      <c r="F168" s="28"/>
      <c r="G168" s="28"/>
      <c r="H168" s="28"/>
    </row>
    <row r="169">
      <c r="A169" s="125" t="s">
        <v>261</v>
      </c>
      <c r="B169" s="115">
        <v>0.43</v>
      </c>
      <c r="C169" s="115">
        <v>1.0</v>
      </c>
      <c r="D169" s="116">
        <f t="shared" si="6"/>
        <v>0.395686</v>
      </c>
      <c r="E169" s="28"/>
      <c r="F169" s="28"/>
      <c r="G169" s="28"/>
      <c r="H169" s="28"/>
    </row>
    <row r="170">
      <c r="A170" s="125" t="s">
        <v>137</v>
      </c>
      <c r="B170" s="115">
        <v>0.22</v>
      </c>
      <c r="C170" s="115">
        <v>1.1</v>
      </c>
      <c r="D170" s="116">
        <f t="shared" si="6"/>
        <v>0.1139336</v>
      </c>
      <c r="E170" s="28"/>
      <c r="F170" s="28"/>
      <c r="G170" s="28"/>
      <c r="H170" s="117">
        <v>12.0</v>
      </c>
    </row>
    <row r="171">
      <c r="A171" s="125" t="s">
        <v>31</v>
      </c>
      <c r="B171" s="115">
        <v>0.24</v>
      </c>
      <c r="C171" s="115">
        <v>1.1</v>
      </c>
      <c r="D171" s="116">
        <f t="shared" si="6"/>
        <v>0.1355904</v>
      </c>
      <c r="E171" s="28"/>
      <c r="F171" s="28"/>
      <c r="G171" s="28"/>
      <c r="H171" s="117">
        <v>10.0</v>
      </c>
    </row>
    <row r="172">
      <c r="A172" s="125" t="s">
        <v>66</v>
      </c>
      <c r="B172" s="115">
        <v>0.25</v>
      </c>
      <c r="C172" s="115">
        <v>1.0</v>
      </c>
      <c r="D172" s="116">
        <f t="shared" si="6"/>
        <v>0.13375</v>
      </c>
      <c r="E172" s="28"/>
      <c r="F172" s="28"/>
      <c r="G172" s="28"/>
      <c r="H172" s="28"/>
    </row>
    <row r="173">
      <c r="B173" s="128"/>
      <c r="C173" s="128"/>
      <c r="D173" s="116">
        <f t="shared" si="6"/>
        <v>0</v>
      </c>
      <c r="E173" s="28"/>
      <c r="F173" s="28"/>
      <c r="G173" s="28"/>
      <c r="H173" s="28"/>
    </row>
    <row r="174">
      <c r="B174" s="128"/>
      <c r="C174" s="128"/>
      <c r="D174" s="116">
        <f t="shared" si="6"/>
        <v>0</v>
      </c>
      <c r="E174" s="28"/>
      <c r="F174" s="28"/>
      <c r="G174" s="28"/>
      <c r="H174" s="28"/>
    </row>
    <row r="175">
      <c r="B175" s="128"/>
      <c r="C175" s="128"/>
      <c r="D175" s="116">
        <f t="shared" si="6"/>
        <v>0</v>
      </c>
      <c r="E175" s="28"/>
      <c r="F175" s="28"/>
      <c r="G175" s="28"/>
      <c r="H175" s="28"/>
    </row>
    <row r="176">
      <c r="B176" s="128"/>
      <c r="C176" s="128"/>
      <c r="D176" s="116">
        <f t="shared" si="6"/>
        <v>0</v>
      </c>
      <c r="E176" s="28"/>
      <c r="F176" s="28"/>
      <c r="G176" s="28"/>
      <c r="H176" s="28"/>
    </row>
    <row r="177">
      <c r="B177" s="128"/>
      <c r="C177" s="128"/>
      <c r="D177" s="116">
        <f t="shared" si="6"/>
        <v>0</v>
      </c>
      <c r="E177" s="28"/>
      <c r="F177" s="28"/>
      <c r="G177" s="28"/>
      <c r="H177" s="28"/>
    </row>
    <row r="178">
      <c r="B178" s="128"/>
      <c r="C178" s="128"/>
      <c r="D178" s="116">
        <f t="shared" si="6"/>
        <v>0</v>
      </c>
      <c r="E178" s="28"/>
      <c r="F178" s="28"/>
      <c r="G178" s="28"/>
      <c r="H178" s="28"/>
    </row>
    <row r="179">
      <c r="B179" s="128"/>
      <c r="C179" s="128"/>
      <c r="D179" s="116">
        <f t="shared" si="6"/>
        <v>0</v>
      </c>
      <c r="E179" s="28"/>
      <c r="F179" s="28"/>
      <c r="G179" s="28"/>
      <c r="H179" s="28"/>
    </row>
    <row r="180">
      <c r="B180" s="128"/>
      <c r="C180" s="128"/>
      <c r="D180" s="116">
        <f t="shared" si="6"/>
        <v>0</v>
      </c>
      <c r="E180" s="28"/>
      <c r="F180" s="28"/>
      <c r="G180" s="28"/>
      <c r="H180" s="28"/>
    </row>
    <row r="181">
      <c r="B181" s="128"/>
      <c r="C181" s="128"/>
      <c r="D181" s="116">
        <f t="shared" si="6"/>
        <v>0</v>
      </c>
      <c r="E181" s="28"/>
      <c r="F181" s="28"/>
      <c r="G181" s="28"/>
      <c r="H181" s="28"/>
    </row>
    <row r="182">
      <c r="B182" s="128"/>
      <c r="C182" s="128"/>
      <c r="D182" s="116">
        <f t="shared" si="6"/>
        <v>0</v>
      </c>
      <c r="E182" s="28"/>
      <c r="F182" s="28"/>
      <c r="G182" s="28"/>
      <c r="H182" s="28"/>
    </row>
    <row r="183">
      <c r="B183" s="128"/>
      <c r="C183" s="128"/>
      <c r="D183" s="116">
        <f t="shared" si="6"/>
        <v>0</v>
      </c>
      <c r="E183" s="28"/>
      <c r="F183" s="28"/>
      <c r="G183" s="28"/>
      <c r="H183" s="28"/>
    </row>
    <row r="184">
      <c r="B184" s="128"/>
      <c r="C184" s="128"/>
      <c r="D184" s="116">
        <f t="shared" si="6"/>
        <v>0</v>
      </c>
      <c r="E184" s="28"/>
      <c r="F184" s="28"/>
      <c r="G184" s="28"/>
      <c r="H184" s="28"/>
    </row>
    <row r="185">
      <c r="B185" s="128"/>
      <c r="C185" s="128"/>
      <c r="D185" s="116">
        <f t="shared" si="6"/>
        <v>0</v>
      </c>
      <c r="E185" s="28"/>
      <c r="F185" s="28"/>
      <c r="G185" s="28"/>
      <c r="H185" s="28"/>
    </row>
    <row r="186">
      <c r="B186" s="128"/>
      <c r="C186" s="128"/>
      <c r="D186" s="116">
        <f t="shared" si="6"/>
        <v>0</v>
      </c>
      <c r="E186" s="28"/>
      <c r="F186" s="28"/>
      <c r="G186" s="28"/>
      <c r="H186" s="28"/>
    </row>
    <row r="187">
      <c r="B187" s="128"/>
      <c r="C187" s="128"/>
      <c r="D187" s="116">
        <f t="shared" si="6"/>
        <v>0</v>
      </c>
      <c r="E187" s="28"/>
      <c r="F187" s="28"/>
      <c r="G187" s="28"/>
      <c r="H187" s="28"/>
    </row>
    <row r="188">
      <c r="B188" s="128"/>
      <c r="C188" s="128"/>
      <c r="D188" s="116">
        <f t="shared" si="6"/>
        <v>0</v>
      </c>
      <c r="E188" s="28"/>
      <c r="F188" s="28"/>
      <c r="G188" s="28"/>
      <c r="H188" s="28"/>
    </row>
    <row r="189">
      <c r="B189" s="128"/>
      <c r="C189" s="128"/>
      <c r="D189" s="116">
        <f t="shared" si="6"/>
        <v>0</v>
      </c>
      <c r="E189" s="28"/>
      <c r="F189" s="28"/>
      <c r="G189" s="28"/>
      <c r="H189" s="28"/>
    </row>
    <row r="190">
      <c r="B190" s="128"/>
      <c r="C190" s="128"/>
      <c r="D190" s="116">
        <f t="shared" si="6"/>
        <v>0</v>
      </c>
      <c r="E190" s="28"/>
      <c r="F190" s="28"/>
      <c r="G190" s="28"/>
      <c r="H190" s="28"/>
    </row>
    <row r="191">
      <c r="B191" s="128"/>
      <c r="C191" s="128"/>
      <c r="D191" s="116">
        <f t="shared" si="6"/>
        <v>0</v>
      </c>
      <c r="E191" s="28"/>
      <c r="F191" s="28"/>
      <c r="G191" s="28"/>
      <c r="H191" s="28"/>
    </row>
    <row r="192">
      <c r="B192" s="128"/>
      <c r="C192" s="128"/>
      <c r="D192" s="116">
        <f t="shared" si="6"/>
        <v>0</v>
      </c>
      <c r="E192" s="28"/>
      <c r="F192" s="28"/>
      <c r="G192" s="28"/>
      <c r="H192" s="28"/>
    </row>
    <row r="193">
      <c r="B193" s="128"/>
      <c r="C193" s="128"/>
      <c r="D193" s="116">
        <f t="shared" si="6"/>
        <v>0</v>
      </c>
      <c r="E193" s="28"/>
      <c r="F193" s="28"/>
      <c r="G193" s="28"/>
      <c r="H193" s="28"/>
    </row>
    <row r="194">
      <c r="B194" s="128"/>
      <c r="C194" s="128"/>
      <c r="D194" s="116">
        <f t="shared" si="6"/>
        <v>0</v>
      </c>
      <c r="E194" s="28"/>
      <c r="F194" s="28"/>
      <c r="G194" s="28"/>
      <c r="H194" s="28"/>
    </row>
    <row r="195">
      <c r="B195" s="128"/>
      <c r="C195" s="128"/>
      <c r="D195" s="116">
        <f t="shared" si="6"/>
        <v>0</v>
      </c>
      <c r="E195" s="28"/>
      <c r="F195" s="28"/>
      <c r="G195" s="28"/>
      <c r="H195" s="28"/>
    </row>
    <row r="196">
      <c r="B196" s="128"/>
      <c r="C196" s="128"/>
      <c r="D196" s="116">
        <f t="shared" si="6"/>
        <v>0</v>
      </c>
      <c r="E196" s="28"/>
      <c r="F196" s="28"/>
      <c r="G196" s="28"/>
      <c r="H196" s="28"/>
    </row>
    <row r="197">
      <c r="B197" s="128"/>
      <c r="C197" s="128"/>
      <c r="D197" s="116">
        <f t="shared" si="6"/>
        <v>0</v>
      </c>
      <c r="E197" s="28"/>
      <c r="F197" s="28"/>
      <c r="G197" s="28"/>
      <c r="H197" s="28"/>
    </row>
    <row r="198">
      <c r="B198" s="128"/>
      <c r="C198" s="128"/>
      <c r="D198" s="116">
        <f t="shared" si="6"/>
        <v>0</v>
      </c>
      <c r="E198" s="28"/>
      <c r="F198" s="28"/>
      <c r="G198" s="28"/>
      <c r="H198" s="28"/>
    </row>
    <row r="199">
      <c r="B199" s="128"/>
      <c r="C199" s="128"/>
      <c r="D199" s="116">
        <f t="shared" si="6"/>
        <v>0</v>
      </c>
      <c r="E199" s="28"/>
      <c r="F199" s="28"/>
      <c r="G199" s="28"/>
      <c r="H199" s="28"/>
    </row>
    <row r="200">
      <c r="B200" s="128"/>
      <c r="C200" s="128"/>
      <c r="D200" s="116">
        <f t="shared" si="6"/>
        <v>0</v>
      </c>
      <c r="E200" s="28"/>
      <c r="F200" s="28"/>
      <c r="G200" s="28"/>
      <c r="H200" s="28"/>
    </row>
    <row r="201">
      <c r="B201" s="128"/>
      <c r="C201" s="128"/>
      <c r="D201" s="116">
        <f t="shared" si="6"/>
        <v>0</v>
      </c>
      <c r="E201" s="28"/>
      <c r="F201" s="28"/>
      <c r="G201" s="28"/>
      <c r="H201" s="28"/>
    </row>
    <row r="202">
      <c r="B202" s="128"/>
      <c r="C202" s="128"/>
      <c r="D202" s="116">
        <f t="shared" si="6"/>
        <v>0</v>
      </c>
      <c r="E202" s="28"/>
      <c r="F202" s="28"/>
      <c r="G202" s="28"/>
      <c r="H202" s="28"/>
    </row>
    <row r="203">
      <c r="B203" s="128"/>
      <c r="C203" s="128"/>
      <c r="D203" s="116">
        <f t="shared" si="6"/>
        <v>0</v>
      </c>
      <c r="E203" s="28"/>
      <c r="F203" s="28"/>
      <c r="G203" s="28"/>
      <c r="H203" s="28"/>
    </row>
    <row r="204">
      <c r="B204" s="128"/>
      <c r="C204" s="128"/>
      <c r="D204" s="116">
        <f t="shared" si="6"/>
        <v>0</v>
      </c>
      <c r="E204" s="28"/>
      <c r="F204" s="28"/>
      <c r="G204" s="28"/>
      <c r="H204" s="28"/>
    </row>
    <row r="205">
      <c r="B205" s="128"/>
      <c r="C205" s="128"/>
      <c r="D205" s="116">
        <f t="shared" si="6"/>
        <v>0</v>
      </c>
      <c r="E205" s="28"/>
      <c r="F205" s="28"/>
      <c r="G205" s="28"/>
      <c r="H205" s="28"/>
    </row>
    <row r="206">
      <c r="B206" s="128"/>
      <c r="C206" s="128"/>
      <c r="D206" s="116">
        <f t="shared" si="6"/>
        <v>0</v>
      </c>
      <c r="E206" s="28"/>
      <c r="F206" s="28"/>
      <c r="G206" s="28"/>
      <c r="H206" s="28"/>
    </row>
    <row r="207">
      <c r="B207" s="128"/>
      <c r="C207" s="128"/>
      <c r="D207" s="116">
        <f t="shared" si="6"/>
        <v>0</v>
      </c>
      <c r="E207" s="28"/>
      <c r="F207" s="28"/>
      <c r="G207" s="28"/>
      <c r="H207" s="28"/>
    </row>
    <row r="208">
      <c r="B208" s="128"/>
      <c r="C208" s="128"/>
      <c r="D208" s="116">
        <f t="shared" si="6"/>
        <v>0</v>
      </c>
      <c r="E208" s="28"/>
      <c r="F208" s="28"/>
      <c r="G208" s="28"/>
      <c r="H208" s="28"/>
    </row>
    <row r="209">
      <c r="B209" s="128"/>
      <c r="C209" s="128"/>
      <c r="D209" s="131"/>
      <c r="E209" s="28"/>
      <c r="F209" s="28"/>
      <c r="G209" s="28"/>
      <c r="H209" s="28"/>
    </row>
    <row r="210">
      <c r="B210" s="128"/>
      <c r="C210" s="128"/>
      <c r="D210" s="131"/>
      <c r="E210" s="28"/>
      <c r="F210" s="28"/>
      <c r="G210" s="28"/>
      <c r="H210" s="28"/>
    </row>
    <row r="211">
      <c r="B211" s="128"/>
      <c r="C211" s="128"/>
      <c r="D211" s="131"/>
      <c r="E211" s="28"/>
      <c r="F211" s="28"/>
      <c r="G211" s="28"/>
      <c r="H211" s="28"/>
    </row>
    <row r="212">
      <c r="B212" s="128"/>
      <c r="C212" s="128"/>
      <c r="D212" s="131"/>
      <c r="E212" s="28"/>
      <c r="F212" s="28"/>
      <c r="G212" s="28"/>
      <c r="H212" s="28"/>
    </row>
    <row r="213">
      <c r="B213" s="128"/>
      <c r="C213" s="128"/>
      <c r="D213" s="131"/>
      <c r="E213" s="28"/>
      <c r="F213" s="28"/>
      <c r="G213" s="28"/>
      <c r="H213" s="28"/>
    </row>
    <row r="214">
      <c r="B214" s="128"/>
      <c r="C214" s="128"/>
      <c r="D214" s="131"/>
      <c r="E214" s="28"/>
      <c r="F214" s="28"/>
      <c r="G214" s="28"/>
      <c r="H214" s="28"/>
    </row>
    <row r="215">
      <c r="B215" s="128"/>
      <c r="C215" s="128"/>
      <c r="D215" s="131"/>
      <c r="E215" s="28"/>
      <c r="F215" s="28"/>
      <c r="G215" s="28"/>
      <c r="H215" s="28"/>
    </row>
    <row r="216">
      <c r="B216" s="128"/>
      <c r="C216" s="128"/>
      <c r="D216" s="131"/>
      <c r="E216" s="28"/>
      <c r="F216" s="28"/>
      <c r="G216" s="28"/>
      <c r="H216" s="28"/>
    </row>
    <row r="217">
      <c r="B217" s="128"/>
      <c r="C217" s="128"/>
      <c r="D217" s="131"/>
      <c r="E217" s="28"/>
      <c r="F217" s="28"/>
      <c r="G217" s="28"/>
      <c r="H217" s="28"/>
    </row>
    <row r="218">
      <c r="B218" s="128"/>
      <c r="C218" s="128"/>
      <c r="D218" s="131"/>
      <c r="E218" s="28"/>
      <c r="F218" s="28"/>
      <c r="G218" s="28"/>
      <c r="H218" s="28"/>
    </row>
    <row r="219">
      <c r="B219" s="128"/>
      <c r="C219" s="128"/>
      <c r="D219" s="131"/>
      <c r="E219" s="28"/>
      <c r="F219" s="28"/>
      <c r="G219" s="28"/>
      <c r="H219" s="28"/>
    </row>
    <row r="220">
      <c r="B220" s="128"/>
      <c r="C220" s="128"/>
      <c r="D220" s="131"/>
      <c r="E220" s="28"/>
      <c r="F220" s="28"/>
      <c r="G220" s="28"/>
      <c r="H220" s="28"/>
    </row>
    <row r="221">
      <c r="B221" s="128"/>
      <c r="C221" s="128"/>
      <c r="D221" s="131"/>
      <c r="E221" s="28"/>
      <c r="F221" s="28"/>
      <c r="G221" s="28"/>
      <c r="H221" s="28"/>
    </row>
    <row r="222">
      <c r="B222" s="128"/>
      <c r="C222" s="128"/>
      <c r="D222" s="131"/>
      <c r="E222" s="28"/>
      <c r="F222" s="28"/>
      <c r="G222" s="28"/>
      <c r="H222" s="28"/>
    </row>
    <row r="223">
      <c r="B223" s="128"/>
      <c r="C223" s="128"/>
      <c r="D223" s="131"/>
      <c r="E223" s="28"/>
      <c r="F223" s="28"/>
      <c r="G223" s="28"/>
      <c r="H223" s="28"/>
    </row>
    <row r="224">
      <c r="B224" s="128"/>
      <c r="C224" s="128"/>
      <c r="D224" s="131"/>
      <c r="E224" s="28"/>
      <c r="F224" s="28"/>
      <c r="G224" s="28"/>
      <c r="H224" s="28"/>
    </row>
    <row r="225">
      <c r="B225" s="128"/>
      <c r="C225" s="128"/>
      <c r="D225" s="131"/>
      <c r="E225" s="28"/>
      <c r="F225" s="28"/>
      <c r="G225" s="28"/>
      <c r="H225" s="28"/>
    </row>
    <row r="226">
      <c r="B226" s="128"/>
      <c r="C226" s="128"/>
      <c r="D226" s="131"/>
      <c r="E226" s="28"/>
      <c r="F226" s="28"/>
      <c r="G226" s="28"/>
      <c r="H226" s="28"/>
    </row>
    <row r="227">
      <c r="B227" s="128"/>
      <c r="C227" s="128"/>
      <c r="D227" s="131"/>
      <c r="E227" s="28"/>
      <c r="F227" s="28"/>
      <c r="G227" s="28"/>
      <c r="H227" s="28"/>
    </row>
    <row r="228">
      <c r="B228" s="128"/>
      <c r="C228" s="128"/>
      <c r="D228" s="131"/>
      <c r="E228" s="28"/>
      <c r="F228" s="28"/>
      <c r="G228" s="28"/>
      <c r="H228" s="28"/>
    </row>
    <row r="229">
      <c r="B229" s="128"/>
      <c r="C229" s="128"/>
      <c r="D229" s="131"/>
      <c r="E229" s="28"/>
      <c r="F229" s="28"/>
      <c r="G229" s="28"/>
      <c r="H229" s="28"/>
    </row>
    <row r="230">
      <c r="B230" s="128"/>
      <c r="C230" s="128"/>
      <c r="D230" s="131"/>
      <c r="E230" s="28"/>
      <c r="F230" s="28"/>
      <c r="G230" s="28"/>
      <c r="H230" s="28"/>
    </row>
    <row r="231">
      <c r="B231" s="128"/>
      <c r="C231" s="128"/>
      <c r="D231" s="131"/>
      <c r="E231" s="28"/>
      <c r="F231" s="28"/>
      <c r="G231" s="28"/>
      <c r="H231" s="28"/>
    </row>
    <row r="232">
      <c r="B232" s="128"/>
      <c r="C232" s="128"/>
      <c r="D232" s="131"/>
      <c r="E232" s="28"/>
      <c r="F232" s="28"/>
      <c r="G232" s="28"/>
      <c r="H232" s="28"/>
    </row>
    <row r="233">
      <c r="B233" s="128"/>
      <c r="C233" s="128"/>
      <c r="D233" s="131"/>
      <c r="E233" s="28"/>
      <c r="F233" s="28"/>
      <c r="G233" s="28"/>
      <c r="H233" s="28"/>
    </row>
    <row r="234">
      <c r="B234" s="128"/>
      <c r="C234" s="128"/>
      <c r="D234" s="131"/>
      <c r="E234" s="28"/>
      <c r="F234" s="28"/>
      <c r="G234" s="28"/>
      <c r="H234" s="28"/>
    </row>
    <row r="235">
      <c r="B235" s="128"/>
      <c r="C235" s="128"/>
      <c r="D235" s="131"/>
      <c r="E235" s="28"/>
      <c r="F235" s="28"/>
      <c r="G235" s="28"/>
      <c r="H235" s="28"/>
    </row>
    <row r="236">
      <c r="B236" s="128"/>
      <c r="C236" s="128"/>
      <c r="D236" s="131"/>
      <c r="E236" s="28"/>
      <c r="F236" s="28"/>
      <c r="G236" s="28"/>
      <c r="H236" s="28"/>
    </row>
    <row r="237">
      <c r="B237" s="128"/>
      <c r="C237" s="128"/>
      <c r="D237" s="131"/>
      <c r="E237" s="28"/>
      <c r="F237" s="28"/>
      <c r="G237" s="28"/>
      <c r="H237" s="28"/>
    </row>
    <row r="238">
      <c r="B238" s="128"/>
      <c r="C238" s="128"/>
      <c r="D238" s="131"/>
      <c r="E238" s="28"/>
      <c r="F238" s="28"/>
      <c r="G238" s="28"/>
      <c r="H238" s="28"/>
    </row>
    <row r="239">
      <c r="B239" s="128"/>
      <c r="C239" s="128"/>
      <c r="D239" s="131"/>
      <c r="E239" s="28"/>
      <c r="F239" s="28"/>
      <c r="G239" s="28"/>
      <c r="H239" s="28"/>
    </row>
    <row r="240">
      <c r="B240" s="128"/>
      <c r="C240" s="128"/>
      <c r="D240" s="131"/>
      <c r="E240" s="28"/>
      <c r="F240" s="28"/>
      <c r="G240" s="28"/>
      <c r="H240" s="28"/>
    </row>
    <row r="241">
      <c r="B241" s="128"/>
      <c r="C241" s="128"/>
      <c r="D241" s="131"/>
      <c r="E241" s="28"/>
      <c r="F241" s="28"/>
      <c r="G241" s="28"/>
      <c r="H241" s="28"/>
    </row>
    <row r="242">
      <c r="B242" s="128"/>
      <c r="C242" s="128"/>
      <c r="D242" s="131"/>
      <c r="E242" s="28"/>
      <c r="F242" s="28"/>
      <c r="G242" s="28"/>
      <c r="H242" s="28"/>
    </row>
    <row r="243">
      <c r="B243" s="128"/>
      <c r="C243" s="128"/>
      <c r="D243" s="131"/>
      <c r="E243" s="28"/>
      <c r="F243" s="28"/>
      <c r="G243" s="28"/>
      <c r="H243" s="28"/>
    </row>
    <row r="244">
      <c r="B244" s="128"/>
      <c r="C244" s="128"/>
      <c r="D244" s="131"/>
      <c r="E244" s="28"/>
      <c r="F244" s="28"/>
      <c r="G244" s="28"/>
      <c r="H244" s="28"/>
    </row>
    <row r="245">
      <c r="B245" s="128"/>
      <c r="C245" s="128"/>
      <c r="D245" s="131"/>
      <c r="E245" s="28"/>
      <c r="F245" s="28"/>
      <c r="G245" s="28"/>
      <c r="H245" s="28"/>
    </row>
    <row r="246">
      <c r="B246" s="128"/>
      <c r="C246" s="128"/>
      <c r="D246" s="131"/>
      <c r="E246" s="28"/>
      <c r="F246" s="28"/>
      <c r="G246" s="28"/>
      <c r="H246" s="28"/>
    </row>
    <row r="247">
      <c r="B247" s="128"/>
      <c r="C247" s="128"/>
      <c r="D247" s="131"/>
      <c r="E247" s="28"/>
      <c r="F247" s="28"/>
      <c r="G247" s="28"/>
      <c r="H247" s="28"/>
    </row>
    <row r="248">
      <c r="B248" s="128"/>
      <c r="C248" s="128"/>
      <c r="D248" s="131"/>
      <c r="E248" s="28"/>
      <c r="F248" s="28"/>
      <c r="G248" s="28"/>
      <c r="H248" s="28"/>
    </row>
    <row r="249">
      <c r="B249" s="128"/>
      <c r="C249" s="128"/>
      <c r="D249" s="131"/>
      <c r="E249" s="28"/>
      <c r="F249" s="28"/>
      <c r="G249" s="28"/>
      <c r="H249" s="28"/>
    </row>
    <row r="250">
      <c r="B250" s="128"/>
      <c r="C250" s="128"/>
      <c r="D250" s="131"/>
      <c r="E250" s="28"/>
      <c r="F250" s="28"/>
      <c r="G250" s="28"/>
      <c r="H250" s="28"/>
    </row>
    <row r="251">
      <c r="B251" s="128"/>
      <c r="C251" s="128"/>
      <c r="D251" s="131"/>
      <c r="E251" s="28"/>
      <c r="F251" s="28"/>
      <c r="G251" s="28"/>
      <c r="H251" s="28"/>
    </row>
    <row r="252">
      <c r="B252" s="128"/>
      <c r="C252" s="128"/>
      <c r="D252" s="131"/>
      <c r="E252" s="28"/>
      <c r="F252" s="28"/>
      <c r="G252" s="28"/>
      <c r="H252" s="28"/>
    </row>
    <row r="253">
      <c r="B253" s="128"/>
      <c r="C253" s="128"/>
      <c r="D253" s="131"/>
      <c r="E253" s="28"/>
      <c r="F253" s="28"/>
      <c r="G253" s="28"/>
      <c r="H253" s="28"/>
    </row>
    <row r="254">
      <c r="B254" s="128"/>
      <c r="C254" s="128"/>
      <c r="D254" s="131"/>
      <c r="E254" s="28"/>
      <c r="F254" s="28"/>
      <c r="G254" s="28"/>
      <c r="H254" s="28"/>
    </row>
    <row r="255">
      <c r="B255" s="128"/>
      <c r="C255" s="128"/>
      <c r="D255" s="131"/>
      <c r="E255" s="28"/>
      <c r="F255" s="28"/>
      <c r="G255" s="28"/>
      <c r="H255" s="28"/>
    </row>
    <row r="256">
      <c r="B256" s="128"/>
      <c r="C256" s="128"/>
      <c r="D256" s="131"/>
      <c r="E256" s="28"/>
      <c r="F256" s="28"/>
      <c r="G256" s="28"/>
      <c r="H256" s="28"/>
    </row>
    <row r="257">
      <c r="B257" s="128"/>
      <c r="C257" s="128"/>
      <c r="D257" s="131"/>
      <c r="E257" s="28"/>
      <c r="F257" s="28"/>
      <c r="G257" s="28"/>
      <c r="H257" s="28"/>
    </row>
    <row r="258">
      <c r="B258" s="128"/>
      <c r="C258" s="128"/>
      <c r="D258" s="131"/>
      <c r="E258" s="28"/>
      <c r="F258" s="28"/>
      <c r="G258" s="28"/>
      <c r="H258" s="28"/>
    </row>
    <row r="259">
      <c r="B259" s="128"/>
      <c r="C259" s="128"/>
      <c r="D259" s="131"/>
      <c r="E259" s="28"/>
      <c r="F259" s="28"/>
      <c r="G259" s="28"/>
      <c r="H259" s="28"/>
    </row>
    <row r="260">
      <c r="B260" s="128"/>
      <c r="C260" s="128"/>
      <c r="D260" s="131"/>
      <c r="E260" s="28"/>
      <c r="F260" s="28"/>
      <c r="G260" s="28"/>
      <c r="H260" s="28"/>
    </row>
    <row r="261">
      <c r="B261" s="128"/>
      <c r="C261" s="128"/>
      <c r="D261" s="131"/>
      <c r="E261" s="28"/>
      <c r="F261" s="28"/>
      <c r="G261" s="28"/>
      <c r="H261" s="28"/>
    </row>
    <row r="262">
      <c r="B262" s="128"/>
      <c r="C262" s="128"/>
      <c r="D262" s="131"/>
      <c r="E262" s="28"/>
      <c r="F262" s="28"/>
      <c r="G262" s="28"/>
      <c r="H262" s="28"/>
    </row>
    <row r="263">
      <c r="B263" s="128"/>
      <c r="C263" s="128"/>
      <c r="D263" s="131"/>
      <c r="E263" s="28"/>
      <c r="F263" s="28"/>
      <c r="G263" s="28"/>
      <c r="H263" s="28"/>
    </row>
    <row r="264">
      <c r="B264" s="128"/>
      <c r="C264" s="128"/>
      <c r="D264" s="131"/>
      <c r="E264" s="28"/>
      <c r="F264" s="28"/>
      <c r="G264" s="28"/>
      <c r="H264" s="28"/>
    </row>
    <row r="265">
      <c r="B265" s="128"/>
      <c r="C265" s="128"/>
      <c r="D265" s="131"/>
      <c r="E265" s="28"/>
      <c r="F265" s="28"/>
      <c r="G265" s="28"/>
      <c r="H265" s="28"/>
    </row>
    <row r="266">
      <c r="B266" s="128"/>
      <c r="C266" s="128"/>
      <c r="D266" s="131"/>
      <c r="E266" s="28"/>
      <c r="F266" s="28"/>
      <c r="G266" s="28"/>
      <c r="H266" s="28"/>
    </row>
    <row r="267">
      <c r="B267" s="128"/>
      <c r="C267" s="128"/>
      <c r="D267" s="131"/>
      <c r="E267" s="28"/>
      <c r="F267" s="28"/>
      <c r="G267" s="28"/>
      <c r="H267" s="28"/>
    </row>
    <row r="268">
      <c r="B268" s="128"/>
      <c r="C268" s="128"/>
      <c r="D268" s="131"/>
      <c r="E268" s="28"/>
      <c r="F268" s="28"/>
      <c r="G268" s="28"/>
      <c r="H268" s="28"/>
    </row>
    <row r="269">
      <c r="B269" s="128"/>
      <c r="C269" s="128"/>
      <c r="D269" s="131"/>
      <c r="E269" s="28"/>
      <c r="F269" s="28"/>
      <c r="G269" s="28"/>
      <c r="H269" s="28"/>
    </row>
    <row r="270">
      <c r="B270" s="128"/>
      <c r="C270" s="128"/>
      <c r="D270" s="131"/>
      <c r="E270" s="28"/>
      <c r="F270" s="28"/>
      <c r="G270" s="28"/>
      <c r="H270" s="28"/>
    </row>
    <row r="271">
      <c r="B271" s="128"/>
      <c r="C271" s="128"/>
      <c r="D271" s="131"/>
      <c r="E271" s="28"/>
      <c r="F271" s="28"/>
      <c r="G271" s="28"/>
      <c r="H271" s="28"/>
    </row>
    <row r="272">
      <c r="B272" s="128"/>
      <c r="C272" s="128"/>
      <c r="D272" s="131"/>
      <c r="E272" s="28"/>
      <c r="F272" s="28"/>
      <c r="G272" s="28"/>
      <c r="H272" s="28"/>
    </row>
    <row r="273">
      <c r="B273" s="128"/>
      <c r="C273" s="128"/>
      <c r="D273" s="131"/>
      <c r="E273" s="28"/>
      <c r="F273" s="28"/>
      <c r="G273" s="28"/>
      <c r="H273" s="28"/>
    </row>
    <row r="274">
      <c r="B274" s="128"/>
      <c r="C274" s="128"/>
      <c r="D274" s="131"/>
      <c r="E274" s="28"/>
      <c r="F274" s="28"/>
      <c r="G274" s="28"/>
      <c r="H274" s="28"/>
    </row>
    <row r="275">
      <c r="B275" s="128"/>
      <c r="C275" s="128"/>
      <c r="D275" s="131"/>
      <c r="E275" s="28"/>
      <c r="F275" s="28"/>
      <c r="G275" s="28"/>
      <c r="H275" s="28"/>
    </row>
    <row r="276">
      <c r="B276" s="128"/>
      <c r="C276" s="128"/>
      <c r="D276" s="131"/>
      <c r="E276" s="28"/>
      <c r="F276" s="28"/>
      <c r="G276" s="28"/>
      <c r="H276" s="28"/>
    </row>
    <row r="277">
      <c r="B277" s="128"/>
      <c r="C277" s="128"/>
      <c r="D277" s="131"/>
      <c r="E277" s="28"/>
      <c r="F277" s="28"/>
      <c r="G277" s="28"/>
      <c r="H277" s="28"/>
    </row>
    <row r="278">
      <c r="B278" s="128"/>
      <c r="C278" s="128"/>
      <c r="D278" s="131"/>
      <c r="E278" s="28"/>
      <c r="F278" s="28"/>
      <c r="G278" s="28"/>
      <c r="H278" s="28"/>
    </row>
    <row r="279">
      <c r="B279" s="128"/>
      <c r="C279" s="128"/>
      <c r="D279" s="131"/>
      <c r="E279" s="28"/>
      <c r="F279" s="28"/>
      <c r="G279" s="28"/>
      <c r="H279" s="28"/>
    </row>
    <row r="280">
      <c r="B280" s="128"/>
      <c r="C280" s="128"/>
      <c r="D280" s="131"/>
      <c r="E280" s="28"/>
      <c r="F280" s="28"/>
      <c r="G280" s="28"/>
      <c r="H280" s="28"/>
    </row>
    <row r="281">
      <c r="B281" s="128"/>
      <c r="C281" s="128"/>
      <c r="D281" s="131"/>
      <c r="E281" s="28"/>
      <c r="F281" s="28"/>
      <c r="G281" s="28"/>
      <c r="H281" s="28"/>
    </row>
    <row r="282">
      <c r="B282" s="128"/>
      <c r="C282" s="128"/>
      <c r="D282" s="131"/>
      <c r="E282" s="28"/>
      <c r="F282" s="28"/>
      <c r="G282" s="28"/>
      <c r="H282" s="28"/>
    </row>
    <row r="283">
      <c r="B283" s="128"/>
      <c r="C283" s="128"/>
      <c r="D283" s="131"/>
      <c r="E283" s="28"/>
      <c r="F283" s="28"/>
      <c r="G283" s="28"/>
      <c r="H283" s="28"/>
    </row>
    <row r="284">
      <c r="B284" s="128"/>
      <c r="C284" s="128"/>
      <c r="D284" s="131"/>
      <c r="E284" s="28"/>
      <c r="F284" s="28"/>
      <c r="G284" s="28"/>
      <c r="H284" s="28"/>
    </row>
    <row r="285">
      <c r="B285" s="128"/>
      <c r="C285" s="128"/>
      <c r="D285" s="131"/>
      <c r="E285" s="28"/>
      <c r="F285" s="28"/>
      <c r="G285" s="28"/>
      <c r="H285" s="28"/>
    </row>
    <row r="286">
      <c r="B286" s="128"/>
      <c r="C286" s="128"/>
      <c r="D286" s="131"/>
      <c r="E286" s="28"/>
      <c r="F286" s="28"/>
      <c r="G286" s="28"/>
      <c r="H286" s="28"/>
    </row>
    <row r="287">
      <c r="B287" s="128"/>
      <c r="C287" s="128"/>
      <c r="D287" s="131"/>
      <c r="E287" s="28"/>
      <c r="F287" s="28"/>
      <c r="G287" s="28"/>
      <c r="H287" s="28"/>
    </row>
    <row r="288">
      <c r="B288" s="128"/>
      <c r="C288" s="128"/>
      <c r="D288" s="131"/>
      <c r="E288" s="28"/>
      <c r="F288" s="28"/>
      <c r="G288" s="28"/>
      <c r="H288" s="28"/>
    </row>
    <row r="289">
      <c r="B289" s="128"/>
      <c r="C289" s="128"/>
      <c r="D289" s="131"/>
      <c r="E289" s="28"/>
      <c r="F289" s="28"/>
      <c r="G289" s="28"/>
      <c r="H289" s="28"/>
    </row>
    <row r="290">
      <c r="B290" s="128"/>
      <c r="C290" s="128"/>
      <c r="D290" s="131"/>
      <c r="E290" s="28"/>
      <c r="F290" s="28"/>
      <c r="G290" s="28"/>
      <c r="H290" s="28"/>
    </row>
    <row r="291">
      <c r="B291" s="128"/>
      <c r="C291" s="128"/>
      <c r="D291" s="131"/>
      <c r="E291" s="28"/>
      <c r="F291" s="28"/>
      <c r="G291" s="28"/>
      <c r="H291" s="28"/>
    </row>
    <row r="292">
      <c r="B292" s="128"/>
      <c r="C292" s="128"/>
      <c r="D292" s="131"/>
      <c r="E292" s="28"/>
      <c r="F292" s="28"/>
      <c r="G292" s="28"/>
      <c r="H292" s="28"/>
    </row>
    <row r="293">
      <c r="B293" s="128"/>
      <c r="C293" s="128"/>
      <c r="D293" s="131"/>
      <c r="E293" s="28"/>
      <c r="F293" s="28"/>
      <c r="G293" s="28"/>
      <c r="H293" s="28"/>
    </row>
    <row r="294">
      <c r="B294" s="128"/>
      <c r="C294" s="128"/>
      <c r="D294" s="131"/>
      <c r="E294" s="28"/>
      <c r="F294" s="28"/>
      <c r="G294" s="28"/>
      <c r="H294" s="28"/>
    </row>
    <row r="295">
      <c r="B295" s="128"/>
      <c r="C295" s="128"/>
      <c r="D295" s="131"/>
      <c r="E295" s="28"/>
      <c r="F295" s="28"/>
      <c r="G295" s="28"/>
      <c r="H295" s="28"/>
    </row>
    <row r="296">
      <c r="B296" s="128"/>
      <c r="C296" s="128"/>
      <c r="D296" s="131"/>
      <c r="E296" s="28"/>
      <c r="F296" s="28"/>
      <c r="G296" s="28"/>
      <c r="H296" s="28"/>
    </row>
    <row r="297">
      <c r="B297" s="128"/>
      <c r="C297" s="128"/>
      <c r="D297" s="131"/>
      <c r="E297" s="28"/>
      <c r="F297" s="28"/>
      <c r="G297" s="28"/>
      <c r="H297" s="28"/>
    </row>
    <row r="298">
      <c r="B298" s="128"/>
      <c r="C298" s="128"/>
      <c r="D298" s="131"/>
      <c r="E298" s="28"/>
      <c r="F298" s="28"/>
      <c r="G298" s="28"/>
      <c r="H298" s="28"/>
    </row>
    <row r="299">
      <c r="B299" s="128"/>
      <c r="C299" s="128"/>
      <c r="D299" s="131"/>
      <c r="E299" s="28"/>
      <c r="F299" s="28"/>
      <c r="G299" s="28"/>
      <c r="H299" s="28"/>
    </row>
    <row r="300">
      <c r="B300" s="128"/>
      <c r="C300" s="128"/>
      <c r="D300" s="131"/>
      <c r="E300" s="28"/>
      <c r="F300" s="28"/>
      <c r="G300" s="28"/>
      <c r="H300" s="28"/>
    </row>
    <row r="301">
      <c r="B301" s="128"/>
      <c r="C301" s="128"/>
      <c r="D301" s="131"/>
      <c r="E301" s="28"/>
      <c r="F301" s="28"/>
      <c r="G301" s="28"/>
      <c r="H301" s="28"/>
    </row>
    <row r="302">
      <c r="B302" s="128"/>
      <c r="C302" s="128"/>
      <c r="D302" s="131"/>
      <c r="E302" s="28"/>
      <c r="F302" s="28"/>
      <c r="G302" s="28"/>
      <c r="H302" s="28"/>
    </row>
    <row r="303">
      <c r="B303" s="128"/>
      <c r="C303" s="128"/>
      <c r="D303" s="131"/>
      <c r="E303" s="28"/>
      <c r="F303" s="28"/>
      <c r="G303" s="28"/>
      <c r="H303" s="28"/>
    </row>
    <row r="304">
      <c r="B304" s="128"/>
      <c r="C304" s="128"/>
      <c r="D304" s="131"/>
      <c r="E304" s="28"/>
      <c r="F304" s="28"/>
      <c r="G304" s="28"/>
      <c r="H304" s="28"/>
    </row>
    <row r="305">
      <c r="B305" s="128"/>
      <c r="C305" s="128"/>
      <c r="D305" s="131"/>
      <c r="E305" s="28"/>
      <c r="F305" s="28"/>
      <c r="G305" s="28"/>
      <c r="H305" s="28"/>
    </row>
    <row r="306">
      <c r="B306" s="128"/>
      <c r="C306" s="128"/>
      <c r="D306" s="131"/>
      <c r="E306" s="28"/>
      <c r="F306" s="28"/>
      <c r="G306" s="28"/>
      <c r="H306" s="28"/>
    </row>
    <row r="307">
      <c r="B307" s="128"/>
      <c r="C307" s="128"/>
      <c r="D307" s="131"/>
      <c r="E307" s="28"/>
      <c r="F307" s="28"/>
      <c r="G307" s="28"/>
      <c r="H307" s="28"/>
    </row>
    <row r="308">
      <c r="B308" s="128"/>
      <c r="C308" s="128"/>
      <c r="D308" s="131"/>
      <c r="E308" s="28"/>
      <c r="F308" s="28"/>
      <c r="G308" s="28"/>
      <c r="H308" s="28"/>
    </row>
    <row r="309">
      <c r="B309" s="128"/>
      <c r="C309" s="128"/>
      <c r="D309" s="131"/>
      <c r="E309" s="28"/>
      <c r="F309" s="28"/>
      <c r="G309" s="28"/>
      <c r="H309" s="28"/>
    </row>
    <row r="310">
      <c r="B310" s="128"/>
      <c r="C310" s="128"/>
      <c r="D310" s="131"/>
      <c r="E310" s="28"/>
      <c r="F310" s="28"/>
      <c r="G310" s="28"/>
      <c r="H310" s="28"/>
    </row>
    <row r="311">
      <c r="B311" s="128"/>
      <c r="C311" s="128"/>
      <c r="D311" s="131"/>
      <c r="E311" s="28"/>
      <c r="F311" s="28"/>
      <c r="G311" s="28"/>
      <c r="H311" s="28"/>
    </row>
    <row r="312">
      <c r="B312" s="128"/>
      <c r="C312" s="128"/>
      <c r="D312" s="131"/>
      <c r="E312" s="28"/>
      <c r="F312" s="28"/>
      <c r="G312" s="28"/>
      <c r="H312" s="28"/>
    </row>
    <row r="313">
      <c r="B313" s="128"/>
      <c r="C313" s="128"/>
      <c r="D313" s="131"/>
      <c r="E313" s="28"/>
      <c r="F313" s="28"/>
      <c r="G313" s="28"/>
      <c r="H313" s="28"/>
    </row>
    <row r="314">
      <c r="B314" s="128"/>
      <c r="C314" s="128"/>
      <c r="D314" s="131"/>
      <c r="E314" s="28"/>
      <c r="F314" s="28"/>
      <c r="G314" s="28"/>
      <c r="H314" s="28"/>
    </row>
    <row r="315">
      <c r="B315" s="128"/>
      <c r="C315" s="128"/>
      <c r="D315" s="131"/>
      <c r="E315" s="28"/>
      <c r="F315" s="28"/>
      <c r="G315" s="28"/>
      <c r="H315" s="28"/>
    </row>
    <row r="316">
      <c r="B316" s="128"/>
      <c r="C316" s="128"/>
      <c r="D316" s="131"/>
      <c r="E316" s="28"/>
      <c r="F316" s="28"/>
      <c r="G316" s="28"/>
      <c r="H316" s="28"/>
    </row>
    <row r="317">
      <c r="B317" s="128"/>
      <c r="C317" s="128"/>
      <c r="D317" s="131"/>
      <c r="E317" s="28"/>
      <c r="F317" s="28"/>
      <c r="G317" s="28"/>
      <c r="H317" s="28"/>
    </row>
    <row r="318">
      <c r="B318" s="128"/>
      <c r="C318" s="128"/>
      <c r="D318" s="131"/>
      <c r="E318" s="28"/>
      <c r="F318" s="28"/>
      <c r="G318" s="28"/>
      <c r="H318" s="28"/>
    </row>
    <row r="319">
      <c r="B319" s="128"/>
      <c r="C319" s="128"/>
      <c r="D319" s="131"/>
      <c r="E319" s="28"/>
      <c r="F319" s="28"/>
      <c r="G319" s="28"/>
      <c r="H319" s="28"/>
    </row>
    <row r="320">
      <c r="B320" s="128"/>
      <c r="C320" s="128"/>
      <c r="D320" s="131"/>
      <c r="E320" s="28"/>
      <c r="F320" s="28"/>
      <c r="G320" s="28"/>
      <c r="H320" s="28"/>
    </row>
    <row r="321">
      <c r="B321" s="128"/>
      <c r="C321" s="128"/>
      <c r="D321" s="131"/>
      <c r="E321" s="28"/>
      <c r="F321" s="28"/>
      <c r="G321" s="28"/>
      <c r="H321" s="28"/>
    </row>
    <row r="322">
      <c r="B322" s="128"/>
      <c r="C322" s="128"/>
      <c r="D322" s="131"/>
      <c r="E322" s="28"/>
      <c r="F322" s="28"/>
      <c r="G322" s="28"/>
      <c r="H322" s="28"/>
    </row>
    <row r="323">
      <c r="B323" s="128"/>
      <c r="C323" s="128"/>
      <c r="D323" s="131"/>
      <c r="E323" s="28"/>
      <c r="F323" s="28"/>
      <c r="G323" s="28"/>
      <c r="H323" s="28"/>
    </row>
    <row r="324">
      <c r="B324" s="128"/>
      <c r="C324" s="128"/>
      <c r="D324" s="131"/>
      <c r="E324" s="28"/>
      <c r="F324" s="28"/>
      <c r="G324" s="28"/>
      <c r="H324" s="28"/>
    </row>
    <row r="325">
      <c r="B325" s="128"/>
      <c r="C325" s="128"/>
      <c r="D325" s="131"/>
      <c r="E325" s="28"/>
      <c r="F325" s="28"/>
      <c r="G325" s="28"/>
      <c r="H325" s="28"/>
    </row>
    <row r="326">
      <c r="B326" s="128"/>
      <c r="C326" s="128"/>
      <c r="D326" s="131"/>
      <c r="E326" s="28"/>
      <c r="F326" s="28"/>
      <c r="G326" s="28"/>
      <c r="H326" s="28"/>
    </row>
    <row r="327">
      <c r="B327" s="128"/>
      <c r="C327" s="128"/>
      <c r="D327" s="131"/>
      <c r="E327" s="28"/>
      <c r="F327" s="28"/>
      <c r="G327" s="28"/>
      <c r="H327" s="28"/>
    </row>
    <row r="328">
      <c r="B328" s="128"/>
      <c r="C328" s="128"/>
      <c r="D328" s="131"/>
      <c r="E328" s="28"/>
      <c r="F328" s="28"/>
      <c r="G328" s="28"/>
      <c r="H328" s="28"/>
    </row>
    <row r="329">
      <c r="B329" s="128"/>
      <c r="C329" s="128"/>
      <c r="D329" s="131"/>
      <c r="E329" s="28"/>
      <c r="F329" s="28"/>
      <c r="G329" s="28"/>
      <c r="H329" s="28"/>
    </row>
    <row r="330">
      <c r="B330" s="128"/>
      <c r="C330" s="128"/>
      <c r="D330" s="131"/>
      <c r="E330" s="28"/>
      <c r="F330" s="28"/>
      <c r="G330" s="28"/>
      <c r="H330" s="28"/>
    </row>
    <row r="331">
      <c r="B331" s="128"/>
      <c r="C331" s="128"/>
      <c r="D331" s="131"/>
      <c r="E331" s="28"/>
      <c r="F331" s="28"/>
      <c r="G331" s="28"/>
      <c r="H331" s="28"/>
    </row>
    <row r="332">
      <c r="B332" s="128"/>
      <c r="C332" s="128"/>
      <c r="D332" s="131"/>
      <c r="E332" s="28"/>
      <c r="F332" s="28"/>
      <c r="G332" s="28"/>
      <c r="H332" s="28"/>
    </row>
    <row r="333">
      <c r="B333" s="128"/>
      <c r="C333" s="128"/>
      <c r="D333" s="131"/>
      <c r="E333" s="28"/>
      <c r="F333" s="28"/>
      <c r="G333" s="28"/>
      <c r="H333" s="28"/>
    </row>
    <row r="334">
      <c r="B334" s="128"/>
      <c r="C334" s="128"/>
      <c r="D334" s="131"/>
      <c r="E334" s="28"/>
      <c r="F334" s="28"/>
      <c r="G334" s="28"/>
      <c r="H334" s="28"/>
    </row>
    <row r="335">
      <c r="B335" s="128"/>
      <c r="C335" s="128"/>
      <c r="D335" s="131"/>
      <c r="E335" s="28"/>
      <c r="F335" s="28"/>
      <c r="G335" s="28"/>
      <c r="H335" s="28"/>
    </row>
    <row r="336">
      <c r="B336" s="128"/>
      <c r="C336" s="128"/>
      <c r="D336" s="131"/>
      <c r="E336" s="28"/>
      <c r="F336" s="28"/>
      <c r="G336" s="28"/>
      <c r="H336" s="28"/>
    </row>
    <row r="337">
      <c r="B337" s="128"/>
      <c r="C337" s="128"/>
      <c r="D337" s="131"/>
      <c r="E337" s="28"/>
      <c r="F337" s="28"/>
      <c r="G337" s="28"/>
      <c r="H337" s="28"/>
    </row>
    <row r="338">
      <c r="B338" s="128"/>
      <c r="C338" s="128"/>
      <c r="D338" s="131"/>
      <c r="E338" s="28"/>
      <c r="F338" s="28"/>
      <c r="G338" s="28"/>
      <c r="H338" s="28"/>
    </row>
    <row r="339">
      <c r="B339" s="128"/>
      <c r="C339" s="128"/>
      <c r="D339" s="131"/>
      <c r="E339" s="28"/>
      <c r="F339" s="28"/>
      <c r="G339" s="28"/>
      <c r="H339" s="28"/>
    </row>
    <row r="340">
      <c r="B340" s="128"/>
      <c r="C340" s="128"/>
      <c r="D340" s="131"/>
      <c r="E340" s="28"/>
      <c r="F340" s="28"/>
      <c r="G340" s="28"/>
      <c r="H340" s="28"/>
    </row>
    <row r="341">
      <c r="B341" s="128"/>
      <c r="C341" s="128"/>
      <c r="D341" s="131"/>
      <c r="E341" s="28"/>
      <c r="F341" s="28"/>
      <c r="G341" s="28"/>
      <c r="H341" s="28"/>
    </row>
    <row r="342">
      <c r="B342" s="128"/>
      <c r="C342" s="128"/>
      <c r="D342" s="131"/>
      <c r="E342" s="28"/>
      <c r="F342" s="28"/>
      <c r="G342" s="28"/>
      <c r="H342" s="28"/>
    </row>
    <row r="343">
      <c r="B343" s="128"/>
      <c r="C343" s="128"/>
      <c r="D343" s="131"/>
      <c r="E343" s="28"/>
      <c r="F343" s="28"/>
      <c r="G343" s="28"/>
      <c r="H343" s="28"/>
    </row>
    <row r="344">
      <c r="B344" s="128"/>
      <c r="C344" s="128"/>
      <c r="D344" s="131"/>
      <c r="E344" s="28"/>
      <c r="F344" s="28"/>
      <c r="G344" s="28"/>
      <c r="H344" s="28"/>
    </row>
    <row r="345">
      <c r="B345" s="128"/>
      <c r="C345" s="128"/>
      <c r="D345" s="131"/>
      <c r="E345" s="28"/>
      <c r="F345" s="28"/>
      <c r="G345" s="28"/>
      <c r="H345" s="28"/>
    </row>
    <row r="346">
      <c r="B346" s="128"/>
      <c r="C346" s="128"/>
      <c r="D346" s="131"/>
      <c r="E346" s="28"/>
      <c r="F346" s="28"/>
      <c r="G346" s="28"/>
      <c r="H346" s="28"/>
    </row>
    <row r="347">
      <c r="B347" s="128"/>
      <c r="C347" s="128"/>
      <c r="D347" s="131"/>
      <c r="E347" s="28"/>
      <c r="F347" s="28"/>
      <c r="G347" s="28"/>
      <c r="H347" s="28"/>
    </row>
    <row r="348">
      <c r="B348" s="128"/>
      <c r="C348" s="128"/>
      <c r="D348" s="131"/>
      <c r="E348" s="28"/>
      <c r="F348" s="28"/>
      <c r="G348" s="28"/>
      <c r="H348" s="28"/>
    </row>
    <row r="349">
      <c r="B349" s="128"/>
      <c r="C349" s="128"/>
      <c r="D349" s="131"/>
      <c r="E349" s="28"/>
      <c r="F349" s="28"/>
      <c r="G349" s="28"/>
      <c r="H349" s="28"/>
    </row>
    <row r="350">
      <c r="B350" s="128"/>
      <c r="C350" s="128"/>
      <c r="D350" s="131"/>
      <c r="E350" s="28"/>
      <c r="F350" s="28"/>
      <c r="G350" s="28"/>
      <c r="H350" s="28"/>
    </row>
    <row r="351">
      <c r="B351" s="128"/>
      <c r="C351" s="128"/>
      <c r="D351" s="131"/>
      <c r="E351" s="28"/>
      <c r="F351" s="28"/>
      <c r="G351" s="28"/>
      <c r="H351" s="28"/>
    </row>
    <row r="352">
      <c r="B352" s="128"/>
      <c r="C352" s="128"/>
      <c r="D352" s="131"/>
      <c r="E352" s="28"/>
      <c r="F352" s="28"/>
      <c r="G352" s="28"/>
      <c r="H352" s="28"/>
    </row>
    <row r="353">
      <c r="B353" s="128"/>
      <c r="C353" s="128"/>
      <c r="D353" s="131"/>
      <c r="E353" s="28"/>
      <c r="F353" s="28"/>
      <c r="G353" s="28"/>
      <c r="H353" s="28"/>
    </row>
    <row r="354">
      <c r="B354" s="128"/>
      <c r="C354" s="128"/>
      <c r="D354" s="131"/>
      <c r="E354" s="28"/>
      <c r="F354" s="28"/>
      <c r="G354" s="28"/>
      <c r="H354" s="28"/>
    </row>
    <row r="355">
      <c r="B355" s="128"/>
      <c r="C355" s="128"/>
      <c r="D355" s="131"/>
      <c r="E355" s="28"/>
      <c r="F355" s="28"/>
      <c r="G355" s="28"/>
      <c r="H355" s="28"/>
    </row>
    <row r="356">
      <c r="B356" s="128"/>
      <c r="C356" s="128"/>
      <c r="D356" s="131"/>
      <c r="E356" s="28"/>
      <c r="F356" s="28"/>
      <c r="G356" s="28"/>
      <c r="H356" s="28"/>
    </row>
    <row r="357">
      <c r="B357" s="128"/>
      <c r="C357" s="128"/>
      <c r="D357" s="131"/>
      <c r="E357" s="28"/>
      <c r="F357" s="28"/>
      <c r="G357" s="28"/>
      <c r="H357" s="28"/>
    </row>
    <row r="358">
      <c r="B358" s="128"/>
      <c r="C358" s="128"/>
      <c r="D358" s="131"/>
      <c r="E358" s="28"/>
      <c r="F358" s="28"/>
      <c r="G358" s="28"/>
      <c r="H358" s="28"/>
    </row>
    <row r="359">
      <c r="B359" s="128"/>
      <c r="C359" s="128"/>
      <c r="D359" s="131"/>
      <c r="E359" s="28"/>
      <c r="F359" s="28"/>
      <c r="G359" s="28"/>
      <c r="H359" s="28"/>
    </row>
    <row r="360">
      <c r="B360" s="128"/>
      <c r="C360" s="128"/>
      <c r="D360" s="131"/>
      <c r="E360" s="28"/>
      <c r="F360" s="28"/>
      <c r="G360" s="28"/>
      <c r="H360" s="28"/>
    </row>
    <row r="361">
      <c r="B361" s="128"/>
      <c r="C361" s="128"/>
      <c r="D361" s="131"/>
      <c r="E361" s="28"/>
      <c r="F361" s="28"/>
      <c r="G361" s="28"/>
      <c r="H361" s="28"/>
    </row>
    <row r="362">
      <c r="B362" s="128"/>
      <c r="C362" s="128"/>
      <c r="D362" s="131"/>
      <c r="E362" s="28"/>
      <c r="F362" s="28"/>
      <c r="G362" s="28"/>
      <c r="H362" s="28"/>
    </row>
    <row r="363">
      <c r="B363" s="128"/>
      <c r="C363" s="128"/>
      <c r="D363" s="131"/>
      <c r="E363" s="28"/>
      <c r="F363" s="28"/>
      <c r="G363" s="28"/>
      <c r="H363" s="28"/>
    </row>
    <row r="364">
      <c r="B364" s="128"/>
      <c r="C364" s="128"/>
      <c r="D364" s="131"/>
      <c r="E364" s="28"/>
      <c r="F364" s="28"/>
      <c r="G364" s="28"/>
      <c r="H364" s="28"/>
    </row>
    <row r="365">
      <c r="B365" s="128"/>
      <c r="C365" s="128"/>
      <c r="D365" s="131"/>
      <c r="E365" s="28"/>
      <c r="F365" s="28"/>
      <c r="G365" s="28"/>
      <c r="H365" s="28"/>
    </row>
    <row r="366">
      <c r="B366" s="128"/>
      <c r="C366" s="128"/>
      <c r="D366" s="131"/>
      <c r="E366" s="28"/>
      <c r="F366" s="28"/>
      <c r="G366" s="28"/>
      <c r="H366" s="28"/>
    </row>
    <row r="367">
      <c r="B367" s="128"/>
      <c r="C367" s="128"/>
      <c r="D367" s="131"/>
      <c r="E367" s="28"/>
      <c r="F367" s="28"/>
      <c r="G367" s="28"/>
      <c r="H367" s="28"/>
    </row>
    <row r="368">
      <c r="B368" s="128"/>
      <c r="C368" s="128"/>
      <c r="D368" s="131"/>
      <c r="E368" s="28"/>
      <c r="F368" s="28"/>
      <c r="G368" s="28"/>
      <c r="H368" s="28"/>
    </row>
    <row r="369">
      <c r="B369" s="128"/>
      <c r="C369" s="128"/>
      <c r="D369" s="131"/>
      <c r="E369" s="28"/>
      <c r="F369" s="28"/>
      <c r="G369" s="28"/>
      <c r="H369" s="28"/>
    </row>
    <row r="370">
      <c r="B370" s="128"/>
      <c r="C370" s="128"/>
      <c r="D370" s="131"/>
      <c r="E370" s="28"/>
      <c r="F370" s="28"/>
      <c r="G370" s="28"/>
      <c r="H370" s="28"/>
    </row>
    <row r="371">
      <c r="B371" s="128"/>
      <c r="C371" s="128"/>
      <c r="D371" s="131"/>
      <c r="E371" s="28"/>
      <c r="F371" s="28"/>
      <c r="G371" s="28"/>
      <c r="H371" s="28"/>
    </row>
    <row r="372">
      <c r="B372" s="128"/>
      <c r="C372" s="128"/>
      <c r="D372" s="131"/>
      <c r="E372" s="28"/>
      <c r="F372" s="28"/>
      <c r="G372" s="28"/>
      <c r="H372" s="28"/>
    </row>
    <row r="373">
      <c r="B373" s="128"/>
      <c r="C373" s="128"/>
      <c r="D373" s="131"/>
      <c r="E373" s="28"/>
      <c r="F373" s="28"/>
      <c r="G373" s="28"/>
      <c r="H373" s="28"/>
    </row>
    <row r="374">
      <c r="B374" s="128"/>
      <c r="C374" s="128"/>
      <c r="D374" s="131"/>
      <c r="E374" s="28"/>
      <c r="F374" s="28"/>
      <c r="G374" s="28"/>
      <c r="H374" s="28"/>
    </row>
    <row r="375">
      <c r="B375" s="128"/>
      <c r="C375" s="128"/>
      <c r="D375" s="131"/>
      <c r="E375" s="28"/>
      <c r="F375" s="28"/>
      <c r="G375" s="28"/>
      <c r="H375" s="28"/>
    </row>
    <row r="376">
      <c r="B376" s="128"/>
      <c r="C376" s="128"/>
      <c r="D376" s="131"/>
      <c r="E376" s="28"/>
      <c r="F376" s="28"/>
      <c r="G376" s="28"/>
      <c r="H376" s="28"/>
    </row>
    <row r="377">
      <c r="B377" s="128"/>
      <c r="C377" s="128"/>
      <c r="D377" s="131"/>
      <c r="E377" s="28"/>
      <c r="F377" s="28"/>
      <c r="G377" s="28"/>
      <c r="H377" s="28"/>
    </row>
    <row r="378">
      <c r="B378" s="128"/>
      <c r="C378" s="128"/>
      <c r="D378" s="131"/>
      <c r="E378" s="28"/>
      <c r="F378" s="28"/>
      <c r="G378" s="28"/>
      <c r="H378" s="28"/>
    </row>
    <row r="379">
      <c r="B379" s="128"/>
      <c r="C379" s="128"/>
      <c r="D379" s="131"/>
      <c r="E379" s="28"/>
      <c r="F379" s="28"/>
      <c r="G379" s="28"/>
      <c r="H379" s="28"/>
    </row>
    <row r="380">
      <c r="B380" s="128"/>
      <c r="C380" s="128"/>
      <c r="D380" s="131"/>
      <c r="E380" s="28"/>
      <c r="F380" s="28"/>
      <c r="G380" s="28"/>
      <c r="H380" s="28"/>
    </row>
    <row r="381">
      <c r="B381" s="128"/>
      <c r="C381" s="128"/>
      <c r="D381" s="131"/>
      <c r="E381" s="28"/>
      <c r="F381" s="28"/>
      <c r="G381" s="28"/>
      <c r="H381" s="28"/>
    </row>
    <row r="382">
      <c r="B382" s="128"/>
      <c r="C382" s="128"/>
      <c r="D382" s="131"/>
      <c r="E382" s="28"/>
      <c r="F382" s="28"/>
      <c r="G382" s="28"/>
      <c r="H382" s="28"/>
    </row>
    <row r="383">
      <c r="B383" s="128"/>
      <c r="C383" s="128"/>
      <c r="D383" s="131"/>
      <c r="E383" s="28"/>
      <c r="F383" s="28"/>
      <c r="G383" s="28"/>
      <c r="H383" s="28"/>
    </row>
    <row r="384">
      <c r="B384" s="128"/>
      <c r="C384" s="128"/>
      <c r="D384" s="131"/>
      <c r="E384" s="28"/>
      <c r="F384" s="28"/>
      <c r="G384" s="28"/>
      <c r="H384" s="28"/>
    </row>
    <row r="385">
      <c r="B385" s="128"/>
      <c r="C385" s="128"/>
      <c r="D385" s="131"/>
      <c r="E385" s="28"/>
      <c r="F385" s="28"/>
      <c r="G385" s="28"/>
      <c r="H385" s="28"/>
    </row>
    <row r="386">
      <c r="B386" s="128"/>
      <c r="C386" s="128"/>
      <c r="D386" s="131"/>
      <c r="E386" s="28"/>
      <c r="F386" s="28"/>
      <c r="G386" s="28"/>
      <c r="H386" s="28"/>
    </row>
    <row r="387">
      <c r="B387" s="128"/>
      <c r="C387" s="128"/>
      <c r="D387" s="131"/>
      <c r="E387" s="28"/>
      <c r="F387" s="28"/>
      <c r="G387" s="28"/>
      <c r="H387" s="28"/>
    </row>
    <row r="388">
      <c r="B388" s="128"/>
      <c r="C388" s="128"/>
      <c r="D388" s="131"/>
      <c r="E388" s="28"/>
      <c r="F388" s="28"/>
      <c r="G388" s="28"/>
      <c r="H388" s="28"/>
    </row>
    <row r="389">
      <c r="B389" s="128"/>
      <c r="C389" s="128"/>
      <c r="D389" s="131"/>
      <c r="E389" s="28"/>
      <c r="F389" s="28"/>
      <c r="G389" s="28"/>
      <c r="H389" s="28"/>
    </row>
    <row r="390">
      <c r="B390" s="128"/>
      <c r="C390" s="128"/>
      <c r="D390" s="131"/>
      <c r="E390" s="28"/>
      <c r="F390" s="28"/>
      <c r="G390" s="28"/>
      <c r="H390" s="28"/>
    </row>
    <row r="391">
      <c r="B391" s="128"/>
      <c r="C391" s="128"/>
      <c r="D391" s="131"/>
      <c r="E391" s="28"/>
      <c r="F391" s="28"/>
      <c r="G391" s="28"/>
      <c r="H391" s="28"/>
    </row>
    <row r="392">
      <c r="B392" s="128"/>
      <c r="C392" s="128"/>
      <c r="D392" s="131"/>
      <c r="E392" s="28"/>
      <c r="F392" s="28"/>
      <c r="G392" s="28"/>
      <c r="H392" s="28"/>
    </row>
    <row r="393">
      <c r="B393" s="128"/>
      <c r="C393" s="128"/>
      <c r="D393" s="131"/>
      <c r="E393" s="28"/>
      <c r="F393" s="28"/>
      <c r="G393" s="28"/>
      <c r="H393" s="28"/>
    </row>
    <row r="394">
      <c r="B394" s="128"/>
      <c r="C394" s="128"/>
      <c r="D394" s="131"/>
      <c r="E394" s="28"/>
      <c r="F394" s="28"/>
      <c r="G394" s="28"/>
      <c r="H394" s="28"/>
    </row>
    <row r="395">
      <c r="B395" s="128"/>
      <c r="C395" s="128"/>
      <c r="D395" s="131"/>
      <c r="E395" s="28"/>
      <c r="F395" s="28"/>
      <c r="G395" s="28"/>
      <c r="H395" s="28"/>
    </row>
    <row r="396">
      <c r="B396" s="128"/>
      <c r="C396" s="128"/>
      <c r="D396" s="131"/>
      <c r="E396" s="28"/>
      <c r="F396" s="28"/>
      <c r="G396" s="28"/>
      <c r="H396" s="28"/>
    </row>
    <row r="397">
      <c r="B397" s="128"/>
      <c r="C397" s="128"/>
      <c r="D397" s="131"/>
      <c r="E397" s="28"/>
      <c r="F397" s="28"/>
      <c r="G397" s="28"/>
      <c r="H397" s="28"/>
    </row>
    <row r="398">
      <c r="B398" s="128"/>
      <c r="C398" s="128"/>
      <c r="D398" s="131"/>
      <c r="E398" s="28"/>
      <c r="F398" s="28"/>
      <c r="G398" s="28"/>
      <c r="H398" s="28"/>
    </row>
    <row r="399">
      <c r="B399" s="128"/>
      <c r="C399" s="128"/>
      <c r="D399" s="131"/>
      <c r="E399" s="28"/>
      <c r="F399" s="28"/>
      <c r="G399" s="28"/>
      <c r="H399" s="28"/>
    </row>
    <row r="400">
      <c r="B400" s="128"/>
      <c r="C400" s="128"/>
      <c r="D400" s="131"/>
      <c r="E400" s="28"/>
      <c r="F400" s="28"/>
      <c r="G400" s="28"/>
      <c r="H400" s="28"/>
    </row>
    <row r="401">
      <c r="B401" s="128"/>
      <c r="C401" s="128"/>
      <c r="D401" s="131"/>
      <c r="E401" s="28"/>
      <c r="F401" s="28"/>
      <c r="G401" s="28"/>
      <c r="H401" s="28"/>
    </row>
    <row r="402">
      <c r="B402" s="128"/>
      <c r="C402" s="128"/>
      <c r="D402" s="131"/>
      <c r="E402" s="28"/>
      <c r="F402" s="28"/>
      <c r="G402" s="28"/>
      <c r="H402" s="28"/>
    </row>
    <row r="403">
      <c r="B403" s="128"/>
      <c r="C403" s="128"/>
      <c r="D403" s="131"/>
      <c r="E403" s="28"/>
      <c r="F403" s="28"/>
      <c r="G403" s="28"/>
      <c r="H403" s="28"/>
    </row>
    <row r="404">
      <c r="B404" s="128"/>
      <c r="C404" s="128"/>
      <c r="D404" s="131"/>
      <c r="E404" s="28"/>
      <c r="F404" s="28"/>
      <c r="G404" s="28"/>
      <c r="H404" s="28"/>
    </row>
    <row r="405">
      <c r="B405" s="128"/>
      <c r="C405" s="128"/>
      <c r="D405" s="131"/>
      <c r="E405" s="28"/>
      <c r="F405" s="28"/>
      <c r="G405" s="28"/>
      <c r="H405" s="28"/>
    </row>
    <row r="406">
      <c r="B406" s="128"/>
      <c r="C406" s="128"/>
      <c r="D406" s="131"/>
      <c r="E406" s="28"/>
      <c r="F406" s="28"/>
      <c r="G406" s="28"/>
      <c r="H406" s="28"/>
    </row>
    <row r="407">
      <c r="B407" s="128"/>
      <c r="C407" s="128"/>
      <c r="D407" s="131"/>
      <c r="E407" s="28"/>
      <c r="F407" s="28"/>
      <c r="G407" s="28"/>
      <c r="H407" s="28"/>
    </row>
    <row r="408">
      <c r="B408" s="128"/>
      <c r="C408" s="128"/>
      <c r="D408" s="131"/>
      <c r="E408" s="28"/>
      <c r="F408" s="28"/>
      <c r="G408" s="28"/>
      <c r="H408" s="28"/>
    </row>
    <row r="409">
      <c r="B409" s="128"/>
      <c r="C409" s="128"/>
      <c r="D409" s="131"/>
      <c r="E409" s="28"/>
      <c r="F409" s="28"/>
      <c r="G409" s="28"/>
      <c r="H409" s="28"/>
    </row>
    <row r="410">
      <c r="B410" s="128"/>
      <c r="C410" s="128"/>
      <c r="D410" s="131"/>
      <c r="E410" s="28"/>
      <c r="F410" s="28"/>
      <c r="G410" s="28"/>
      <c r="H410" s="28"/>
    </row>
    <row r="411">
      <c r="B411" s="128"/>
      <c r="C411" s="128"/>
      <c r="D411" s="131"/>
      <c r="E411" s="28"/>
      <c r="F411" s="28"/>
      <c r="G411" s="28"/>
      <c r="H411" s="28"/>
    </row>
    <row r="412">
      <c r="B412" s="128"/>
      <c r="C412" s="128"/>
      <c r="D412" s="131"/>
      <c r="E412" s="28"/>
      <c r="F412" s="28"/>
      <c r="G412" s="28"/>
      <c r="H412" s="28"/>
    </row>
    <row r="413">
      <c r="B413" s="128"/>
      <c r="C413" s="128"/>
      <c r="D413" s="131"/>
      <c r="E413" s="28"/>
      <c r="F413" s="28"/>
      <c r="G413" s="28"/>
      <c r="H413" s="28"/>
    </row>
    <row r="414">
      <c r="B414" s="128"/>
      <c r="C414" s="128"/>
      <c r="D414" s="131"/>
      <c r="E414" s="28"/>
      <c r="F414" s="28"/>
      <c r="G414" s="28"/>
      <c r="H414" s="28"/>
    </row>
    <row r="415">
      <c r="B415" s="128"/>
      <c r="C415" s="128"/>
      <c r="D415" s="131"/>
      <c r="E415" s="28"/>
      <c r="F415" s="28"/>
      <c r="G415" s="28"/>
      <c r="H415" s="28"/>
    </row>
    <row r="416">
      <c r="B416" s="128"/>
      <c r="C416" s="128"/>
      <c r="D416" s="131"/>
      <c r="E416" s="28"/>
      <c r="F416" s="28"/>
      <c r="G416" s="28"/>
      <c r="H416" s="28"/>
    </row>
    <row r="417">
      <c r="B417" s="128"/>
      <c r="C417" s="128"/>
      <c r="D417" s="131"/>
      <c r="E417" s="28"/>
      <c r="F417" s="28"/>
      <c r="G417" s="28"/>
      <c r="H417" s="28"/>
    </row>
    <row r="418">
      <c r="B418" s="128"/>
      <c r="C418" s="128"/>
      <c r="D418" s="131"/>
      <c r="E418" s="28"/>
      <c r="F418" s="28"/>
      <c r="G418" s="28"/>
      <c r="H418" s="28"/>
    </row>
    <row r="419">
      <c r="B419" s="128"/>
      <c r="C419" s="128"/>
      <c r="D419" s="131"/>
      <c r="E419" s="28"/>
      <c r="F419" s="28"/>
      <c r="G419" s="28"/>
      <c r="H419" s="28"/>
    </row>
    <row r="420">
      <c r="B420" s="128"/>
      <c r="C420" s="128"/>
      <c r="D420" s="131"/>
      <c r="E420" s="28"/>
      <c r="F420" s="28"/>
      <c r="G420" s="28"/>
      <c r="H420" s="28"/>
    </row>
    <row r="421">
      <c r="B421" s="128"/>
      <c r="C421" s="128"/>
      <c r="D421" s="131"/>
      <c r="E421" s="28"/>
      <c r="F421" s="28"/>
      <c r="G421" s="28"/>
      <c r="H421" s="28"/>
    </row>
    <row r="422">
      <c r="B422" s="128"/>
      <c r="C422" s="128"/>
      <c r="D422" s="131"/>
      <c r="E422" s="28"/>
      <c r="F422" s="28"/>
      <c r="G422" s="28"/>
      <c r="H422" s="28"/>
    </row>
    <row r="423">
      <c r="B423" s="128"/>
      <c r="C423" s="128"/>
      <c r="D423" s="131"/>
      <c r="E423" s="28"/>
      <c r="F423" s="28"/>
      <c r="G423" s="28"/>
      <c r="H423" s="28"/>
    </row>
    <row r="424">
      <c r="B424" s="128"/>
      <c r="C424" s="128"/>
      <c r="D424" s="131"/>
      <c r="E424" s="28"/>
      <c r="F424" s="28"/>
      <c r="G424" s="28"/>
      <c r="H424" s="28"/>
    </row>
    <row r="425">
      <c r="B425" s="128"/>
      <c r="C425" s="128"/>
      <c r="D425" s="131"/>
      <c r="E425" s="28"/>
      <c r="F425" s="28"/>
      <c r="G425" s="28"/>
      <c r="H425" s="28"/>
    </row>
    <row r="426">
      <c r="B426" s="128"/>
      <c r="C426" s="128"/>
      <c r="D426" s="131"/>
      <c r="E426" s="28"/>
      <c r="F426" s="28"/>
      <c r="G426" s="28"/>
      <c r="H426" s="28"/>
    </row>
    <row r="427">
      <c r="B427" s="128"/>
      <c r="C427" s="128"/>
      <c r="D427" s="131"/>
      <c r="E427" s="28"/>
      <c r="F427" s="28"/>
      <c r="G427" s="28"/>
      <c r="H427" s="28"/>
    </row>
    <row r="428">
      <c r="B428" s="128"/>
      <c r="C428" s="128"/>
      <c r="D428" s="131"/>
      <c r="E428" s="28"/>
      <c r="F428" s="28"/>
      <c r="G428" s="28"/>
      <c r="H428" s="28"/>
    </row>
    <row r="429">
      <c r="B429" s="128"/>
      <c r="C429" s="128"/>
      <c r="D429" s="131"/>
      <c r="E429" s="28"/>
      <c r="F429" s="28"/>
      <c r="G429" s="28"/>
      <c r="H429" s="28"/>
    </row>
    <row r="430">
      <c r="B430" s="128"/>
      <c r="C430" s="128"/>
      <c r="D430" s="131"/>
      <c r="E430" s="28"/>
      <c r="F430" s="28"/>
      <c r="G430" s="28"/>
      <c r="H430" s="28"/>
    </row>
    <row r="431">
      <c r="B431" s="128"/>
      <c r="C431" s="128"/>
      <c r="D431" s="131"/>
      <c r="E431" s="28"/>
      <c r="F431" s="28"/>
      <c r="G431" s="28"/>
      <c r="H431" s="28"/>
    </row>
    <row r="432">
      <c r="B432" s="128"/>
      <c r="C432" s="128"/>
      <c r="D432" s="131"/>
      <c r="E432" s="28"/>
      <c r="F432" s="28"/>
      <c r="G432" s="28"/>
      <c r="H432" s="28"/>
    </row>
    <row r="433">
      <c r="B433" s="128"/>
      <c r="C433" s="128"/>
      <c r="D433" s="131"/>
      <c r="E433" s="28"/>
      <c r="F433" s="28"/>
      <c r="G433" s="28"/>
      <c r="H433" s="28"/>
    </row>
    <row r="434">
      <c r="B434" s="128"/>
      <c r="C434" s="128"/>
      <c r="D434" s="131"/>
      <c r="E434" s="28"/>
      <c r="F434" s="28"/>
      <c r="G434" s="28"/>
      <c r="H434" s="28"/>
    </row>
    <row r="435">
      <c r="B435" s="128"/>
      <c r="C435" s="128"/>
      <c r="D435" s="131"/>
      <c r="E435" s="28"/>
      <c r="F435" s="28"/>
      <c r="G435" s="28"/>
      <c r="H435" s="28"/>
    </row>
    <row r="436">
      <c r="B436" s="128"/>
      <c r="C436" s="128"/>
      <c r="D436" s="131"/>
      <c r="E436" s="28"/>
      <c r="F436" s="28"/>
      <c r="G436" s="28"/>
      <c r="H436" s="28"/>
    </row>
    <row r="437">
      <c r="B437" s="128"/>
      <c r="C437" s="128"/>
      <c r="D437" s="131"/>
      <c r="E437" s="28"/>
      <c r="F437" s="28"/>
      <c r="G437" s="28"/>
      <c r="H437" s="28"/>
    </row>
    <row r="438">
      <c r="B438" s="128"/>
      <c r="C438" s="128"/>
      <c r="D438" s="131"/>
      <c r="E438" s="28"/>
      <c r="F438" s="28"/>
      <c r="G438" s="28"/>
      <c r="H438" s="28"/>
    </row>
    <row r="439">
      <c r="B439" s="128"/>
      <c r="C439" s="128"/>
      <c r="D439" s="131"/>
      <c r="E439" s="28"/>
      <c r="F439" s="28"/>
      <c r="G439" s="28"/>
      <c r="H439" s="28"/>
    </row>
    <row r="440">
      <c r="B440" s="128"/>
      <c r="C440" s="128"/>
      <c r="D440" s="131"/>
      <c r="E440" s="28"/>
      <c r="F440" s="28"/>
      <c r="G440" s="28"/>
      <c r="H440" s="28"/>
    </row>
    <row r="441">
      <c r="B441" s="128"/>
      <c r="C441" s="128"/>
      <c r="D441" s="131"/>
      <c r="E441" s="28"/>
      <c r="F441" s="28"/>
      <c r="G441" s="28"/>
      <c r="H441" s="28"/>
    </row>
    <row r="442">
      <c r="B442" s="128"/>
      <c r="C442" s="128"/>
      <c r="D442" s="131"/>
      <c r="E442" s="28"/>
      <c r="F442" s="28"/>
      <c r="G442" s="28"/>
      <c r="H442" s="28"/>
    </row>
    <row r="443">
      <c r="B443" s="128"/>
      <c r="C443" s="128"/>
      <c r="D443" s="131"/>
      <c r="E443" s="28"/>
      <c r="F443" s="28"/>
      <c r="G443" s="28"/>
      <c r="H443" s="28"/>
    </row>
    <row r="444">
      <c r="B444" s="128"/>
      <c r="C444" s="128"/>
      <c r="D444" s="131"/>
      <c r="E444" s="28"/>
      <c r="F444" s="28"/>
      <c r="G444" s="28"/>
      <c r="H444" s="28"/>
    </row>
    <row r="445">
      <c r="B445" s="128"/>
      <c r="C445" s="128"/>
      <c r="D445" s="131"/>
      <c r="E445" s="28"/>
      <c r="F445" s="28"/>
      <c r="G445" s="28"/>
      <c r="H445" s="28"/>
    </row>
    <row r="446">
      <c r="B446" s="128"/>
      <c r="C446" s="128"/>
      <c r="D446" s="131"/>
      <c r="E446" s="28"/>
      <c r="F446" s="28"/>
      <c r="G446" s="28"/>
      <c r="H446" s="28"/>
    </row>
    <row r="447">
      <c r="B447" s="128"/>
      <c r="C447" s="128"/>
      <c r="D447" s="131"/>
      <c r="E447" s="28"/>
      <c r="F447" s="28"/>
      <c r="G447" s="28"/>
      <c r="H447" s="28"/>
    </row>
    <row r="448">
      <c r="B448" s="128"/>
      <c r="C448" s="128"/>
      <c r="D448" s="131"/>
      <c r="E448" s="28"/>
      <c r="F448" s="28"/>
      <c r="G448" s="28"/>
      <c r="H448" s="28"/>
    </row>
    <row r="449">
      <c r="B449" s="128"/>
      <c r="C449" s="128"/>
      <c r="D449" s="131"/>
      <c r="E449" s="28"/>
      <c r="F449" s="28"/>
      <c r="G449" s="28"/>
      <c r="H449" s="28"/>
    </row>
    <row r="450">
      <c r="B450" s="128"/>
      <c r="C450" s="128"/>
      <c r="D450" s="131"/>
      <c r="E450" s="28"/>
      <c r="F450" s="28"/>
      <c r="G450" s="28"/>
      <c r="H450" s="28"/>
    </row>
    <row r="451">
      <c r="B451" s="128"/>
      <c r="C451" s="128"/>
      <c r="D451" s="131"/>
      <c r="E451" s="28"/>
      <c r="F451" s="28"/>
      <c r="G451" s="28"/>
      <c r="H451" s="28"/>
    </row>
    <row r="452">
      <c r="B452" s="128"/>
      <c r="C452" s="128"/>
      <c r="D452" s="131"/>
      <c r="E452" s="28"/>
      <c r="F452" s="28"/>
      <c r="G452" s="28"/>
      <c r="H452" s="28"/>
    </row>
    <row r="453">
      <c r="B453" s="128"/>
      <c r="C453" s="128"/>
      <c r="D453" s="131"/>
      <c r="E453" s="28"/>
      <c r="F453" s="28"/>
      <c r="G453" s="28"/>
      <c r="H453" s="28"/>
    </row>
    <row r="454">
      <c r="B454" s="128"/>
      <c r="C454" s="128"/>
      <c r="D454" s="131"/>
      <c r="E454" s="28"/>
      <c r="F454" s="28"/>
      <c r="G454" s="28"/>
      <c r="H454" s="28"/>
    </row>
    <row r="455">
      <c r="B455" s="128"/>
      <c r="C455" s="128"/>
      <c r="D455" s="131"/>
      <c r="E455" s="28"/>
      <c r="F455" s="28"/>
      <c r="G455" s="28"/>
      <c r="H455" s="28"/>
    </row>
    <row r="456">
      <c r="B456" s="128"/>
      <c r="C456" s="128"/>
      <c r="D456" s="131"/>
      <c r="E456" s="28"/>
      <c r="F456" s="28"/>
      <c r="G456" s="28"/>
      <c r="H456" s="28"/>
    </row>
    <row r="457">
      <c r="B457" s="128"/>
      <c r="C457" s="128"/>
      <c r="D457" s="131"/>
      <c r="E457" s="28"/>
      <c r="F457" s="28"/>
      <c r="G457" s="28"/>
      <c r="H457" s="28"/>
    </row>
    <row r="458">
      <c r="B458" s="128"/>
      <c r="C458" s="128"/>
      <c r="D458" s="131"/>
      <c r="E458" s="28"/>
      <c r="F458" s="28"/>
      <c r="G458" s="28"/>
      <c r="H458" s="28"/>
    </row>
    <row r="459">
      <c r="B459" s="128"/>
      <c r="C459" s="128"/>
      <c r="D459" s="131"/>
      <c r="E459" s="28"/>
      <c r="F459" s="28"/>
      <c r="G459" s="28"/>
      <c r="H459" s="28"/>
    </row>
    <row r="460">
      <c r="B460" s="128"/>
      <c r="C460" s="128"/>
      <c r="D460" s="131"/>
      <c r="E460" s="28"/>
      <c r="F460" s="28"/>
      <c r="G460" s="28"/>
      <c r="H460" s="28"/>
    </row>
    <row r="461">
      <c r="B461" s="128"/>
      <c r="C461" s="128"/>
      <c r="D461" s="131"/>
      <c r="E461" s="28"/>
      <c r="F461" s="28"/>
      <c r="G461" s="28"/>
      <c r="H461" s="28"/>
    </row>
    <row r="462">
      <c r="B462" s="128"/>
      <c r="C462" s="128"/>
      <c r="D462" s="131"/>
      <c r="E462" s="28"/>
      <c r="F462" s="28"/>
      <c r="G462" s="28"/>
      <c r="H462" s="28"/>
    </row>
    <row r="463">
      <c r="B463" s="128"/>
      <c r="C463" s="128"/>
      <c r="D463" s="131"/>
      <c r="E463" s="28"/>
      <c r="F463" s="28"/>
      <c r="G463" s="28"/>
      <c r="H463" s="28"/>
    </row>
    <row r="464">
      <c r="B464" s="128"/>
      <c r="C464" s="128"/>
      <c r="D464" s="131"/>
      <c r="E464" s="28"/>
      <c r="F464" s="28"/>
      <c r="G464" s="28"/>
      <c r="H464" s="28"/>
    </row>
    <row r="465">
      <c r="B465" s="128"/>
      <c r="C465" s="128"/>
      <c r="D465" s="131"/>
      <c r="E465" s="28"/>
      <c r="F465" s="28"/>
      <c r="G465" s="28"/>
      <c r="H465" s="28"/>
    </row>
    <row r="466">
      <c r="B466" s="128"/>
      <c r="C466" s="128"/>
      <c r="D466" s="131"/>
      <c r="E466" s="28"/>
      <c r="F466" s="28"/>
      <c r="G466" s="28"/>
      <c r="H466" s="28"/>
    </row>
    <row r="467">
      <c r="B467" s="128"/>
      <c r="C467" s="128"/>
      <c r="D467" s="131"/>
      <c r="E467" s="28"/>
      <c r="F467" s="28"/>
      <c r="G467" s="28"/>
      <c r="H467" s="28"/>
    </row>
    <row r="468">
      <c r="B468" s="128"/>
      <c r="C468" s="128"/>
      <c r="D468" s="131"/>
      <c r="E468" s="28"/>
      <c r="F468" s="28"/>
      <c r="G468" s="28"/>
      <c r="H468" s="28"/>
    </row>
    <row r="469">
      <c r="B469" s="128"/>
      <c r="C469" s="128"/>
      <c r="D469" s="131"/>
      <c r="E469" s="28"/>
      <c r="F469" s="28"/>
      <c r="G469" s="28"/>
      <c r="H469" s="28"/>
    </row>
    <row r="470">
      <c r="B470" s="128"/>
      <c r="C470" s="128"/>
      <c r="D470" s="131"/>
      <c r="E470" s="28"/>
      <c r="F470" s="28"/>
      <c r="G470" s="28"/>
      <c r="H470" s="28"/>
    </row>
    <row r="471">
      <c r="B471" s="128"/>
      <c r="C471" s="128"/>
      <c r="D471" s="131"/>
      <c r="E471" s="28"/>
      <c r="F471" s="28"/>
      <c r="G471" s="28"/>
      <c r="H471" s="28"/>
    </row>
    <row r="472">
      <c r="B472" s="128"/>
      <c r="C472" s="128"/>
      <c r="D472" s="131"/>
      <c r="E472" s="28"/>
      <c r="F472" s="28"/>
      <c r="G472" s="28"/>
      <c r="H472" s="28"/>
    </row>
    <row r="473">
      <c r="B473" s="128"/>
      <c r="C473" s="128"/>
      <c r="D473" s="131"/>
      <c r="E473" s="28"/>
      <c r="F473" s="28"/>
      <c r="G473" s="28"/>
      <c r="H473" s="28"/>
    </row>
    <row r="474">
      <c r="B474" s="128"/>
      <c r="C474" s="128"/>
      <c r="D474" s="131"/>
      <c r="E474" s="28"/>
      <c r="F474" s="28"/>
      <c r="G474" s="28"/>
      <c r="H474" s="28"/>
    </row>
    <row r="475">
      <c r="B475" s="128"/>
      <c r="C475" s="128"/>
      <c r="D475" s="131"/>
      <c r="E475" s="28"/>
      <c r="F475" s="28"/>
      <c r="G475" s="28"/>
      <c r="H475" s="28"/>
    </row>
    <row r="476">
      <c r="B476" s="128"/>
      <c r="C476" s="128"/>
      <c r="D476" s="131"/>
      <c r="E476" s="28"/>
      <c r="F476" s="28"/>
      <c r="G476" s="28"/>
      <c r="H476" s="28"/>
    </row>
    <row r="477">
      <c r="B477" s="128"/>
      <c r="C477" s="128"/>
      <c r="D477" s="131"/>
      <c r="E477" s="28"/>
      <c r="F477" s="28"/>
      <c r="G477" s="28"/>
      <c r="H477" s="28"/>
    </row>
    <row r="478">
      <c r="B478" s="128"/>
      <c r="C478" s="128"/>
      <c r="D478" s="131"/>
      <c r="E478" s="28"/>
      <c r="F478" s="28"/>
      <c r="G478" s="28"/>
      <c r="H478" s="28"/>
    </row>
    <row r="479">
      <c r="B479" s="128"/>
      <c r="C479" s="128"/>
      <c r="D479" s="131"/>
      <c r="E479" s="28"/>
      <c r="F479" s="28"/>
      <c r="G479" s="28"/>
      <c r="H479" s="28"/>
    </row>
    <row r="480">
      <c r="B480" s="128"/>
      <c r="C480" s="128"/>
      <c r="D480" s="131"/>
      <c r="E480" s="28"/>
      <c r="F480" s="28"/>
      <c r="G480" s="28"/>
      <c r="H480" s="28"/>
    </row>
    <row r="481">
      <c r="B481" s="128"/>
      <c r="C481" s="128"/>
      <c r="D481" s="131"/>
      <c r="E481" s="28"/>
      <c r="F481" s="28"/>
      <c r="G481" s="28"/>
      <c r="H481" s="28"/>
    </row>
    <row r="482">
      <c r="B482" s="128"/>
      <c r="C482" s="128"/>
      <c r="D482" s="131"/>
      <c r="E482" s="28"/>
      <c r="F482" s="28"/>
      <c r="G482" s="28"/>
      <c r="H482" s="28"/>
    </row>
    <row r="483">
      <c r="B483" s="128"/>
      <c r="C483" s="128"/>
      <c r="D483" s="131"/>
      <c r="E483" s="28"/>
      <c r="F483" s="28"/>
      <c r="G483" s="28"/>
      <c r="H483" s="28"/>
    </row>
    <row r="484">
      <c r="B484" s="128"/>
      <c r="C484" s="128"/>
      <c r="D484" s="131"/>
      <c r="E484" s="28"/>
      <c r="F484" s="28"/>
      <c r="G484" s="28"/>
      <c r="H484" s="28"/>
    </row>
    <row r="485">
      <c r="B485" s="128"/>
      <c r="C485" s="128"/>
      <c r="D485" s="131"/>
      <c r="E485" s="28"/>
      <c r="F485" s="28"/>
      <c r="G485" s="28"/>
      <c r="H485" s="28"/>
    </row>
    <row r="486">
      <c r="B486" s="128"/>
      <c r="C486" s="128"/>
      <c r="D486" s="131"/>
      <c r="E486" s="28"/>
      <c r="F486" s="28"/>
      <c r="G486" s="28"/>
      <c r="H486" s="28"/>
    </row>
    <row r="487">
      <c r="B487" s="128"/>
      <c r="C487" s="128"/>
      <c r="D487" s="131"/>
      <c r="E487" s="28"/>
      <c r="F487" s="28"/>
      <c r="G487" s="28"/>
      <c r="H487" s="28"/>
    </row>
    <row r="488">
      <c r="B488" s="128"/>
      <c r="C488" s="128"/>
      <c r="D488" s="131"/>
      <c r="E488" s="28"/>
      <c r="F488" s="28"/>
      <c r="G488" s="28"/>
      <c r="H488" s="28"/>
    </row>
    <row r="489">
      <c r="B489" s="128"/>
      <c r="C489" s="128"/>
      <c r="D489" s="131"/>
      <c r="E489" s="28"/>
      <c r="F489" s="28"/>
      <c r="G489" s="28"/>
      <c r="H489" s="28"/>
    </row>
    <row r="490">
      <c r="B490" s="128"/>
      <c r="C490" s="128"/>
      <c r="D490" s="131"/>
      <c r="E490" s="28"/>
      <c r="F490" s="28"/>
      <c r="G490" s="28"/>
      <c r="H490" s="28"/>
    </row>
    <row r="491">
      <c r="B491" s="128"/>
      <c r="C491" s="128"/>
      <c r="D491" s="131"/>
      <c r="E491" s="28"/>
      <c r="F491" s="28"/>
      <c r="G491" s="28"/>
      <c r="H491" s="28"/>
    </row>
    <row r="492">
      <c r="B492" s="128"/>
      <c r="C492" s="128"/>
      <c r="D492" s="131"/>
      <c r="E492" s="28"/>
      <c r="F492" s="28"/>
      <c r="G492" s="28"/>
      <c r="H492" s="28"/>
    </row>
    <row r="493">
      <c r="B493" s="128"/>
      <c r="C493" s="128"/>
      <c r="D493" s="131"/>
      <c r="E493" s="28"/>
      <c r="F493" s="28"/>
      <c r="G493" s="28"/>
      <c r="H493" s="28"/>
    </row>
    <row r="494">
      <c r="B494" s="128"/>
      <c r="C494" s="128"/>
      <c r="D494" s="131"/>
      <c r="E494" s="28"/>
      <c r="F494" s="28"/>
      <c r="G494" s="28"/>
      <c r="H494" s="28"/>
    </row>
    <row r="495">
      <c r="B495" s="128"/>
      <c r="C495" s="128"/>
      <c r="D495" s="131"/>
      <c r="E495" s="28"/>
      <c r="F495" s="28"/>
      <c r="G495" s="28"/>
      <c r="H495" s="28"/>
    </row>
    <row r="496">
      <c r="B496" s="128"/>
      <c r="C496" s="128"/>
      <c r="D496" s="131"/>
      <c r="E496" s="28"/>
      <c r="F496" s="28"/>
      <c r="G496" s="28"/>
      <c r="H496" s="28"/>
    </row>
    <row r="497">
      <c r="B497" s="128"/>
      <c r="C497" s="128"/>
      <c r="D497" s="131"/>
      <c r="E497" s="28"/>
      <c r="F497" s="28"/>
      <c r="G497" s="28"/>
      <c r="H497" s="28"/>
    </row>
    <row r="498">
      <c r="B498" s="128"/>
      <c r="C498" s="128"/>
      <c r="D498" s="131"/>
      <c r="E498" s="28"/>
      <c r="F498" s="28"/>
      <c r="G498" s="28"/>
      <c r="H498" s="28"/>
    </row>
    <row r="499">
      <c r="B499" s="128"/>
      <c r="C499" s="128"/>
      <c r="D499" s="131"/>
      <c r="E499" s="28"/>
      <c r="F499" s="28"/>
      <c r="G499" s="28"/>
      <c r="H499" s="28"/>
    </row>
    <row r="500">
      <c r="B500" s="128"/>
      <c r="C500" s="128"/>
      <c r="D500" s="131"/>
      <c r="E500" s="28"/>
      <c r="F500" s="28"/>
      <c r="G500" s="28"/>
      <c r="H500" s="28"/>
    </row>
    <row r="501">
      <c r="B501" s="128"/>
      <c r="C501" s="128"/>
      <c r="D501" s="131"/>
      <c r="E501" s="28"/>
      <c r="F501" s="28"/>
      <c r="G501" s="28"/>
      <c r="H501" s="28"/>
    </row>
    <row r="502">
      <c r="B502" s="128"/>
      <c r="C502" s="128"/>
      <c r="D502" s="131"/>
      <c r="E502" s="28"/>
      <c r="F502" s="28"/>
      <c r="G502" s="28"/>
      <c r="H502" s="28"/>
    </row>
    <row r="503">
      <c r="B503" s="128"/>
      <c r="C503" s="128"/>
      <c r="D503" s="131"/>
      <c r="E503" s="28"/>
      <c r="F503" s="28"/>
      <c r="G503" s="28"/>
      <c r="H503" s="28"/>
    </row>
    <row r="504">
      <c r="B504" s="128"/>
      <c r="C504" s="128"/>
      <c r="D504" s="131"/>
      <c r="E504" s="28"/>
      <c r="F504" s="28"/>
      <c r="G504" s="28"/>
      <c r="H504" s="28"/>
    </row>
    <row r="505">
      <c r="B505" s="128"/>
      <c r="C505" s="128"/>
      <c r="D505" s="131"/>
      <c r="E505" s="28"/>
      <c r="F505" s="28"/>
      <c r="G505" s="28"/>
      <c r="H505" s="28"/>
    </row>
    <row r="506">
      <c r="B506" s="128"/>
      <c r="C506" s="128"/>
      <c r="D506" s="131"/>
      <c r="E506" s="28"/>
      <c r="F506" s="28"/>
      <c r="G506" s="28"/>
      <c r="H506" s="28"/>
    </row>
    <row r="507">
      <c r="B507" s="128"/>
      <c r="C507" s="128"/>
      <c r="D507" s="131"/>
      <c r="E507" s="28"/>
      <c r="F507" s="28"/>
      <c r="G507" s="28"/>
      <c r="H507" s="28"/>
    </row>
    <row r="508">
      <c r="B508" s="128"/>
      <c r="C508" s="128"/>
      <c r="D508" s="131"/>
      <c r="E508" s="28"/>
      <c r="F508" s="28"/>
      <c r="G508" s="28"/>
      <c r="H508" s="28"/>
    </row>
    <row r="509">
      <c r="B509" s="128"/>
      <c r="C509" s="128"/>
      <c r="D509" s="131"/>
      <c r="E509" s="28"/>
      <c r="F509" s="28"/>
      <c r="G509" s="28"/>
      <c r="H509" s="28"/>
    </row>
    <row r="510">
      <c r="B510" s="128"/>
      <c r="C510" s="128"/>
      <c r="D510" s="131"/>
      <c r="E510" s="28"/>
      <c r="F510" s="28"/>
      <c r="G510" s="28"/>
      <c r="H510" s="28"/>
    </row>
    <row r="511">
      <c r="B511" s="128"/>
      <c r="C511" s="128"/>
      <c r="D511" s="131"/>
      <c r="E511" s="28"/>
      <c r="F511" s="28"/>
      <c r="G511" s="28"/>
      <c r="H511" s="28"/>
    </row>
    <row r="512">
      <c r="B512" s="128"/>
      <c r="C512" s="128"/>
      <c r="D512" s="131"/>
      <c r="E512" s="28"/>
      <c r="F512" s="28"/>
      <c r="G512" s="28"/>
      <c r="H512" s="28"/>
    </row>
    <row r="513">
      <c r="B513" s="128"/>
      <c r="C513" s="128"/>
      <c r="D513" s="131"/>
      <c r="E513" s="28"/>
      <c r="F513" s="28"/>
      <c r="G513" s="28"/>
      <c r="H513" s="28"/>
    </row>
    <row r="514">
      <c r="B514" s="128"/>
      <c r="C514" s="128"/>
      <c r="D514" s="131"/>
      <c r="E514" s="28"/>
      <c r="F514" s="28"/>
      <c r="G514" s="28"/>
      <c r="H514" s="28"/>
    </row>
    <row r="515">
      <c r="B515" s="128"/>
      <c r="C515" s="128"/>
      <c r="D515" s="131"/>
      <c r="E515" s="28"/>
      <c r="F515" s="28"/>
      <c r="G515" s="28"/>
      <c r="H515" s="28"/>
    </row>
    <row r="516">
      <c r="B516" s="128"/>
      <c r="C516" s="128"/>
      <c r="D516" s="131"/>
      <c r="E516" s="28"/>
      <c r="F516" s="28"/>
      <c r="G516" s="28"/>
      <c r="H516" s="28"/>
    </row>
    <row r="517">
      <c r="B517" s="128"/>
      <c r="C517" s="128"/>
      <c r="D517" s="131"/>
      <c r="E517" s="28"/>
      <c r="F517" s="28"/>
      <c r="G517" s="28"/>
      <c r="H517" s="28"/>
    </row>
    <row r="518">
      <c r="B518" s="128"/>
      <c r="C518" s="128"/>
      <c r="D518" s="131"/>
      <c r="E518" s="28"/>
      <c r="F518" s="28"/>
      <c r="G518" s="28"/>
      <c r="H518" s="28"/>
    </row>
    <row r="519">
      <c r="B519" s="128"/>
      <c r="C519" s="128"/>
      <c r="D519" s="131"/>
      <c r="E519" s="28"/>
      <c r="F519" s="28"/>
      <c r="G519" s="28"/>
      <c r="H519" s="28"/>
    </row>
    <row r="520">
      <c r="B520" s="128"/>
      <c r="C520" s="128"/>
      <c r="D520" s="131"/>
      <c r="E520" s="28"/>
      <c r="F520" s="28"/>
      <c r="G520" s="28"/>
      <c r="H520" s="28"/>
    </row>
    <row r="521">
      <c r="B521" s="128"/>
      <c r="C521" s="128"/>
      <c r="D521" s="131"/>
      <c r="E521" s="28"/>
      <c r="F521" s="28"/>
      <c r="G521" s="28"/>
      <c r="H521" s="28"/>
    </row>
    <row r="522">
      <c r="B522" s="128"/>
      <c r="C522" s="128"/>
      <c r="D522" s="131"/>
      <c r="E522" s="28"/>
      <c r="F522" s="28"/>
      <c r="G522" s="28"/>
      <c r="H522" s="28"/>
    </row>
    <row r="523">
      <c r="B523" s="128"/>
      <c r="C523" s="128"/>
      <c r="D523" s="131"/>
      <c r="E523" s="28"/>
      <c r="F523" s="28"/>
      <c r="G523" s="28"/>
      <c r="H523" s="28"/>
    </row>
    <row r="524">
      <c r="B524" s="128"/>
      <c r="C524" s="128"/>
      <c r="D524" s="131"/>
      <c r="E524" s="28"/>
      <c r="F524" s="28"/>
      <c r="G524" s="28"/>
      <c r="H524" s="28"/>
    </row>
    <row r="525">
      <c r="B525" s="128"/>
      <c r="C525" s="128"/>
      <c r="D525" s="131"/>
      <c r="E525" s="28"/>
      <c r="F525" s="28"/>
      <c r="G525" s="28"/>
      <c r="H525" s="28"/>
    </row>
    <row r="526">
      <c r="B526" s="128"/>
      <c r="C526" s="128"/>
      <c r="D526" s="131"/>
      <c r="E526" s="28"/>
      <c r="F526" s="28"/>
      <c r="G526" s="28"/>
      <c r="H526" s="28"/>
    </row>
    <row r="527">
      <c r="B527" s="128"/>
      <c r="C527" s="128"/>
      <c r="D527" s="131"/>
      <c r="E527" s="28"/>
      <c r="F527" s="28"/>
      <c r="G527" s="28"/>
      <c r="H527" s="28"/>
    </row>
    <row r="528">
      <c r="B528" s="128"/>
      <c r="C528" s="128"/>
      <c r="D528" s="131"/>
      <c r="E528" s="28"/>
      <c r="F528" s="28"/>
      <c r="G528" s="28"/>
      <c r="H528" s="28"/>
    </row>
    <row r="529">
      <c r="B529" s="128"/>
      <c r="C529" s="128"/>
      <c r="D529" s="131"/>
      <c r="E529" s="28"/>
      <c r="F529" s="28"/>
      <c r="G529" s="28"/>
      <c r="H529" s="28"/>
    </row>
    <row r="530">
      <c r="B530" s="128"/>
      <c r="C530" s="128"/>
      <c r="D530" s="131"/>
      <c r="E530" s="28"/>
      <c r="F530" s="28"/>
      <c r="G530" s="28"/>
      <c r="H530" s="28"/>
    </row>
    <row r="531">
      <c r="B531" s="128"/>
      <c r="C531" s="128"/>
      <c r="D531" s="131"/>
      <c r="E531" s="28"/>
      <c r="F531" s="28"/>
      <c r="G531" s="28"/>
      <c r="H531" s="28"/>
    </row>
    <row r="532">
      <c r="B532" s="128"/>
      <c r="C532" s="128"/>
      <c r="D532" s="131"/>
      <c r="E532" s="28"/>
      <c r="F532" s="28"/>
      <c r="G532" s="28"/>
      <c r="H532" s="28"/>
    </row>
    <row r="533">
      <c r="B533" s="128"/>
      <c r="C533" s="128"/>
      <c r="D533" s="131"/>
      <c r="E533" s="28"/>
      <c r="F533" s="28"/>
      <c r="G533" s="28"/>
      <c r="H533" s="28"/>
    </row>
    <row r="534">
      <c r="B534" s="128"/>
      <c r="C534" s="128"/>
      <c r="D534" s="131"/>
      <c r="E534" s="28"/>
      <c r="F534" s="28"/>
      <c r="G534" s="28"/>
      <c r="H534" s="28"/>
    </row>
    <row r="535">
      <c r="B535" s="128"/>
      <c r="C535" s="128"/>
      <c r="D535" s="131"/>
      <c r="E535" s="28"/>
      <c r="F535" s="28"/>
      <c r="G535" s="28"/>
      <c r="H535" s="28"/>
    </row>
    <row r="536">
      <c r="B536" s="128"/>
      <c r="C536" s="128"/>
      <c r="D536" s="131"/>
      <c r="E536" s="28"/>
      <c r="F536" s="28"/>
      <c r="G536" s="28"/>
      <c r="H536" s="28"/>
    </row>
    <row r="537">
      <c r="B537" s="128"/>
      <c r="C537" s="128"/>
      <c r="D537" s="131"/>
      <c r="E537" s="28"/>
      <c r="F537" s="28"/>
      <c r="G537" s="28"/>
      <c r="H537" s="28"/>
    </row>
    <row r="538">
      <c r="B538" s="128"/>
      <c r="C538" s="128"/>
      <c r="D538" s="131"/>
      <c r="E538" s="28"/>
      <c r="F538" s="28"/>
      <c r="G538" s="28"/>
      <c r="H538" s="28"/>
    </row>
    <row r="539">
      <c r="B539" s="128"/>
      <c r="C539" s="128"/>
      <c r="D539" s="131"/>
      <c r="E539" s="28"/>
      <c r="F539" s="28"/>
      <c r="G539" s="28"/>
      <c r="H539" s="28"/>
    </row>
    <row r="540">
      <c r="B540" s="128"/>
      <c r="C540" s="128"/>
      <c r="D540" s="131"/>
      <c r="E540" s="28"/>
      <c r="F540" s="28"/>
      <c r="G540" s="28"/>
      <c r="H540" s="28"/>
    </row>
    <row r="541">
      <c r="B541" s="128"/>
      <c r="C541" s="128"/>
      <c r="D541" s="131"/>
      <c r="E541" s="28"/>
      <c r="F541" s="28"/>
      <c r="G541" s="28"/>
      <c r="H541" s="28"/>
    </row>
    <row r="542">
      <c r="B542" s="128"/>
      <c r="C542" s="128"/>
      <c r="D542" s="131"/>
      <c r="E542" s="28"/>
      <c r="F542" s="28"/>
      <c r="G542" s="28"/>
      <c r="H542" s="28"/>
    </row>
    <row r="543">
      <c r="B543" s="128"/>
      <c r="C543" s="128"/>
      <c r="D543" s="131"/>
      <c r="E543" s="28"/>
      <c r="F543" s="28"/>
      <c r="G543" s="28"/>
      <c r="H543" s="28"/>
    </row>
    <row r="544">
      <c r="B544" s="128"/>
      <c r="C544" s="128"/>
      <c r="D544" s="131"/>
      <c r="E544" s="28"/>
      <c r="F544" s="28"/>
      <c r="G544" s="28"/>
      <c r="H544" s="28"/>
    </row>
    <row r="545">
      <c r="B545" s="128"/>
      <c r="C545" s="128"/>
      <c r="D545" s="131"/>
      <c r="E545" s="28"/>
      <c r="F545" s="28"/>
      <c r="G545" s="28"/>
      <c r="H545" s="28"/>
    </row>
    <row r="546">
      <c r="B546" s="128"/>
      <c r="C546" s="128"/>
      <c r="D546" s="131"/>
      <c r="E546" s="28"/>
      <c r="F546" s="28"/>
      <c r="G546" s="28"/>
      <c r="H546" s="28"/>
    </row>
    <row r="547">
      <c r="B547" s="128"/>
      <c r="C547" s="128"/>
      <c r="D547" s="131"/>
      <c r="E547" s="28"/>
      <c r="F547" s="28"/>
      <c r="G547" s="28"/>
      <c r="H547" s="28"/>
    </row>
    <row r="548">
      <c r="B548" s="128"/>
      <c r="C548" s="128"/>
      <c r="D548" s="131"/>
      <c r="E548" s="28"/>
      <c r="F548" s="28"/>
      <c r="G548" s="28"/>
      <c r="H548" s="28"/>
    </row>
    <row r="549">
      <c r="B549" s="128"/>
      <c r="C549" s="128"/>
      <c r="D549" s="131"/>
      <c r="E549" s="28"/>
      <c r="F549" s="28"/>
      <c r="G549" s="28"/>
      <c r="H549" s="28"/>
    </row>
    <row r="550">
      <c r="B550" s="128"/>
      <c r="C550" s="128"/>
      <c r="D550" s="131"/>
      <c r="E550" s="28"/>
      <c r="F550" s="28"/>
      <c r="G550" s="28"/>
      <c r="H550" s="28"/>
    </row>
    <row r="551">
      <c r="B551" s="128"/>
      <c r="C551" s="128"/>
      <c r="D551" s="131"/>
      <c r="E551" s="28"/>
      <c r="F551" s="28"/>
      <c r="G551" s="28"/>
      <c r="H551" s="28"/>
    </row>
    <row r="552">
      <c r="B552" s="128"/>
      <c r="C552" s="128"/>
      <c r="D552" s="131"/>
      <c r="E552" s="28"/>
      <c r="F552" s="28"/>
      <c r="G552" s="28"/>
      <c r="H552" s="28"/>
    </row>
    <row r="553">
      <c r="B553" s="128"/>
      <c r="C553" s="128"/>
      <c r="D553" s="131"/>
      <c r="E553" s="28"/>
      <c r="F553" s="28"/>
      <c r="G553" s="28"/>
      <c r="H553" s="28"/>
    </row>
    <row r="554">
      <c r="B554" s="128"/>
      <c r="C554" s="128"/>
      <c r="D554" s="131"/>
      <c r="E554" s="28"/>
      <c r="F554" s="28"/>
      <c r="G554" s="28"/>
      <c r="H554" s="28"/>
    </row>
    <row r="555">
      <c r="B555" s="128"/>
      <c r="C555" s="128"/>
      <c r="D555" s="131"/>
      <c r="E555" s="28"/>
      <c r="F555" s="28"/>
      <c r="G555" s="28"/>
      <c r="H555" s="28"/>
    </row>
    <row r="556">
      <c r="B556" s="128"/>
      <c r="C556" s="128"/>
      <c r="D556" s="131"/>
      <c r="E556" s="28"/>
      <c r="F556" s="28"/>
      <c r="G556" s="28"/>
      <c r="H556" s="28"/>
    </row>
    <row r="557">
      <c r="B557" s="128"/>
      <c r="C557" s="128"/>
      <c r="D557" s="131"/>
      <c r="E557" s="28"/>
      <c r="F557" s="28"/>
      <c r="G557" s="28"/>
      <c r="H557" s="28"/>
    </row>
    <row r="558">
      <c r="B558" s="128"/>
      <c r="C558" s="128"/>
      <c r="D558" s="131"/>
      <c r="E558" s="28"/>
      <c r="F558" s="28"/>
      <c r="G558" s="28"/>
      <c r="H558" s="28"/>
    </row>
    <row r="559">
      <c r="B559" s="128"/>
      <c r="C559" s="128"/>
      <c r="D559" s="131"/>
      <c r="E559" s="28"/>
      <c r="F559" s="28"/>
      <c r="G559" s="28"/>
      <c r="H559" s="28"/>
    </row>
    <row r="560">
      <c r="B560" s="128"/>
      <c r="C560" s="128"/>
      <c r="D560" s="131"/>
      <c r="E560" s="28"/>
      <c r="F560" s="28"/>
      <c r="G560" s="28"/>
      <c r="H560" s="28"/>
    </row>
    <row r="561">
      <c r="B561" s="128"/>
      <c r="C561" s="128"/>
      <c r="D561" s="131"/>
      <c r="E561" s="28"/>
      <c r="F561" s="28"/>
      <c r="G561" s="28"/>
      <c r="H561" s="28"/>
    </row>
    <row r="562">
      <c r="B562" s="128"/>
      <c r="C562" s="128"/>
      <c r="D562" s="131"/>
      <c r="E562" s="28"/>
      <c r="F562" s="28"/>
      <c r="G562" s="28"/>
      <c r="H562" s="28"/>
    </row>
    <row r="563">
      <c r="B563" s="128"/>
      <c r="C563" s="128"/>
      <c r="D563" s="131"/>
      <c r="E563" s="28"/>
      <c r="F563" s="28"/>
      <c r="G563" s="28"/>
      <c r="H563" s="28"/>
    </row>
    <row r="564">
      <c r="B564" s="128"/>
      <c r="C564" s="128"/>
      <c r="D564" s="131"/>
      <c r="E564" s="28"/>
      <c r="F564" s="28"/>
      <c r="G564" s="28"/>
      <c r="H564" s="28"/>
    </row>
    <row r="565">
      <c r="B565" s="128"/>
      <c r="C565" s="128"/>
      <c r="D565" s="131"/>
      <c r="E565" s="28"/>
      <c r="F565" s="28"/>
      <c r="G565" s="28"/>
      <c r="H565" s="28"/>
    </row>
    <row r="566">
      <c r="B566" s="128"/>
      <c r="C566" s="128"/>
      <c r="D566" s="131"/>
      <c r="E566" s="28"/>
      <c r="F566" s="28"/>
      <c r="G566" s="28"/>
      <c r="H566" s="28"/>
    </row>
    <row r="567">
      <c r="B567" s="128"/>
      <c r="C567" s="128"/>
      <c r="D567" s="131"/>
      <c r="E567" s="28"/>
      <c r="F567" s="28"/>
      <c r="G567" s="28"/>
      <c r="H567" s="28"/>
    </row>
    <row r="568">
      <c r="B568" s="128"/>
      <c r="C568" s="128"/>
      <c r="D568" s="131"/>
      <c r="E568" s="28"/>
      <c r="F568" s="28"/>
      <c r="G568" s="28"/>
      <c r="H568" s="28"/>
    </row>
    <row r="569">
      <c r="B569" s="128"/>
      <c r="C569" s="128"/>
      <c r="D569" s="131"/>
      <c r="E569" s="28"/>
      <c r="F569" s="28"/>
      <c r="G569" s="28"/>
      <c r="H569" s="28"/>
    </row>
    <row r="570">
      <c r="B570" s="128"/>
      <c r="C570" s="128"/>
      <c r="D570" s="131"/>
      <c r="E570" s="28"/>
      <c r="F570" s="28"/>
      <c r="G570" s="28"/>
      <c r="H570" s="28"/>
    </row>
    <row r="571">
      <c r="B571" s="128"/>
      <c r="C571" s="128"/>
      <c r="D571" s="131"/>
      <c r="E571" s="28"/>
      <c r="F571" s="28"/>
      <c r="G571" s="28"/>
      <c r="H571" s="28"/>
    </row>
    <row r="572">
      <c r="B572" s="128"/>
      <c r="C572" s="128"/>
      <c r="D572" s="131"/>
      <c r="E572" s="28"/>
      <c r="F572" s="28"/>
      <c r="G572" s="28"/>
      <c r="H572" s="28"/>
    </row>
    <row r="573">
      <c r="B573" s="128"/>
      <c r="C573" s="128"/>
      <c r="D573" s="131"/>
      <c r="E573" s="28"/>
      <c r="F573" s="28"/>
      <c r="G573" s="28"/>
      <c r="H573" s="28"/>
    </row>
    <row r="574">
      <c r="B574" s="128"/>
      <c r="C574" s="128"/>
      <c r="D574" s="131"/>
      <c r="E574" s="28"/>
      <c r="F574" s="28"/>
      <c r="G574" s="28"/>
      <c r="H574" s="28"/>
    </row>
    <row r="575">
      <c r="B575" s="128"/>
      <c r="C575" s="128"/>
      <c r="D575" s="131"/>
      <c r="E575" s="28"/>
      <c r="F575" s="28"/>
      <c r="G575" s="28"/>
      <c r="H575" s="28"/>
    </row>
    <row r="576">
      <c r="B576" s="128"/>
      <c r="C576" s="128"/>
      <c r="D576" s="131"/>
      <c r="E576" s="28"/>
      <c r="F576" s="28"/>
      <c r="G576" s="28"/>
      <c r="H576" s="28"/>
    </row>
    <row r="577">
      <c r="B577" s="128"/>
      <c r="C577" s="128"/>
      <c r="D577" s="131"/>
      <c r="E577" s="28"/>
      <c r="F577" s="28"/>
      <c r="G577" s="28"/>
      <c r="H577" s="28"/>
    </row>
    <row r="578">
      <c r="B578" s="128"/>
      <c r="C578" s="128"/>
      <c r="D578" s="131"/>
      <c r="E578" s="28"/>
      <c r="F578" s="28"/>
      <c r="G578" s="28"/>
      <c r="H578" s="28"/>
    </row>
    <row r="579">
      <c r="B579" s="128"/>
      <c r="C579" s="128"/>
      <c r="D579" s="131"/>
      <c r="E579" s="28"/>
      <c r="F579" s="28"/>
      <c r="G579" s="28"/>
      <c r="H579" s="28"/>
    </row>
    <row r="580">
      <c r="B580" s="128"/>
      <c r="C580" s="128"/>
      <c r="D580" s="131"/>
      <c r="E580" s="28"/>
      <c r="F580" s="28"/>
      <c r="G580" s="28"/>
      <c r="H580" s="28"/>
    </row>
    <row r="581">
      <c r="B581" s="128"/>
      <c r="C581" s="128"/>
      <c r="D581" s="131"/>
      <c r="E581" s="28"/>
      <c r="F581" s="28"/>
      <c r="G581" s="28"/>
      <c r="H581" s="28"/>
    </row>
    <row r="582">
      <c r="B582" s="128"/>
      <c r="C582" s="128"/>
      <c r="D582" s="131"/>
      <c r="E582" s="28"/>
      <c r="F582" s="28"/>
      <c r="G582" s="28"/>
      <c r="H582" s="28"/>
    </row>
    <row r="583">
      <c r="B583" s="128"/>
      <c r="C583" s="128"/>
      <c r="D583" s="131"/>
      <c r="E583" s="28"/>
      <c r="F583" s="28"/>
      <c r="G583" s="28"/>
      <c r="H583" s="28"/>
    </row>
    <row r="584">
      <c r="B584" s="128"/>
      <c r="C584" s="128"/>
      <c r="D584" s="131"/>
      <c r="E584" s="28"/>
      <c r="F584" s="28"/>
      <c r="G584" s="28"/>
      <c r="H584" s="28"/>
    </row>
    <row r="585">
      <c r="B585" s="128"/>
      <c r="C585" s="128"/>
      <c r="D585" s="131"/>
      <c r="E585" s="28"/>
      <c r="F585" s="28"/>
      <c r="G585" s="28"/>
      <c r="H585" s="28"/>
    </row>
    <row r="586">
      <c r="B586" s="128"/>
      <c r="C586" s="128"/>
      <c r="D586" s="131"/>
      <c r="E586" s="28"/>
      <c r="F586" s="28"/>
      <c r="G586" s="28"/>
      <c r="H586" s="28"/>
    </row>
    <row r="587">
      <c r="B587" s="128"/>
      <c r="C587" s="128"/>
      <c r="D587" s="131"/>
      <c r="E587" s="28"/>
      <c r="F587" s="28"/>
      <c r="G587" s="28"/>
      <c r="H587" s="28"/>
    </row>
    <row r="588">
      <c r="B588" s="128"/>
      <c r="C588" s="128"/>
      <c r="D588" s="131"/>
      <c r="E588" s="28"/>
      <c r="F588" s="28"/>
      <c r="G588" s="28"/>
      <c r="H588" s="28"/>
    </row>
    <row r="589">
      <c r="B589" s="128"/>
      <c r="C589" s="128"/>
      <c r="D589" s="131"/>
      <c r="E589" s="28"/>
      <c r="F589" s="28"/>
      <c r="G589" s="28"/>
      <c r="H589" s="28"/>
    </row>
    <row r="590">
      <c r="B590" s="128"/>
      <c r="C590" s="128"/>
      <c r="D590" s="131"/>
      <c r="E590" s="28"/>
      <c r="F590" s="28"/>
      <c r="G590" s="28"/>
      <c r="H590" s="28"/>
    </row>
    <row r="591">
      <c r="B591" s="128"/>
      <c r="C591" s="128"/>
      <c r="D591" s="131"/>
      <c r="E591" s="28"/>
      <c r="F591" s="28"/>
      <c r="G591" s="28"/>
      <c r="H591" s="28"/>
    </row>
    <row r="592">
      <c r="B592" s="128"/>
      <c r="C592" s="128"/>
      <c r="D592" s="131"/>
      <c r="E592" s="28"/>
      <c r="F592" s="28"/>
      <c r="G592" s="28"/>
      <c r="H592" s="28"/>
    </row>
    <row r="593">
      <c r="B593" s="128"/>
      <c r="C593" s="128"/>
      <c r="D593" s="131"/>
      <c r="E593" s="28"/>
      <c r="F593" s="28"/>
      <c r="G593" s="28"/>
      <c r="H593" s="28"/>
    </row>
    <row r="594">
      <c r="B594" s="128"/>
      <c r="C594" s="128"/>
      <c r="D594" s="131"/>
      <c r="E594" s="28"/>
      <c r="F594" s="28"/>
      <c r="G594" s="28"/>
      <c r="H594" s="28"/>
    </row>
    <row r="595">
      <c r="B595" s="128"/>
      <c r="C595" s="128"/>
      <c r="D595" s="131"/>
      <c r="E595" s="28"/>
      <c r="F595" s="28"/>
      <c r="G595" s="28"/>
      <c r="H595" s="28"/>
    </row>
    <row r="596">
      <c r="B596" s="128"/>
      <c r="C596" s="128"/>
      <c r="D596" s="131"/>
      <c r="E596" s="28"/>
      <c r="F596" s="28"/>
      <c r="G596" s="28"/>
      <c r="H596" s="28"/>
    </row>
    <row r="597">
      <c r="B597" s="128"/>
      <c r="C597" s="128"/>
      <c r="D597" s="131"/>
      <c r="E597" s="28"/>
      <c r="F597" s="28"/>
      <c r="G597" s="28"/>
      <c r="H597" s="28"/>
    </row>
    <row r="598">
      <c r="B598" s="128"/>
      <c r="C598" s="128"/>
      <c r="D598" s="131"/>
      <c r="E598" s="28"/>
      <c r="F598" s="28"/>
      <c r="G598" s="28"/>
      <c r="H598" s="28"/>
    </row>
    <row r="599">
      <c r="B599" s="128"/>
      <c r="C599" s="128"/>
      <c r="D599" s="131"/>
      <c r="E599" s="28"/>
      <c r="F599" s="28"/>
      <c r="G599" s="28"/>
      <c r="H599" s="28"/>
    </row>
    <row r="600">
      <c r="B600" s="128"/>
      <c r="C600" s="128"/>
      <c r="D600" s="131"/>
      <c r="E600" s="28"/>
      <c r="F600" s="28"/>
      <c r="G600" s="28"/>
      <c r="H600" s="28"/>
    </row>
    <row r="601">
      <c r="B601" s="128"/>
      <c r="C601" s="128"/>
      <c r="D601" s="131"/>
      <c r="E601" s="28"/>
      <c r="F601" s="28"/>
      <c r="G601" s="28"/>
      <c r="H601" s="28"/>
    </row>
    <row r="602">
      <c r="B602" s="128"/>
      <c r="C602" s="128"/>
      <c r="D602" s="131"/>
      <c r="E602" s="28"/>
      <c r="F602" s="28"/>
      <c r="G602" s="28"/>
      <c r="H602" s="28"/>
    </row>
    <row r="603">
      <c r="B603" s="128"/>
      <c r="C603" s="128"/>
      <c r="D603" s="131"/>
      <c r="E603" s="28"/>
      <c r="F603" s="28"/>
      <c r="G603" s="28"/>
      <c r="H603" s="28"/>
    </row>
    <row r="604">
      <c r="B604" s="128"/>
      <c r="C604" s="128"/>
      <c r="D604" s="131"/>
      <c r="E604" s="28"/>
      <c r="F604" s="28"/>
      <c r="G604" s="28"/>
      <c r="H604" s="28"/>
    </row>
    <row r="605">
      <c r="B605" s="128"/>
      <c r="C605" s="128"/>
      <c r="D605" s="131"/>
      <c r="E605" s="28"/>
      <c r="F605" s="28"/>
      <c r="G605" s="28"/>
      <c r="H605" s="28"/>
    </row>
    <row r="606">
      <c r="B606" s="128"/>
      <c r="C606" s="128"/>
      <c r="D606" s="131"/>
      <c r="E606" s="28"/>
      <c r="F606" s="28"/>
      <c r="G606" s="28"/>
      <c r="H606" s="28"/>
    </row>
    <row r="607">
      <c r="B607" s="128"/>
      <c r="C607" s="128"/>
      <c r="D607" s="131"/>
      <c r="E607" s="28"/>
      <c r="F607" s="28"/>
      <c r="G607" s="28"/>
      <c r="H607" s="28"/>
    </row>
    <row r="608">
      <c r="B608" s="128"/>
      <c r="C608" s="128"/>
      <c r="D608" s="131"/>
      <c r="E608" s="28"/>
      <c r="F608" s="28"/>
      <c r="G608" s="28"/>
      <c r="H608" s="28"/>
    </row>
    <row r="609">
      <c r="B609" s="128"/>
      <c r="C609" s="128"/>
      <c r="D609" s="131"/>
      <c r="E609" s="28"/>
      <c r="F609" s="28"/>
      <c r="G609" s="28"/>
      <c r="H609" s="28"/>
    </row>
    <row r="610">
      <c r="B610" s="128"/>
      <c r="C610" s="128"/>
      <c r="D610" s="131"/>
      <c r="E610" s="28"/>
      <c r="F610" s="28"/>
      <c r="G610" s="28"/>
      <c r="H610" s="28"/>
    </row>
    <row r="611">
      <c r="B611" s="128"/>
      <c r="C611" s="128"/>
      <c r="D611" s="131"/>
      <c r="E611" s="28"/>
      <c r="F611" s="28"/>
      <c r="G611" s="28"/>
      <c r="H611" s="28"/>
    </row>
    <row r="612">
      <c r="B612" s="128"/>
      <c r="C612" s="128"/>
      <c r="D612" s="131"/>
      <c r="E612" s="28"/>
      <c r="F612" s="28"/>
      <c r="G612" s="28"/>
      <c r="H612" s="28"/>
    </row>
    <row r="613">
      <c r="B613" s="128"/>
      <c r="C613" s="128"/>
      <c r="D613" s="131"/>
      <c r="E613" s="28"/>
      <c r="F613" s="28"/>
      <c r="G613" s="28"/>
      <c r="H613" s="28"/>
    </row>
    <row r="614">
      <c r="B614" s="128"/>
      <c r="C614" s="128"/>
      <c r="D614" s="131"/>
      <c r="E614" s="28"/>
      <c r="F614" s="28"/>
      <c r="G614" s="28"/>
      <c r="H614" s="28"/>
    </row>
    <row r="615">
      <c r="B615" s="128"/>
      <c r="C615" s="128"/>
      <c r="D615" s="131"/>
      <c r="E615" s="28"/>
      <c r="F615" s="28"/>
      <c r="G615" s="28"/>
      <c r="H615" s="28"/>
    </row>
    <row r="616">
      <c r="B616" s="128"/>
      <c r="C616" s="128"/>
      <c r="D616" s="131"/>
      <c r="E616" s="28"/>
      <c r="F616" s="28"/>
      <c r="G616" s="28"/>
      <c r="H616" s="28"/>
    </row>
    <row r="617">
      <c r="B617" s="128"/>
      <c r="C617" s="128"/>
      <c r="D617" s="131"/>
      <c r="E617" s="28"/>
      <c r="F617" s="28"/>
      <c r="G617" s="28"/>
      <c r="H617" s="28"/>
    </row>
    <row r="618">
      <c r="B618" s="128"/>
      <c r="C618" s="128"/>
      <c r="D618" s="131"/>
      <c r="E618" s="28"/>
      <c r="F618" s="28"/>
      <c r="G618" s="28"/>
      <c r="H618" s="28"/>
    </row>
    <row r="619">
      <c r="B619" s="128"/>
      <c r="C619" s="128"/>
      <c r="D619" s="131"/>
      <c r="E619" s="28"/>
      <c r="F619" s="28"/>
      <c r="G619" s="28"/>
      <c r="H619" s="28"/>
    </row>
    <row r="620">
      <c r="B620" s="128"/>
      <c r="C620" s="128"/>
      <c r="D620" s="131"/>
      <c r="E620" s="28"/>
      <c r="F620" s="28"/>
      <c r="G620" s="28"/>
      <c r="H620" s="28"/>
    </row>
    <row r="621">
      <c r="B621" s="128"/>
      <c r="C621" s="128"/>
      <c r="D621" s="131"/>
      <c r="E621" s="28"/>
      <c r="F621" s="28"/>
      <c r="G621" s="28"/>
      <c r="H621" s="28"/>
    </row>
    <row r="622">
      <c r="B622" s="128"/>
      <c r="C622" s="128"/>
      <c r="D622" s="131"/>
      <c r="E622" s="28"/>
      <c r="F622" s="28"/>
      <c r="G622" s="28"/>
      <c r="H622" s="28"/>
    </row>
    <row r="623">
      <c r="B623" s="128"/>
      <c r="C623" s="128"/>
      <c r="D623" s="131"/>
      <c r="E623" s="28"/>
      <c r="F623" s="28"/>
      <c r="G623" s="28"/>
      <c r="H623" s="28"/>
    </row>
    <row r="624">
      <c r="B624" s="128"/>
      <c r="C624" s="128"/>
      <c r="D624" s="131"/>
      <c r="E624" s="28"/>
      <c r="F624" s="28"/>
      <c r="G624" s="28"/>
      <c r="H624" s="28"/>
    </row>
    <row r="625">
      <c r="B625" s="128"/>
      <c r="C625" s="128"/>
      <c r="D625" s="131"/>
      <c r="E625" s="28"/>
      <c r="F625" s="28"/>
      <c r="G625" s="28"/>
      <c r="H625" s="28"/>
    </row>
    <row r="626">
      <c r="B626" s="128"/>
      <c r="C626" s="128"/>
      <c r="D626" s="131"/>
      <c r="E626" s="28"/>
      <c r="F626" s="28"/>
      <c r="G626" s="28"/>
      <c r="H626" s="28"/>
    </row>
    <row r="627">
      <c r="B627" s="128"/>
      <c r="C627" s="128"/>
      <c r="D627" s="131"/>
      <c r="E627" s="28"/>
      <c r="F627" s="28"/>
      <c r="G627" s="28"/>
      <c r="H627" s="28"/>
    </row>
    <row r="628">
      <c r="B628" s="128"/>
      <c r="C628" s="128"/>
      <c r="D628" s="131"/>
      <c r="E628" s="28"/>
      <c r="F628" s="28"/>
      <c r="G628" s="28"/>
      <c r="H628" s="28"/>
    </row>
    <row r="629">
      <c r="B629" s="128"/>
      <c r="C629" s="128"/>
      <c r="D629" s="131"/>
      <c r="E629" s="28"/>
      <c r="F629" s="28"/>
      <c r="G629" s="28"/>
      <c r="H629" s="28"/>
    </row>
    <row r="630">
      <c r="B630" s="128"/>
      <c r="C630" s="128"/>
      <c r="D630" s="131"/>
      <c r="E630" s="28"/>
      <c r="F630" s="28"/>
      <c r="G630" s="28"/>
      <c r="H630" s="28"/>
    </row>
    <row r="631">
      <c r="B631" s="128"/>
      <c r="C631" s="128"/>
      <c r="D631" s="131"/>
      <c r="E631" s="28"/>
      <c r="F631" s="28"/>
      <c r="G631" s="28"/>
      <c r="H631" s="28"/>
    </row>
    <row r="632">
      <c r="B632" s="128"/>
      <c r="C632" s="128"/>
      <c r="D632" s="131"/>
      <c r="E632" s="28"/>
      <c r="F632" s="28"/>
      <c r="G632" s="28"/>
      <c r="H632" s="28"/>
    </row>
    <row r="633">
      <c r="B633" s="128"/>
      <c r="C633" s="128"/>
      <c r="D633" s="131"/>
      <c r="E633" s="28"/>
      <c r="F633" s="28"/>
      <c r="G633" s="28"/>
      <c r="H633" s="28"/>
    </row>
    <row r="634">
      <c r="B634" s="128"/>
      <c r="C634" s="128"/>
      <c r="D634" s="131"/>
      <c r="E634" s="28"/>
      <c r="F634" s="28"/>
      <c r="G634" s="28"/>
      <c r="H634" s="28"/>
    </row>
    <row r="635">
      <c r="B635" s="128"/>
      <c r="C635" s="128"/>
      <c r="D635" s="131"/>
      <c r="E635" s="28"/>
      <c r="F635" s="28"/>
      <c r="G635" s="28"/>
      <c r="H635" s="28"/>
    </row>
    <row r="636">
      <c r="B636" s="128"/>
      <c r="C636" s="128"/>
      <c r="D636" s="131"/>
      <c r="E636" s="28"/>
      <c r="F636" s="28"/>
      <c r="G636" s="28"/>
      <c r="H636" s="28"/>
    </row>
    <row r="637">
      <c r="B637" s="128"/>
      <c r="C637" s="128"/>
      <c r="D637" s="131"/>
      <c r="E637" s="28"/>
      <c r="F637" s="28"/>
      <c r="G637" s="28"/>
      <c r="H637" s="28"/>
    </row>
    <row r="638">
      <c r="B638" s="128"/>
      <c r="C638" s="128"/>
      <c r="D638" s="131"/>
      <c r="E638" s="28"/>
      <c r="F638" s="28"/>
      <c r="G638" s="28"/>
      <c r="H638" s="28"/>
    </row>
    <row r="639">
      <c r="B639" s="128"/>
      <c r="C639" s="128"/>
      <c r="D639" s="131"/>
      <c r="E639" s="28"/>
      <c r="F639" s="28"/>
      <c r="G639" s="28"/>
      <c r="H639" s="28"/>
    </row>
    <row r="640">
      <c r="B640" s="128"/>
      <c r="C640" s="128"/>
      <c r="D640" s="131"/>
      <c r="E640" s="28"/>
      <c r="F640" s="28"/>
      <c r="G640" s="28"/>
      <c r="H640" s="28"/>
    </row>
    <row r="641">
      <c r="B641" s="128"/>
      <c r="C641" s="128"/>
      <c r="D641" s="131"/>
      <c r="E641" s="28"/>
      <c r="F641" s="28"/>
      <c r="G641" s="28"/>
      <c r="H641" s="28"/>
    </row>
    <row r="642">
      <c r="B642" s="128"/>
      <c r="C642" s="128"/>
      <c r="D642" s="131"/>
      <c r="E642" s="28"/>
      <c r="F642" s="28"/>
      <c r="G642" s="28"/>
      <c r="H642" s="28"/>
    </row>
    <row r="643">
      <c r="B643" s="128"/>
      <c r="C643" s="128"/>
      <c r="D643" s="131"/>
      <c r="E643" s="28"/>
      <c r="F643" s="28"/>
      <c r="G643" s="28"/>
      <c r="H643" s="28"/>
    </row>
    <row r="644">
      <c r="B644" s="128"/>
      <c r="C644" s="128"/>
      <c r="D644" s="131"/>
      <c r="E644" s="28"/>
      <c r="F644" s="28"/>
      <c r="G644" s="28"/>
      <c r="H644" s="28"/>
    </row>
    <row r="645">
      <c r="B645" s="128"/>
      <c r="C645" s="128"/>
      <c r="D645" s="131"/>
      <c r="E645" s="28"/>
      <c r="F645" s="28"/>
      <c r="G645" s="28"/>
      <c r="H645" s="28"/>
    </row>
    <row r="646">
      <c r="B646" s="128"/>
      <c r="C646" s="128"/>
      <c r="D646" s="131"/>
      <c r="E646" s="28"/>
      <c r="F646" s="28"/>
      <c r="G646" s="28"/>
      <c r="H646" s="28"/>
    </row>
    <row r="647">
      <c r="B647" s="128"/>
      <c r="C647" s="128"/>
      <c r="D647" s="131"/>
      <c r="E647" s="28"/>
      <c r="F647" s="28"/>
      <c r="G647" s="28"/>
      <c r="H647" s="28"/>
    </row>
    <row r="648">
      <c r="B648" s="128"/>
      <c r="C648" s="128"/>
      <c r="D648" s="131"/>
      <c r="E648" s="28"/>
      <c r="F648" s="28"/>
      <c r="G648" s="28"/>
      <c r="H648" s="28"/>
    </row>
    <row r="649">
      <c r="B649" s="128"/>
      <c r="C649" s="128"/>
      <c r="D649" s="131"/>
      <c r="E649" s="28"/>
      <c r="F649" s="28"/>
      <c r="G649" s="28"/>
      <c r="H649" s="28"/>
    </row>
    <row r="650">
      <c r="B650" s="128"/>
      <c r="C650" s="128"/>
      <c r="D650" s="131"/>
      <c r="E650" s="28"/>
      <c r="F650" s="28"/>
      <c r="G650" s="28"/>
      <c r="H650" s="28"/>
    </row>
    <row r="651">
      <c r="B651" s="128"/>
      <c r="C651" s="128"/>
      <c r="D651" s="131"/>
      <c r="E651" s="28"/>
      <c r="F651" s="28"/>
      <c r="G651" s="28"/>
      <c r="H651" s="28"/>
    </row>
    <row r="652">
      <c r="B652" s="128"/>
      <c r="C652" s="128"/>
      <c r="D652" s="131"/>
      <c r="E652" s="28"/>
      <c r="F652" s="28"/>
      <c r="G652" s="28"/>
      <c r="H652" s="28"/>
    </row>
    <row r="653">
      <c r="B653" s="128"/>
      <c r="C653" s="128"/>
      <c r="D653" s="131"/>
      <c r="E653" s="28"/>
      <c r="F653" s="28"/>
      <c r="G653" s="28"/>
      <c r="H653" s="28"/>
    </row>
    <row r="654">
      <c r="B654" s="128"/>
      <c r="C654" s="128"/>
      <c r="D654" s="131"/>
      <c r="E654" s="28"/>
      <c r="F654" s="28"/>
      <c r="G654" s="28"/>
      <c r="H654" s="28"/>
    </row>
    <row r="655">
      <c r="B655" s="128"/>
      <c r="C655" s="128"/>
      <c r="D655" s="131"/>
      <c r="E655" s="28"/>
      <c r="F655" s="28"/>
      <c r="G655" s="28"/>
      <c r="H655" s="28"/>
    </row>
    <row r="656">
      <c r="B656" s="128"/>
      <c r="C656" s="128"/>
      <c r="D656" s="131"/>
      <c r="E656" s="28"/>
      <c r="F656" s="28"/>
      <c r="G656" s="28"/>
      <c r="H656" s="28"/>
    </row>
    <row r="657">
      <c r="B657" s="128"/>
      <c r="C657" s="128"/>
      <c r="D657" s="131"/>
      <c r="E657" s="28"/>
      <c r="F657" s="28"/>
      <c r="G657" s="28"/>
      <c r="H657" s="28"/>
    </row>
    <row r="658">
      <c r="B658" s="128"/>
      <c r="C658" s="128"/>
      <c r="D658" s="131"/>
      <c r="E658" s="28"/>
      <c r="F658" s="28"/>
      <c r="G658" s="28"/>
      <c r="H658" s="28"/>
    </row>
    <row r="659">
      <c r="B659" s="128"/>
      <c r="C659" s="128"/>
      <c r="D659" s="131"/>
      <c r="E659" s="28"/>
      <c r="F659" s="28"/>
      <c r="G659" s="28"/>
      <c r="H659" s="28"/>
    </row>
    <row r="660">
      <c r="B660" s="128"/>
      <c r="C660" s="128"/>
      <c r="D660" s="131"/>
      <c r="E660" s="28"/>
      <c r="F660" s="28"/>
      <c r="G660" s="28"/>
      <c r="H660" s="28"/>
    </row>
    <row r="661">
      <c r="B661" s="128"/>
      <c r="C661" s="128"/>
      <c r="D661" s="131"/>
      <c r="E661" s="28"/>
      <c r="F661" s="28"/>
      <c r="G661" s="28"/>
      <c r="H661" s="28"/>
    </row>
    <row r="662">
      <c r="B662" s="128"/>
      <c r="C662" s="128"/>
      <c r="D662" s="131"/>
      <c r="E662" s="28"/>
      <c r="F662" s="28"/>
      <c r="G662" s="28"/>
      <c r="H662" s="28"/>
    </row>
    <row r="663">
      <c r="B663" s="128"/>
      <c r="C663" s="128"/>
      <c r="D663" s="131"/>
      <c r="E663" s="28"/>
      <c r="F663" s="28"/>
      <c r="G663" s="28"/>
      <c r="H663" s="28"/>
    </row>
    <row r="664">
      <c r="B664" s="128"/>
      <c r="C664" s="128"/>
      <c r="D664" s="131"/>
      <c r="E664" s="28"/>
      <c r="F664" s="28"/>
      <c r="G664" s="28"/>
      <c r="H664" s="28"/>
    </row>
    <row r="665">
      <c r="B665" s="128"/>
      <c r="C665" s="128"/>
      <c r="D665" s="131"/>
      <c r="E665" s="28"/>
      <c r="F665" s="28"/>
      <c r="G665" s="28"/>
      <c r="H665" s="28"/>
    </row>
    <row r="666">
      <c r="B666" s="128"/>
      <c r="C666" s="128"/>
      <c r="D666" s="131"/>
      <c r="E666" s="28"/>
      <c r="F666" s="28"/>
      <c r="G666" s="28"/>
      <c r="H666" s="28"/>
    </row>
    <row r="667">
      <c r="B667" s="128"/>
      <c r="C667" s="128"/>
      <c r="D667" s="131"/>
      <c r="E667" s="28"/>
      <c r="F667" s="28"/>
      <c r="G667" s="28"/>
      <c r="H667" s="28"/>
    </row>
    <row r="668">
      <c r="B668" s="128"/>
      <c r="C668" s="128"/>
      <c r="D668" s="131"/>
      <c r="E668" s="28"/>
      <c r="F668" s="28"/>
      <c r="G668" s="28"/>
      <c r="H668" s="28"/>
    </row>
    <row r="669">
      <c r="B669" s="128"/>
      <c r="C669" s="128"/>
      <c r="D669" s="131"/>
      <c r="E669" s="28"/>
      <c r="F669" s="28"/>
      <c r="G669" s="28"/>
      <c r="H669" s="28"/>
    </row>
    <row r="670">
      <c r="B670" s="128"/>
      <c r="C670" s="128"/>
      <c r="D670" s="131"/>
      <c r="E670" s="28"/>
      <c r="F670" s="28"/>
      <c r="G670" s="28"/>
      <c r="H670" s="28"/>
    </row>
    <row r="671">
      <c r="B671" s="128"/>
      <c r="C671" s="128"/>
      <c r="D671" s="131"/>
      <c r="E671" s="28"/>
      <c r="F671" s="28"/>
      <c r="G671" s="28"/>
      <c r="H671" s="28"/>
    </row>
    <row r="672">
      <c r="B672" s="128"/>
      <c r="C672" s="128"/>
      <c r="D672" s="131"/>
      <c r="E672" s="28"/>
      <c r="F672" s="28"/>
      <c r="G672" s="28"/>
      <c r="H672" s="28"/>
    </row>
    <row r="673">
      <c r="B673" s="128"/>
      <c r="C673" s="128"/>
      <c r="D673" s="131"/>
      <c r="E673" s="28"/>
      <c r="F673" s="28"/>
      <c r="G673" s="28"/>
      <c r="H673" s="28"/>
    </row>
    <row r="674">
      <c r="B674" s="128"/>
      <c r="C674" s="128"/>
      <c r="D674" s="131"/>
      <c r="E674" s="28"/>
      <c r="F674" s="28"/>
      <c r="G674" s="28"/>
      <c r="H674" s="28"/>
    </row>
    <row r="675">
      <c r="B675" s="128"/>
      <c r="C675" s="128"/>
      <c r="D675" s="131"/>
      <c r="E675" s="28"/>
      <c r="F675" s="28"/>
      <c r="G675" s="28"/>
      <c r="H675" s="28"/>
    </row>
    <row r="676">
      <c r="B676" s="128"/>
      <c r="C676" s="128"/>
      <c r="D676" s="131"/>
      <c r="E676" s="28"/>
      <c r="F676" s="28"/>
      <c r="G676" s="28"/>
      <c r="H676" s="28"/>
    </row>
    <row r="677">
      <c r="B677" s="128"/>
      <c r="C677" s="128"/>
      <c r="D677" s="131"/>
      <c r="E677" s="28"/>
      <c r="F677" s="28"/>
      <c r="G677" s="28"/>
      <c r="H677" s="28"/>
    </row>
    <row r="678">
      <c r="B678" s="128"/>
      <c r="C678" s="128"/>
      <c r="D678" s="131"/>
      <c r="E678" s="28"/>
      <c r="F678" s="28"/>
      <c r="G678" s="28"/>
      <c r="H678" s="28"/>
    </row>
    <row r="679">
      <c r="B679" s="128"/>
      <c r="C679" s="128"/>
      <c r="D679" s="131"/>
      <c r="E679" s="28"/>
      <c r="F679" s="28"/>
      <c r="G679" s="28"/>
      <c r="H679" s="28"/>
    </row>
    <row r="680">
      <c r="B680" s="128"/>
      <c r="C680" s="128"/>
      <c r="D680" s="131"/>
      <c r="E680" s="28"/>
      <c r="F680" s="28"/>
      <c r="G680" s="28"/>
      <c r="H680" s="28"/>
    </row>
    <row r="681">
      <c r="B681" s="128"/>
      <c r="C681" s="128"/>
      <c r="D681" s="131"/>
      <c r="E681" s="28"/>
      <c r="F681" s="28"/>
      <c r="G681" s="28"/>
      <c r="H681" s="28"/>
    </row>
    <row r="682">
      <c r="B682" s="128"/>
      <c r="C682" s="128"/>
      <c r="D682" s="131"/>
      <c r="E682" s="28"/>
      <c r="F682" s="28"/>
      <c r="G682" s="28"/>
      <c r="H682" s="28"/>
    </row>
    <row r="683">
      <c r="B683" s="128"/>
      <c r="C683" s="128"/>
      <c r="D683" s="131"/>
      <c r="E683" s="28"/>
      <c r="F683" s="28"/>
      <c r="G683" s="28"/>
      <c r="H683" s="28"/>
    </row>
    <row r="684">
      <c r="B684" s="128"/>
      <c r="C684" s="128"/>
      <c r="D684" s="131"/>
      <c r="E684" s="28"/>
      <c r="F684" s="28"/>
      <c r="G684" s="28"/>
      <c r="H684" s="28"/>
    </row>
    <row r="685">
      <c r="B685" s="128"/>
      <c r="C685" s="128"/>
      <c r="D685" s="131"/>
      <c r="E685" s="28"/>
      <c r="F685" s="28"/>
      <c r="G685" s="28"/>
      <c r="H685" s="28"/>
    </row>
    <row r="686">
      <c r="B686" s="128"/>
      <c r="C686" s="128"/>
      <c r="D686" s="131"/>
      <c r="E686" s="28"/>
      <c r="F686" s="28"/>
      <c r="G686" s="28"/>
      <c r="H686" s="28"/>
    </row>
    <row r="687">
      <c r="B687" s="128"/>
      <c r="C687" s="128"/>
      <c r="D687" s="131"/>
      <c r="E687" s="28"/>
      <c r="F687" s="28"/>
      <c r="G687" s="28"/>
      <c r="H687" s="28"/>
    </row>
    <row r="688">
      <c r="B688" s="128"/>
      <c r="C688" s="128"/>
      <c r="D688" s="131"/>
      <c r="E688" s="28"/>
      <c r="F688" s="28"/>
      <c r="G688" s="28"/>
      <c r="H688" s="28"/>
    </row>
    <row r="689">
      <c r="B689" s="128"/>
      <c r="C689" s="128"/>
      <c r="D689" s="131"/>
      <c r="E689" s="28"/>
      <c r="F689" s="28"/>
      <c r="G689" s="28"/>
      <c r="H689" s="28"/>
    </row>
    <row r="690">
      <c r="B690" s="128"/>
      <c r="C690" s="128"/>
      <c r="D690" s="131"/>
      <c r="E690" s="28"/>
      <c r="F690" s="28"/>
      <c r="G690" s="28"/>
      <c r="H690" s="28"/>
    </row>
    <row r="691">
      <c r="B691" s="128"/>
      <c r="C691" s="128"/>
      <c r="D691" s="131"/>
      <c r="E691" s="28"/>
      <c r="F691" s="28"/>
      <c r="G691" s="28"/>
      <c r="H691" s="28"/>
    </row>
    <row r="692">
      <c r="B692" s="128"/>
      <c r="C692" s="128"/>
      <c r="D692" s="131"/>
      <c r="E692" s="28"/>
      <c r="F692" s="28"/>
      <c r="G692" s="28"/>
      <c r="H692" s="28"/>
    </row>
    <row r="693">
      <c r="B693" s="128"/>
      <c r="C693" s="128"/>
      <c r="D693" s="131"/>
      <c r="E693" s="28"/>
      <c r="F693" s="28"/>
      <c r="G693" s="28"/>
      <c r="H693" s="28"/>
    </row>
    <row r="694">
      <c r="B694" s="128"/>
      <c r="C694" s="128"/>
      <c r="D694" s="131"/>
      <c r="E694" s="28"/>
      <c r="F694" s="28"/>
      <c r="G694" s="28"/>
      <c r="H694" s="28"/>
    </row>
    <row r="695">
      <c r="B695" s="128"/>
      <c r="C695" s="128"/>
      <c r="D695" s="131"/>
      <c r="E695" s="28"/>
      <c r="F695" s="28"/>
      <c r="G695" s="28"/>
      <c r="H695" s="28"/>
    </row>
    <row r="696">
      <c r="B696" s="128"/>
      <c r="C696" s="128"/>
      <c r="D696" s="131"/>
      <c r="E696" s="28"/>
      <c r="F696" s="28"/>
      <c r="G696" s="28"/>
      <c r="H696" s="28"/>
    </row>
    <row r="697">
      <c r="B697" s="128"/>
      <c r="C697" s="128"/>
      <c r="D697" s="131"/>
      <c r="E697" s="28"/>
      <c r="F697" s="28"/>
      <c r="G697" s="28"/>
      <c r="H697" s="28"/>
    </row>
    <row r="698">
      <c r="B698" s="128"/>
      <c r="C698" s="128"/>
      <c r="D698" s="131"/>
      <c r="E698" s="28"/>
      <c r="F698" s="28"/>
      <c r="G698" s="28"/>
      <c r="H698" s="28"/>
    </row>
    <row r="699">
      <c r="B699" s="128"/>
      <c r="C699" s="128"/>
      <c r="D699" s="131"/>
      <c r="E699" s="28"/>
      <c r="F699" s="28"/>
      <c r="G699" s="28"/>
      <c r="H699" s="28"/>
    </row>
    <row r="700">
      <c r="B700" s="128"/>
      <c r="C700" s="128"/>
      <c r="D700" s="131"/>
      <c r="E700" s="28"/>
      <c r="F700" s="28"/>
      <c r="G700" s="28"/>
      <c r="H700" s="28"/>
    </row>
    <row r="701">
      <c r="B701" s="128"/>
      <c r="C701" s="128"/>
      <c r="D701" s="131"/>
      <c r="E701" s="28"/>
      <c r="F701" s="28"/>
      <c r="G701" s="28"/>
      <c r="H701" s="28"/>
    </row>
    <row r="702">
      <c r="B702" s="128"/>
      <c r="C702" s="128"/>
      <c r="D702" s="131"/>
      <c r="E702" s="28"/>
      <c r="F702" s="28"/>
      <c r="G702" s="28"/>
      <c r="H702" s="28"/>
    </row>
    <row r="703">
      <c r="B703" s="128"/>
      <c r="C703" s="128"/>
      <c r="D703" s="131"/>
      <c r="E703" s="28"/>
      <c r="F703" s="28"/>
      <c r="G703" s="28"/>
      <c r="H703" s="28"/>
    </row>
    <row r="704">
      <c r="B704" s="128"/>
      <c r="C704" s="128"/>
      <c r="D704" s="131"/>
      <c r="E704" s="28"/>
      <c r="F704" s="28"/>
      <c r="G704" s="28"/>
      <c r="H704" s="28"/>
    </row>
    <row r="705">
      <c r="B705" s="128"/>
      <c r="C705" s="128"/>
      <c r="D705" s="131"/>
      <c r="E705" s="28"/>
      <c r="F705" s="28"/>
      <c r="G705" s="28"/>
      <c r="H705" s="28"/>
    </row>
    <row r="706">
      <c r="B706" s="128"/>
      <c r="C706" s="128"/>
      <c r="D706" s="131"/>
      <c r="E706" s="28"/>
      <c r="F706" s="28"/>
      <c r="G706" s="28"/>
      <c r="H706" s="28"/>
    </row>
    <row r="707">
      <c r="B707" s="128"/>
      <c r="C707" s="128"/>
      <c r="D707" s="131"/>
      <c r="E707" s="28"/>
      <c r="F707" s="28"/>
      <c r="G707" s="28"/>
      <c r="H707" s="28"/>
    </row>
    <row r="708">
      <c r="B708" s="128"/>
      <c r="C708" s="128"/>
      <c r="D708" s="131"/>
      <c r="E708" s="28"/>
      <c r="F708" s="28"/>
      <c r="G708" s="28"/>
      <c r="H708" s="28"/>
    </row>
    <row r="709">
      <c r="B709" s="128"/>
      <c r="C709" s="128"/>
      <c r="D709" s="131"/>
      <c r="E709" s="28"/>
      <c r="F709" s="28"/>
      <c r="G709" s="28"/>
      <c r="H709" s="28"/>
    </row>
    <row r="710">
      <c r="B710" s="128"/>
      <c r="C710" s="128"/>
      <c r="D710" s="131"/>
      <c r="E710" s="28"/>
      <c r="F710" s="28"/>
      <c r="G710" s="28"/>
      <c r="H710" s="28"/>
    </row>
    <row r="711">
      <c r="B711" s="128"/>
      <c r="C711" s="128"/>
      <c r="D711" s="131"/>
      <c r="E711" s="28"/>
      <c r="F711" s="28"/>
      <c r="G711" s="28"/>
      <c r="H711" s="28"/>
    </row>
    <row r="712">
      <c r="B712" s="128"/>
      <c r="C712" s="128"/>
      <c r="D712" s="131"/>
      <c r="E712" s="28"/>
      <c r="F712" s="28"/>
      <c r="G712" s="28"/>
      <c r="H712" s="28"/>
    </row>
    <row r="713">
      <c r="B713" s="128"/>
      <c r="C713" s="128"/>
      <c r="D713" s="131"/>
      <c r="E713" s="28"/>
      <c r="F713" s="28"/>
      <c r="G713" s="28"/>
      <c r="H713" s="28"/>
    </row>
    <row r="714">
      <c r="B714" s="128"/>
      <c r="C714" s="128"/>
      <c r="D714" s="131"/>
      <c r="E714" s="28"/>
      <c r="F714" s="28"/>
      <c r="G714" s="28"/>
      <c r="H714" s="28"/>
    </row>
    <row r="715">
      <c r="B715" s="128"/>
      <c r="C715" s="128"/>
      <c r="D715" s="131"/>
      <c r="E715" s="28"/>
      <c r="F715" s="28"/>
      <c r="G715" s="28"/>
      <c r="H715" s="28"/>
    </row>
    <row r="716">
      <c r="B716" s="128"/>
      <c r="C716" s="128"/>
      <c r="D716" s="131"/>
      <c r="E716" s="28"/>
      <c r="F716" s="28"/>
      <c r="G716" s="28"/>
      <c r="H716" s="28"/>
    </row>
    <row r="717">
      <c r="B717" s="128"/>
      <c r="C717" s="128"/>
      <c r="D717" s="131"/>
      <c r="E717" s="28"/>
      <c r="F717" s="28"/>
      <c r="G717" s="28"/>
      <c r="H717" s="28"/>
    </row>
    <row r="718">
      <c r="B718" s="128"/>
      <c r="C718" s="128"/>
      <c r="D718" s="131"/>
      <c r="E718" s="28"/>
      <c r="F718" s="28"/>
      <c r="G718" s="28"/>
      <c r="H718" s="28"/>
    </row>
    <row r="719">
      <c r="B719" s="128"/>
      <c r="C719" s="128"/>
      <c r="D719" s="131"/>
      <c r="E719" s="28"/>
      <c r="F719" s="28"/>
      <c r="G719" s="28"/>
      <c r="H719" s="28"/>
    </row>
    <row r="720">
      <c r="B720" s="128"/>
      <c r="C720" s="128"/>
      <c r="D720" s="131"/>
      <c r="E720" s="28"/>
      <c r="F720" s="28"/>
      <c r="G720" s="28"/>
      <c r="H720" s="28"/>
    </row>
    <row r="721">
      <c r="B721" s="128"/>
      <c r="C721" s="128"/>
      <c r="D721" s="131"/>
      <c r="E721" s="28"/>
      <c r="F721" s="28"/>
      <c r="G721" s="28"/>
      <c r="H721" s="28"/>
    </row>
    <row r="722">
      <c r="B722" s="128"/>
      <c r="C722" s="128"/>
      <c r="D722" s="131"/>
      <c r="E722" s="28"/>
      <c r="F722" s="28"/>
      <c r="G722" s="28"/>
      <c r="H722" s="28"/>
    </row>
    <row r="723">
      <c r="B723" s="128"/>
      <c r="C723" s="128"/>
      <c r="D723" s="131"/>
      <c r="E723" s="28"/>
      <c r="F723" s="28"/>
      <c r="G723" s="28"/>
      <c r="H723" s="28"/>
    </row>
    <row r="724">
      <c r="B724" s="128"/>
      <c r="C724" s="128"/>
      <c r="D724" s="131"/>
      <c r="E724" s="28"/>
      <c r="F724" s="28"/>
      <c r="G724" s="28"/>
      <c r="H724" s="28"/>
    </row>
    <row r="725">
      <c r="B725" s="128"/>
      <c r="C725" s="128"/>
      <c r="D725" s="131"/>
      <c r="E725" s="28"/>
      <c r="F725" s="28"/>
      <c r="G725" s="28"/>
      <c r="H725" s="28"/>
    </row>
    <row r="726">
      <c r="B726" s="128"/>
      <c r="C726" s="128"/>
      <c r="D726" s="131"/>
      <c r="E726" s="28"/>
      <c r="F726" s="28"/>
      <c r="G726" s="28"/>
      <c r="H726" s="28"/>
    </row>
    <row r="727">
      <c r="B727" s="128"/>
      <c r="C727" s="128"/>
      <c r="D727" s="131"/>
      <c r="E727" s="28"/>
      <c r="F727" s="28"/>
      <c r="G727" s="28"/>
      <c r="H727" s="28"/>
    </row>
    <row r="728">
      <c r="B728" s="128"/>
      <c r="C728" s="128"/>
      <c r="D728" s="131"/>
      <c r="E728" s="28"/>
      <c r="F728" s="28"/>
      <c r="G728" s="28"/>
      <c r="H728" s="28"/>
    </row>
    <row r="729">
      <c r="B729" s="128"/>
      <c r="C729" s="128"/>
      <c r="D729" s="131"/>
      <c r="E729" s="28"/>
      <c r="F729" s="28"/>
      <c r="G729" s="28"/>
      <c r="H729" s="28"/>
    </row>
    <row r="730">
      <c r="B730" s="128"/>
      <c r="C730" s="128"/>
      <c r="D730" s="131"/>
      <c r="E730" s="28"/>
      <c r="F730" s="28"/>
      <c r="G730" s="28"/>
      <c r="H730" s="28"/>
    </row>
    <row r="731">
      <c r="B731" s="128"/>
      <c r="C731" s="128"/>
      <c r="D731" s="131"/>
      <c r="E731" s="28"/>
      <c r="F731" s="28"/>
      <c r="G731" s="28"/>
      <c r="H731" s="28"/>
    </row>
    <row r="732">
      <c r="B732" s="128"/>
      <c r="C732" s="128"/>
      <c r="D732" s="131"/>
      <c r="E732" s="28"/>
      <c r="F732" s="28"/>
      <c r="G732" s="28"/>
      <c r="H732" s="28"/>
    </row>
    <row r="733">
      <c r="B733" s="128"/>
      <c r="C733" s="128"/>
      <c r="D733" s="131"/>
      <c r="E733" s="28"/>
      <c r="F733" s="28"/>
      <c r="G733" s="28"/>
      <c r="H733" s="28"/>
    </row>
    <row r="734">
      <c r="B734" s="128"/>
      <c r="C734" s="128"/>
      <c r="D734" s="131"/>
      <c r="E734" s="28"/>
      <c r="F734" s="28"/>
      <c r="G734" s="28"/>
      <c r="H734" s="28"/>
    </row>
    <row r="735">
      <c r="B735" s="128"/>
      <c r="C735" s="128"/>
      <c r="D735" s="131"/>
      <c r="E735" s="28"/>
      <c r="F735" s="28"/>
      <c r="G735" s="28"/>
      <c r="H735" s="28"/>
    </row>
    <row r="736">
      <c r="B736" s="128"/>
      <c r="C736" s="128"/>
      <c r="D736" s="131"/>
      <c r="E736" s="28"/>
      <c r="F736" s="28"/>
      <c r="G736" s="28"/>
      <c r="H736" s="28"/>
    </row>
    <row r="737">
      <c r="B737" s="128"/>
      <c r="C737" s="128"/>
      <c r="D737" s="131"/>
      <c r="E737" s="28"/>
      <c r="F737" s="28"/>
      <c r="G737" s="28"/>
      <c r="H737" s="28"/>
    </row>
    <row r="738">
      <c r="B738" s="128"/>
      <c r="C738" s="128"/>
      <c r="D738" s="131"/>
      <c r="E738" s="28"/>
      <c r="F738" s="28"/>
      <c r="G738" s="28"/>
      <c r="H738" s="28"/>
    </row>
    <row r="739">
      <c r="B739" s="128"/>
      <c r="C739" s="128"/>
      <c r="D739" s="131"/>
      <c r="E739" s="28"/>
      <c r="F739" s="28"/>
      <c r="G739" s="28"/>
      <c r="H739" s="28"/>
    </row>
    <row r="740">
      <c r="B740" s="128"/>
      <c r="C740" s="128"/>
      <c r="D740" s="131"/>
      <c r="E740" s="28"/>
      <c r="F740" s="28"/>
      <c r="G740" s="28"/>
      <c r="H740" s="28"/>
    </row>
    <row r="741">
      <c r="B741" s="128"/>
      <c r="C741" s="128"/>
      <c r="D741" s="131"/>
      <c r="E741" s="28"/>
      <c r="F741" s="28"/>
      <c r="G741" s="28"/>
      <c r="H741" s="28"/>
    </row>
    <row r="742">
      <c r="B742" s="128"/>
      <c r="C742" s="128"/>
      <c r="D742" s="131"/>
      <c r="E742" s="28"/>
      <c r="F742" s="28"/>
      <c r="G742" s="28"/>
      <c r="H742" s="28"/>
    </row>
    <row r="743">
      <c r="B743" s="128"/>
      <c r="C743" s="128"/>
      <c r="D743" s="131"/>
      <c r="E743" s="28"/>
      <c r="F743" s="28"/>
      <c r="G743" s="28"/>
      <c r="H743" s="28"/>
    </row>
    <row r="744">
      <c r="B744" s="128"/>
      <c r="C744" s="128"/>
      <c r="D744" s="131"/>
      <c r="E744" s="28"/>
      <c r="F744" s="28"/>
      <c r="G744" s="28"/>
      <c r="H744" s="28"/>
    </row>
    <row r="745">
      <c r="B745" s="128"/>
      <c r="C745" s="128"/>
      <c r="D745" s="131"/>
      <c r="E745" s="28"/>
      <c r="F745" s="28"/>
      <c r="G745" s="28"/>
      <c r="H745" s="28"/>
    </row>
    <row r="746">
      <c r="B746" s="128"/>
      <c r="C746" s="128"/>
      <c r="D746" s="131"/>
      <c r="E746" s="28"/>
      <c r="F746" s="28"/>
      <c r="G746" s="28"/>
      <c r="H746" s="28"/>
    </row>
    <row r="747">
      <c r="B747" s="128"/>
      <c r="C747" s="128"/>
      <c r="D747" s="131"/>
      <c r="E747" s="28"/>
      <c r="F747" s="28"/>
      <c r="G747" s="28"/>
      <c r="H747" s="28"/>
    </row>
    <row r="748">
      <c r="B748" s="128"/>
      <c r="C748" s="128"/>
      <c r="D748" s="131"/>
      <c r="E748" s="28"/>
      <c r="F748" s="28"/>
      <c r="G748" s="28"/>
      <c r="H748" s="28"/>
    </row>
    <row r="749">
      <c r="B749" s="128"/>
      <c r="C749" s="128"/>
      <c r="D749" s="131"/>
      <c r="E749" s="28"/>
      <c r="F749" s="28"/>
      <c r="G749" s="28"/>
      <c r="H749" s="28"/>
    </row>
    <row r="750">
      <c r="B750" s="128"/>
      <c r="C750" s="128"/>
      <c r="D750" s="131"/>
      <c r="E750" s="28"/>
      <c r="F750" s="28"/>
      <c r="G750" s="28"/>
      <c r="H750" s="28"/>
    </row>
    <row r="751">
      <c r="B751" s="128"/>
      <c r="C751" s="128"/>
      <c r="D751" s="131"/>
      <c r="E751" s="28"/>
      <c r="F751" s="28"/>
      <c r="G751" s="28"/>
      <c r="H751" s="28"/>
    </row>
    <row r="752">
      <c r="B752" s="128"/>
      <c r="C752" s="128"/>
      <c r="D752" s="131"/>
      <c r="E752" s="28"/>
      <c r="F752" s="28"/>
      <c r="G752" s="28"/>
      <c r="H752" s="28"/>
    </row>
    <row r="753">
      <c r="B753" s="128"/>
      <c r="C753" s="128"/>
      <c r="D753" s="131"/>
      <c r="E753" s="28"/>
      <c r="F753" s="28"/>
      <c r="G753" s="28"/>
      <c r="H753" s="28"/>
    </row>
    <row r="754">
      <c r="B754" s="128"/>
      <c r="C754" s="128"/>
      <c r="D754" s="131"/>
      <c r="E754" s="28"/>
      <c r="F754" s="28"/>
      <c r="G754" s="28"/>
      <c r="H754" s="28"/>
    </row>
    <row r="755">
      <c r="B755" s="128"/>
      <c r="C755" s="128"/>
      <c r="D755" s="131"/>
      <c r="E755" s="28"/>
      <c r="F755" s="28"/>
      <c r="G755" s="28"/>
      <c r="H755" s="28"/>
    </row>
    <row r="756">
      <c r="B756" s="128"/>
      <c r="C756" s="128"/>
      <c r="D756" s="131"/>
      <c r="E756" s="28"/>
      <c r="F756" s="28"/>
      <c r="G756" s="28"/>
      <c r="H756" s="28"/>
    </row>
    <row r="757">
      <c r="B757" s="128"/>
      <c r="C757" s="128"/>
      <c r="D757" s="131"/>
      <c r="E757" s="28"/>
      <c r="F757" s="28"/>
      <c r="G757" s="28"/>
      <c r="H757" s="28"/>
    </row>
    <row r="758">
      <c r="B758" s="128"/>
      <c r="C758" s="128"/>
      <c r="D758" s="131"/>
      <c r="E758" s="28"/>
      <c r="F758" s="28"/>
      <c r="G758" s="28"/>
      <c r="H758" s="28"/>
    </row>
    <row r="759">
      <c r="B759" s="128"/>
      <c r="C759" s="128"/>
      <c r="D759" s="131"/>
      <c r="E759" s="28"/>
      <c r="F759" s="28"/>
      <c r="G759" s="28"/>
      <c r="H759" s="28"/>
    </row>
    <row r="760">
      <c r="B760" s="128"/>
      <c r="C760" s="128"/>
      <c r="D760" s="131"/>
      <c r="E760" s="28"/>
      <c r="F760" s="28"/>
      <c r="G760" s="28"/>
      <c r="H760" s="28"/>
    </row>
    <row r="761">
      <c r="B761" s="128"/>
      <c r="C761" s="128"/>
      <c r="D761" s="131"/>
      <c r="E761" s="28"/>
      <c r="F761" s="28"/>
      <c r="G761" s="28"/>
      <c r="H761" s="28"/>
    </row>
    <row r="762">
      <c r="B762" s="128"/>
      <c r="C762" s="128"/>
      <c r="D762" s="131"/>
      <c r="E762" s="28"/>
      <c r="F762" s="28"/>
      <c r="G762" s="28"/>
      <c r="H762" s="28"/>
    </row>
    <row r="763">
      <c r="B763" s="128"/>
      <c r="C763" s="128"/>
      <c r="D763" s="131"/>
      <c r="E763" s="28"/>
      <c r="F763" s="28"/>
      <c r="G763" s="28"/>
      <c r="H763" s="28"/>
    </row>
    <row r="764">
      <c r="B764" s="128"/>
      <c r="C764" s="128"/>
      <c r="D764" s="131"/>
      <c r="E764" s="28"/>
      <c r="F764" s="28"/>
      <c r="G764" s="28"/>
      <c r="H764" s="28"/>
    </row>
    <row r="765">
      <c r="B765" s="128"/>
      <c r="C765" s="128"/>
      <c r="D765" s="131"/>
      <c r="E765" s="28"/>
      <c r="F765" s="28"/>
      <c r="G765" s="28"/>
      <c r="H765" s="28"/>
    </row>
    <row r="766">
      <c r="B766" s="128"/>
      <c r="C766" s="128"/>
      <c r="D766" s="131"/>
      <c r="E766" s="28"/>
      <c r="F766" s="28"/>
      <c r="G766" s="28"/>
      <c r="H766" s="28"/>
    </row>
    <row r="767">
      <c r="B767" s="128"/>
      <c r="C767" s="128"/>
      <c r="D767" s="131"/>
      <c r="E767" s="28"/>
      <c r="F767" s="28"/>
      <c r="G767" s="28"/>
      <c r="H767" s="28"/>
    </row>
    <row r="768">
      <c r="B768" s="128"/>
      <c r="C768" s="128"/>
      <c r="D768" s="131"/>
      <c r="E768" s="28"/>
      <c r="F768" s="28"/>
      <c r="G768" s="28"/>
      <c r="H768" s="28"/>
    </row>
    <row r="769">
      <c r="B769" s="128"/>
      <c r="C769" s="128"/>
      <c r="D769" s="131"/>
      <c r="E769" s="28"/>
      <c r="F769" s="28"/>
      <c r="G769" s="28"/>
      <c r="H769" s="28"/>
    </row>
    <row r="770">
      <c r="B770" s="128"/>
      <c r="C770" s="128"/>
      <c r="D770" s="131"/>
      <c r="E770" s="28"/>
      <c r="F770" s="28"/>
      <c r="G770" s="28"/>
      <c r="H770" s="28"/>
    </row>
    <row r="771">
      <c r="B771" s="128"/>
      <c r="C771" s="128"/>
      <c r="D771" s="131"/>
      <c r="E771" s="28"/>
      <c r="F771" s="28"/>
      <c r="G771" s="28"/>
      <c r="H771" s="28"/>
    </row>
    <row r="772">
      <c r="B772" s="128"/>
      <c r="C772" s="128"/>
      <c r="D772" s="131"/>
      <c r="E772" s="28"/>
      <c r="F772" s="28"/>
      <c r="G772" s="28"/>
      <c r="H772" s="28"/>
    </row>
    <row r="773">
      <c r="B773" s="128"/>
      <c r="C773" s="128"/>
      <c r="D773" s="131"/>
      <c r="E773" s="28"/>
      <c r="F773" s="28"/>
      <c r="G773" s="28"/>
      <c r="H773" s="28"/>
    </row>
    <row r="774">
      <c r="B774" s="128"/>
      <c r="C774" s="128"/>
      <c r="D774" s="131"/>
      <c r="E774" s="28"/>
      <c r="F774" s="28"/>
      <c r="G774" s="28"/>
      <c r="H774" s="28"/>
    </row>
    <row r="775">
      <c r="B775" s="128"/>
      <c r="C775" s="128"/>
      <c r="D775" s="131"/>
      <c r="E775" s="28"/>
      <c r="F775" s="28"/>
      <c r="G775" s="28"/>
      <c r="H775" s="28"/>
    </row>
    <row r="776">
      <c r="B776" s="128"/>
      <c r="C776" s="128"/>
      <c r="D776" s="131"/>
      <c r="E776" s="28"/>
      <c r="F776" s="28"/>
      <c r="G776" s="28"/>
      <c r="H776" s="28"/>
    </row>
    <row r="777">
      <c r="B777" s="128"/>
      <c r="C777" s="128"/>
      <c r="D777" s="131"/>
      <c r="E777" s="28"/>
      <c r="F777" s="28"/>
      <c r="G777" s="28"/>
      <c r="H777" s="28"/>
    </row>
    <row r="778">
      <c r="B778" s="128"/>
      <c r="C778" s="128"/>
      <c r="D778" s="131"/>
      <c r="E778" s="28"/>
      <c r="F778" s="28"/>
      <c r="G778" s="28"/>
      <c r="H778" s="28"/>
    </row>
    <row r="779">
      <c r="B779" s="128"/>
      <c r="C779" s="128"/>
      <c r="D779" s="131"/>
      <c r="E779" s="28"/>
      <c r="F779" s="28"/>
      <c r="G779" s="28"/>
      <c r="H779" s="28"/>
    </row>
    <row r="780">
      <c r="B780" s="128"/>
      <c r="C780" s="128"/>
      <c r="D780" s="131"/>
      <c r="E780" s="28"/>
      <c r="F780" s="28"/>
      <c r="G780" s="28"/>
      <c r="H780" s="28"/>
    </row>
    <row r="781">
      <c r="B781" s="128"/>
      <c r="C781" s="128"/>
      <c r="D781" s="131"/>
      <c r="E781" s="28"/>
      <c r="F781" s="28"/>
      <c r="G781" s="28"/>
      <c r="H781" s="28"/>
    </row>
    <row r="782">
      <c r="B782" s="128"/>
      <c r="C782" s="128"/>
      <c r="D782" s="131"/>
      <c r="E782" s="28"/>
      <c r="F782" s="28"/>
      <c r="G782" s="28"/>
      <c r="H782" s="28"/>
    </row>
    <row r="783">
      <c r="B783" s="128"/>
      <c r="C783" s="128"/>
      <c r="D783" s="131"/>
      <c r="E783" s="28"/>
      <c r="F783" s="28"/>
      <c r="G783" s="28"/>
      <c r="H783" s="28"/>
    </row>
    <row r="784">
      <c r="B784" s="128"/>
      <c r="C784" s="128"/>
      <c r="D784" s="131"/>
      <c r="E784" s="28"/>
      <c r="F784" s="28"/>
      <c r="G784" s="28"/>
      <c r="H784" s="28"/>
    </row>
    <row r="785">
      <c r="B785" s="128"/>
      <c r="C785" s="128"/>
      <c r="D785" s="131"/>
      <c r="E785" s="28"/>
      <c r="F785" s="28"/>
      <c r="G785" s="28"/>
      <c r="H785" s="28"/>
    </row>
    <row r="786">
      <c r="B786" s="128"/>
      <c r="C786" s="128"/>
      <c r="D786" s="131"/>
      <c r="E786" s="28"/>
      <c r="F786" s="28"/>
      <c r="G786" s="28"/>
      <c r="H786" s="28"/>
    </row>
    <row r="787">
      <c r="B787" s="128"/>
      <c r="C787" s="128"/>
      <c r="D787" s="131"/>
      <c r="E787" s="28"/>
      <c r="F787" s="28"/>
      <c r="G787" s="28"/>
      <c r="H787" s="28"/>
    </row>
    <row r="788">
      <c r="B788" s="128"/>
      <c r="C788" s="128"/>
      <c r="D788" s="131"/>
      <c r="E788" s="28"/>
      <c r="F788" s="28"/>
      <c r="G788" s="28"/>
      <c r="H788" s="28"/>
    </row>
    <row r="789">
      <c r="B789" s="128"/>
      <c r="C789" s="128"/>
      <c r="D789" s="131"/>
      <c r="E789" s="28"/>
      <c r="F789" s="28"/>
      <c r="G789" s="28"/>
      <c r="H789" s="28"/>
    </row>
    <row r="790">
      <c r="B790" s="128"/>
      <c r="C790" s="128"/>
      <c r="D790" s="131"/>
      <c r="E790" s="28"/>
      <c r="F790" s="28"/>
      <c r="G790" s="28"/>
      <c r="H790" s="28"/>
    </row>
    <row r="791">
      <c r="B791" s="128"/>
      <c r="C791" s="128"/>
      <c r="D791" s="131"/>
      <c r="E791" s="28"/>
      <c r="F791" s="28"/>
      <c r="G791" s="28"/>
      <c r="H791" s="28"/>
    </row>
    <row r="792">
      <c r="B792" s="128"/>
      <c r="C792" s="128"/>
      <c r="D792" s="131"/>
      <c r="E792" s="28"/>
      <c r="F792" s="28"/>
      <c r="G792" s="28"/>
      <c r="H792" s="28"/>
    </row>
    <row r="793">
      <c r="B793" s="128"/>
      <c r="C793" s="128"/>
      <c r="D793" s="131"/>
      <c r="E793" s="28"/>
      <c r="F793" s="28"/>
      <c r="G793" s="28"/>
      <c r="H793" s="28"/>
    </row>
    <row r="794">
      <c r="B794" s="128"/>
      <c r="C794" s="128"/>
      <c r="D794" s="131"/>
      <c r="E794" s="28"/>
      <c r="F794" s="28"/>
      <c r="G794" s="28"/>
      <c r="H794" s="28"/>
    </row>
    <row r="795">
      <c r="B795" s="128"/>
      <c r="C795" s="128"/>
      <c r="D795" s="131"/>
      <c r="E795" s="28"/>
      <c r="F795" s="28"/>
      <c r="G795" s="28"/>
      <c r="H795" s="28"/>
    </row>
    <row r="796">
      <c r="B796" s="128"/>
      <c r="C796" s="128"/>
      <c r="D796" s="131"/>
      <c r="E796" s="28"/>
      <c r="F796" s="28"/>
      <c r="G796" s="28"/>
      <c r="H796" s="28"/>
    </row>
    <row r="797">
      <c r="B797" s="128"/>
      <c r="C797" s="128"/>
      <c r="D797" s="131"/>
      <c r="E797" s="28"/>
      <c r="F797" s="28"/>
      <c r="G797" s="28"/>
      <c r="H797" s="28"/>
    </row>
    <row r="798">
      <c r="B798" s="128"/>
      <c r="C798" s="128"/>
      <c r="D798" s="131"/>
      <c r="E798" s="28"/>
      <c r="F798" s="28"/>
      <c r="G798" s="28"/>
      <c r="H798" s="28"/>
    </row>
    <row r="799">
      <c r="B799" s="128"/>
      <c r="C799" s="128"/>
      <c r="D799" s="131"/>
      <c r="E799" s="28"/>
      <c r="F799" s="28"/>
      <c r="G799" s="28"/>
      <c r="H799" s="28"/>
    </row>
    <row r="800">
      <c r="B800" s="128"/>
      <c r="C800" s="128"/>
      <c r="D800" s="131"/>
      <c r="E800" s="28"/>
      <c r="F800" s="28"/>
      <c r="G800" s="28"/>
      <c r="H800" s="28"/>
    </row>
    <row r="801">
      <c r="B801" s="128"/>
      <c r="C801" s="128"/>
      <c r="D801" s="131"/>
      <c r="E801" s="28"/>
      <c r="F801" s="28"/>
      <c r="G801" s="28"/>
      <c r="H801" s="28"/>
    </row>
    <row r="802">
      <c r="B802" s="128"/>
      <c r="C802" s="128"/>
      <c r="D802" s="131"/>
      <c r="E802" s="28"/>
      <c r="F802" s="28"/>
      <c r="G802" s="28"/>
      <c r="H802" s="28"/>
    </row>
    <row r="803">
      <c r="B803" s="128"/>
      <c r="C803" s="128"/>
      <c r="D803" s="131"/>
      <c r="E803" s="28"/>
      <c r="F803" s="28"/>
      <c r="G803" s="28"/>
      <c r="H803" s="28"/>
    </row>
    <row r="804">
      <c r="B804" s="128"/>
      <c r="C804" s="128"/>
      <c r="D804" s="131"/>
      <c r="E804" s="28"/>
      <c r="F804" s="28"/>
      <c r="G804" s="28"/>
      <c r="H804" s="28"/>
    </row>
    <row r="805">
      <c r="B805" s="128"/>
      <c r="C805" s="128"/>
      <c r="D805" s="131"/>
      <c r="E805" s="28"/>
      <c r="F805" s="28"/>
      <c r="G805" s="28"/>
      <c r="H805" s="28"/>
    </row>
    <row r="806">
      <c r="B806" s="128"/>
      <c r="C806" s="128"/>
      <c r="D806" s="131"/>
      <c r="E806" s="28"/>
      <c r="F806" s="28"/>
      <c r="G806" s="28"/>
      <c r="H806" s="28"/>
    </row>
    <row r="807">
      <c r="B807" s="128"/>
      <c r="C807" s="128"/>
      <c r="D807" s="131"/>
      <c r="E807" s="28"/>
      <c r="F807" s="28"/>
      <c r="G807" s="28"/>
      <c r="H807" s="28"/>
    </row>
    <row r="808">
      <c r="B808" s="128"/>
      <c r="C808" s="128"/>
      <c r="D808" s="131"/>
      <c r="E808" s="28"/>
      <c r="F808" s="28"/>
      <c r="G808" s="28"/>
      <c r="H808" s="28"/>
    </row>
    <row r="809">
      <c r="B809" s="128"/>
      <c r="C809" s="128"/>
      <c r="D809" s="131"/>
      <c r="E809" s="28"/>
      <c r="F809" s="28"/>
      <c r="G809" s="28"/>
      <c r="H809" s="28"/>
    </row>
    <row r="810">
      <c r="B810" s="128"/>
      <c r="C810" s="128"/>
      <c r="D810" s="131"/>
      <c r="E810" s="28"/>
      <c r="F810" s="28"/>
      <c r="G810" s="28"/>
      <c r="H810" s="28"/>
    </row>
    <row r="811">
      <c r="B811" s="128"/>
      <c r="C811" s="128"/>
      <c r="D811" s="131"/>
      <c r="E811" s="28"/>
      <c r="F811" s="28"/>
      <c r="G811" s="28"/>
      <c r="H811" s="28"/>
    </row>
    <row r="812">
      <c r="B812" s="128"/>
      <c r="C812" s="128"/>
      <c r="D812" s="131"/>
      <c r="E812" s="28"/>
      <c r="F812" s="28"/>
      <c r="G812" s="28"/>
      <c r="H812" s="28"/>
    </row>
    <row r="813">
      <c r="B813" s="128"/>
      <c r="C813" s="128"/>
      <c r="D813" s="131"/>
      <c r="E813" s="28"/>
      <c r="F813" s="28"/>
      <c r="G813" s="28"/>
      <c r="H813" s="28"/>
    </row>
    <row r="814">
      <c r="B814" s="128"/>
      <c r="C814" s="128"/>
      <c r="D814" s="131"/>
      <c r="E814" s="28"/>
      <c r="F814" s="28"/>
      <c r="G814" s="28"/>
      <c r="H814" s="28"/>
    </row>
    <row r="815">
      <c r="B815" s="128"/>
      <c r="C815" s="128"/>
      <c r="D815" s="131"/>
      <c r="E815" s="28"/>
      <c r="F815" s="28"/>
      <c r="G815" s="28"/>
      <c r="H815" s="28"/>
    </row>
    <row r="816">
      <c r="B816" s="128"/>
      <c r="C816" s="128"/>
      <c r="D816" s="131"/>
      <c r="E816" s="28"/>
      <c r="F816" s="28"/>
      <c r="G816" s="28"/>
      <c r="H816" s="28"/>
    </row>
    <row r="817">
      <c r="B817" s="128"/>
      <c r="C817" s="128"/>
      <c r="D817" s="131"/>
      <c r="E817" s="28"/>
      <c r="F817" s="28"/>
      <c r="G817" s="28"/>
      <c r="H817" s="28"/>
    </row>
    <row r="818">
      <c r="B818" s="128"/>
      <c r="C818" s="128"/>
      <c r="D818" s="131"/>
      <c r="E818" s="28"/>
      <c r="F818" s="28"/>
      <c r="G818" s="28"/>
      <c r="H818" s="28"/>
    </row>
    <row r="819">
      <c r="B819" s="128"/>
      <c r="C819" s="128"/>
      <c r="D819" s="131"/>
      <c r="E819" s="28"/>
      <c r="F819" s="28"/>
      <c r="G819" s="28"/>
      <c r="H819" s="28"/>
    </row>
    <row r="820">
      <c r="B820" s="128"/>
      <c r="C820" s="128"/>
      <c r="D820" s="131"/>
      <c r="E820" s="28"/>
      <c r="F820" s="28"/>
      <c r="G820" s="28"/>
      <c r="H820" s="28"/>
    </row>
    <row r="821">
      <c r="B821" s="128"/>
      <c r="C821" s="128"/>
      <c r="D821" s="131"/>
      <c r="E821" s="28"/>
      <c r="F821" s="28"/>
      <c r="G821" s="28"/>
      <c r="H821" s="28"/>
    </row>
    <row r="822">
      <c r="B822" s="128"/>
      <c r="C822" s="128"/>
      <c r="D822" s="131"/>
      <c r="E822" s="28"/>
      <c r="F822" s="28"/>
      <c r="G822" s="28"/>
      <c r="H822" s="28"/>
    </row>
    <row r="823">
      <c r="B823" s="128"/>
      <c r="C823" s="128"/>
      <c r="D823" s="131"/>
      <c r="E823" s="28"/>
      <c r="F823" s="28"/>
      <c r="G823" s="28"/>
      <c r="H823" s="28"/>
    </row>
    <row r="824">
      <c r="B824" s="128"/>
      <c r="C824" s="128"/>
      <c r="D824" s="131"/>
      <c r="E824" s="28"/>
      <c r="F824" s="28"/>
      <c r="G824" s="28"/>
      <c r="H824" s="28"/>
    </row>
    <row r="825">
      <c r="B825" s="128"/>
      <c r="C825" s="128"/>
      <c r="D825" s="131"/>
      <c r="E825" s="28"/>
      <c r="F825" s="28"/>
      <c r="G825" s="28"/>
      <c r="H825" s="28"/>
    </row>
    <row r="826">
      <c r="B826" s="128"/>
      <c r="C826" s="128"/>
      <c r="D826" s="131"/>
      <c r="E826" s="28"/>
      <c r="F826" s="28"/>
      <c r="G826" s="28"/>
      <c r="H826" s="28"/>
    </row>
    <row r="827">
      <c r="B827" s="128"/>
      <c r="C827" s="128"/>
      <c r="D827" s="131"/>
      <c r="E827" s="28"/>
      <c r="F827" s="28"/>
      <c r="G827" s="28"/>
      <c r="H827" s="28"/>
    </row>
    <row r="828">
      <c r="B828" s="128"/>
      <c r="C828" s="128"/>
      <c r="D828" s="131"/>
      <c r="E828" s="28"/>
      <c r="F828" s="28"/>
      <c r="G828" s="28"/>
      <c r="H828" s="28"/>
    </row>
    <row r="829">
      <c r="B829" s="128"/>
      <c r="C829" s="128"/>
      <c r="D829" s="131"/>
      <c r="E829" s="28"/>
      <c r="F829" s="28"/>
      <c r="G829" s="28"/>
      <c r="H829" s="28"/>
    </row>
    <row r="830">
      <c r="B830" s="128"/>
      <c r="C830" s="128"/>
      <c r="D830" s="131"/>
      <c r="E830" s="28"/>
      <c r="F830" s="28"/>
      <c r="G830" s="28"/>
      <c r="H830" s="28"/>
    </row>
    <row r="831">
      <c r="B831" s="128"/>
      <c r="C831" s="128"/>
      <c r="D831" s="131"/>
      <c r="E831" s="28"/>
      <c r="F831" s="28"/>
      <c r="G831" s="28"/>
      <c r="H831" s="28"/>
    </row>
    <row r="832">
      <c r="B832" s="128"/>
      <c r="C832" s="128"/>
      <c r="D832" s="131"/>
      <c r="E832" s="28"/>
      <c r="F832" s="28"/>
      <c r="G832" s="28"/>
      <c r="H832" s="28"/>
    </row>
    <row r="833">
      <c r="B833" s="128"/>
      <c r="C833" s="128"/>
      <c r="D833" s="131"/>
      <c r="E833" s="28"/>
      <c r="F833" s="28"/>
      <c r="G833" s="28"/>
      <c r="H833" s="28"/>
    </row>
    <row r="834">
      <c r="B834" s="128"/>
      <c r="C834" s="128"/>
      <c r="D834" s="131"/>
      <c r="E834" s="28"/>
      <c r="F834" s="28"/>
      <c r="G834" s="28"/>
      <c r="H834" s="28"/>
    </row>
    <row r="835">
      <c r="B835" s="128"/>
      <c r="C835" s="128"/>
      <c r="D835" s="131"/>
      <c r="E835" s="28"/>
      <c r="F835" s="28"/>
      <c r="G835" s="28"/>
      <c r="H835" s="28"/>
    </row>
    <row r="836">
      <c r="B836" s="128"/>
      <c r="C836" s="128"/>
      <c r="D836" s="131"/>
      <c r="E836" s="28"/>
      <c r="F836" s="28"/>
      <c r="G836" s="28"/>
      <c r="H836" s="28"/>
    </row>
    <row r="837">
      <c r="B837" s="128"/>
      <c r="C837" s="128"/>
      <c r="D837" s="131"/>
      <c r="E837" s="28"/>
      <c r="F837" s="28"/>
      <c r="G837" s="28"/>
      <c r="H837" s="28"/>
    </row>
    <row r="838">
      <c r="B838" s="128"/>
      <c r="C838" s="128"/>
      <c r="D838" s="131"/>
      <c r="E838" s="28"/>
      <c r="F838" s="28"/>
      <c r="G838" s="28"/>
      <c r="H838" s="28"/>
    </row>
    <row r="839">
      <c r="B839" s="128"/>
      <c r="C839" s="128"/>
      <c r="D839" s="131"/>
      <c r="E839" s="28"/>
      <c r="F839" s="28"/>
      <c r="G839" s="28"/>
      <c r="H839" s="28"/>
    </row>
    <row r="840">
      <c r="B840" s="128"/>
      <c r="C840" s="128"/>
      <c r="D840" s="131"/>
      <c r="E840" s="28"/>
      <c r="F840" s="28"/>
      <c r="G840" s="28"/>
      <c r="H840" s="28"/>
    </row>
    <row r="841">
      <c r="B841" s="128"/>
      <c r="C841" s="128"/>
      <c r="D841" s="131"/>
      <c r="E841" s="28"/>
      <c r="F841" s="28"/>
      <c r="G841" s="28"/>
      <c r="H841" s="28"/>
    </row>
    <row r="842">
      <c r="B842" s="128"/>
      <c r="C842" s="128"/>
      <c r="D842" s="131"/>
      <c r="E842" s="28"/>
      <c r="F842" s="28"/>
      <c r="G842" s="28"/>
      <c r="H842" s="28"/>
    </row>
    <row r="843">
      <c r="B843" s="128"/>
      <c r="C843" s="128"/>
      <c r="D843" s="131"/>
      <c r="E843" s="28"/>
      <c r="F843" s="28"/>
      <c r="G843" s="28"/>
      <c r="H843" s="28"/>
    </row>
    <row r="844">
      <c r="B844" s="128"/>
      <c r="C844" s="128"/>
      <c r="D844" s="131"/>
      <c r="E844" s="28"/>
      <c r="F844" s="28"/>
      <c r="G844" s="28"/>
      <c r="H844" s="28"/>
    </row>
    <row r="845">
      <c r="B845" s="128"/>
      <c r="C845" s="128"/>
      <c r="D845" s="131"/>
      <c r="E845" s="28"/>
      <c r="F845" s="28"/>
      <c r="G845" s="28"/>
      <c r="H845" s="28"/>
    </row>
    <row r="846">
      <c r="B846" s="128"/>
      <c r="C846" s="128"/>
      <c r="D846" s="131"/>
      <c r="E846" s="28"/>
      <c r="F846" s="28"/>
      <c r="G846" s="28"/>
      <c r="H846" s="28"/>
    </row>
    <row r="847">
      <c r="B847" s="128"/>
      <c r="C847" s="128"/>
      <c r="D847" s="131"/>
      <c r="E847" s="28"/>
      <c r="F847" s="28"/>
      <c r="G847" s="28"/>
      <c r="H847" s="28"/>
    </row>
    <row r="848">
      <c r="B848" s="128"/>
      <c r="C848" s="128"/>
      <c r="D848" s="131"/>
      <c r="E848" s="28"/>
      <c r="F848" s="28"/>
      <c r="G848" s="28"/>
      <c r="H848" s="28"/>
    </row>
    <row r="849">
      <c r="B849" s="128"/>
      <c r="C849" s="128"/>
      <c r="D849" s="131"/>
      <c r="E849" s="28"/>
      <c r="F849" s="28"/>
      <c r="G849" s="28"/>
      <c r="H849" s="28"/>
    </row>
    <row r="850">
      <c r="B850" s="128"/>
      <c r="C850" s="128"/>
      <c r="D850" s="131"/>
      <c r="E850" s="28"/>
      <c r="F850" s="28"/>
      <c r="G850" s="28"/>
      <c r="H850" s="28"/>
    </row>
    <row r="851">
      <c r="B851" s="128"/>
      <c r="C851" s="128"/>
      <c r="D851" s="131"/>
      <c r="E851" s="28"/>
      <c r="F851" s="28"/>
      <c r="G851" s="28"/>
      <c r="H851" s="28"/>
    </row>
    <row r="852">
      <c r="B852" s="128"/>
      <c r="C852" s="128"/>
      <c r="D852" s="131"/>
      <c r="E852" s="28"/>
      <c r="F852" s="28"/>
      <c r="G852" s="28"/>
      <c r="H852" s="28"/>
    </row>
    <row r="853">
      <c r="B853" s="128"/>
      <c r="C853" s="128"/>
      <c r="D853" s="131"/>
      <c r="E853" s="28"/>
      <c r="F853" s="28"/>
      <c r="G853" s="28"/>
      <c r="H853" s="28"/>
    </row>
    <row r="854">
      <c r="B854" s="128"/>
      <c r="C854" s="128"/>
      <c r="D854" s="131"/>
      <c r="E854" s="28"/>
      <c r="F854" s="28"/>
      <c r="G854" s="28"/>
      <c r="H854" s="28"/>
    </row>
    <row r="855">
      <c r="B855" s="128"/>
      <c r="C855" s="128"/>
      <c r="D855" s="131"/>
      <c r="E855" s="28"/>
      <c r="F855" s="28"/>
      <c r="G855" s="28"/>
      <c r="H855" s="28"/>
    </row>
    <row r="856">
      <c r="B856" s="128"/>
      <c r="C856" s="128"/>
      <c r="D856" s="131"/>
      <c r="E856" s="28"/>
      <c r="F856" s="28"/>
      <c r="G856" s="28"/>
      <c r="H856" s="28"/>
    </row>
    <row r="857">
      <c r="B857" s="128"/>
      <c r="C857" s="128"/>
      <c r="D857" s="131"/>
      <c r="E857" s="28"/>
      <c r="F857" s="28"/>
      <c r="G857" s="28"/>
      <c r="H857" s="28"/>
    </row>
    <row r="858">
      <c r="B858" s="128"/>
      <c r="C858" s="128"/>
      <c r="D858" s="131"/>
      <c r="E858" s="28"/>
      <c r="F858" s="28"/>
      <c r="G858" s="28"/>
      <c r="H858" s="28"/>
    </row>
    <row r="859">
      <c r="B859" s="128"/>
      <c r="C859" s="128"/>
      <c r="D859" s="131"/>
      <c r="E859" s="28"/>
      <c r="F859" s="28"/>
      <c r="G859" s="28"/>
      <c r="H859" s="28"/>
    </row>
    <row r="860">
      <c r="B860" s="128"/>
      <c r="C860" s="128"/>
      <c r="D860" s="131"/>
      <c r="E860" s="28"/>
      <c r="F860" s="28"/>
      <c r="G860" s="28"/>
      <c r="H860" s="28"/>
    </row>
    <row r="861">
      <c r="B861" s="128"/>
      <c r="C861" s="128"/>
      <c r="D861" s="131"/>
      <c r="E861" s="28"/>
      <c r="F861" s="28"/>
      <c r="G861" s="28"/>
      <c r="H861" s="28"/>
    </row>
    <row r="862">
      <c r="B862" s="128"/>
      <c r="C862" s="128"/>
      <c r="D862" s="131"/>
      <c r="E862" s="28"/>
      <c r="F862" s="28"/>
      <c r="G862" s="28"/>
      <c r="H862" s="28"/>
    </row>
    <row r="863">
      <c r="B863" s="128"/>
      <c r="C863" s="128"/>
      <c r="D863" s="131"/>
      <c r="E863" s="28"/>
      <c r="F863" s="28"/>
      <c r="G863" s="28"/>
      <c r="H863" s="28"/>
    </row>
    <row r="864">
      <c r="B864" s="128"/>
      <c r="C864" s="128"/>
      <c r="D864" s="131"/>
      <c r="E864" s="28"/>
      <c r="F864" s="28"/>
      <c r="G864" s="28"/>
      <c r="H864" s="28"/>
    </row>
    <row r="865">
      <c r="B865" s="128"/>
      <c r="C865" s="128"/>
      <c r="D865" s="131"/>
      <c r="E865" s="28"/>
      <c r="F865" s="28"/>
      <c r="G865" s="28"/>
      <c r="H865" s="28"/>
    </row>
    <row r="866">
      <c r="B866" s="128"/>
      <c r="C866" s="128"/>
      <c r="D866" s="131"/>
      <c r="E866" s="28"/>
      <c r="F866" s="28"/>
      <c r="G866" s="28"/>
      <c r="H866" s="28"/>
    </row>
    <row r="867">
      <c r="B867" s="128"/>
      <c r="C867" s="128"/>
      <c r="D867" s="131"/>
      <c r="E867" s="28"/>
      <c r="F867" s="28"/>
      <c r="G867" s="28"/>
      <c r="H867" s="28"/>
    </row>
    <row r="868">
      <c r="B868" s="128"/>
      <c r="C868" s="128"/>
      <c r="D868" s="131"/>
      <c r="E868" s="28"/>
      <c r="F868" s="28"/>
      <c r="G868" s="28"/>
      <c r="H868" s="28"/>
    </row>
    <row r="869">
      <c r="B869" s="128"/>
      <c r="C869" s="128"/>
      <c r="D869" s="131"/>
      <c r="E869" s="28"/>
      <c r="F869" s="28"/>
      <c r="G869" s="28"/>
      <c r="H869" s="28"/>
    </row>
    <row r="870">
      <c r="B870" s="128"/>
      <c r="C870" s="128"/>
      <c r="D870" s="131"/>
      <c r="E870" s="28"/>
      <c r="F870" s="28"/>
      <c r="G870" s="28"/>
      <c r="H870" s="28"/>
    </row>
    <row r="871">
      <c r="B871" s="128"/>
      <c r="C871" s="128"/>
      <c r="D871" s="131"/>
      <c r="E871" s="28"/>
      <c r="F871" s="28"/>
      <c r="G871" s="28"/>
      <c r="H871" s="28"/>
    </row>
    <row r="872">
      <c r="B872" s="128"/>
      <c r="C872" s="128"/>
      <c r="D872" s="131"/>
      <c r="E872" s="28"/>
      <c r="F872" s="28"/>
      <c r="G872" s="28"/>
      <c r="H872" s="28"/>
    </row>
    <row r="873">
      <c r="B873" s="128"/>
      <c r="C873" s="128"/>
      <c r="D873" s="131"/>
      <c r="E873" s="28"/>
      <c r="F873" s="28"/>
      <c r="G873" s="28"/>
      <c r="H873" s="28"/>
    </row>
    <row r="874">
      <c r="B874" s="128"/>
      <c r="C874" s="128"/>
      <c r="D874" s="131"/>
      <c r="E874" s="28"/>
      <c r="F874" s="28"/>
      <c r="G874" s="28"/>
      <c r="H874" s="28"/>
    </row>
    <row r="875">
      <c r="B875" s="128"/>
      <c r="C875" s="128"/>
      <c r="D875" s="131"/>
      <c r="E875" s="28"/>
      <c r="F875" s="28"/>
      <c r="G875" s="28"/>
      <c r="H875" s="28"/>
    </row>
    <row r="876">
      <c r="B876" s="128"/>
      <c r="C876" s="128"/>
      <c r="D876" s="131"/>
      <c r="E876" s="28"/>
      <c r="F876" s="28"/>
      <c r="G876" s="28"/>
      <c r="H876" s="28"/>
    </row>
    <row r="877">
      <c r="B877" s="128"/>
      <c r="C877" s="128"/>
      <c r="D877" s="131"/>
      <c r="E877" s="28"/>
      <c r="F877" s="28"/>
      <c r="G877" s="28"/>
      <c r="H877" s="28"/>
    </row>
    <row r="878">
      <c r="B878" s="128"/>
      <c r="C878" s="128"/>
      <c r="D878" s="131"/>
      <c r="E878" s="28"/>
      <c r="F878" s="28"/>
      <c r="G878" s="28"/>
      <c r="H878" s="28"/>
    </row>
    <row r="879">
      <c r="B879" s="128"/>
      <c r="C879" s="128"/>
      <c r="D879" s="131"/>
      <c r="E879" s="28"/>
      <c r="F879" s="28"/>
      <c r="G879" s="28"/>
      <c r="H879" s="28"/>
    </row>
    <row r="880">
      <c r="B880" s="128"/>
      <c r="C880" s="128"/>
      <c r="D880" s="131"/>
      <c r="E880" s="28"/>
      <c r="F880" s="28"/>
      <c r="G880" s="28"/>
      <c r="H880" s="28"/>
    </row>
    <row r="881">
      <c r="B881" s="128"/>
      <c r="C881" s="128"/>
      <c r="D881" s="131"/>
      <c r="E881" s="28"/>
      <c r="F881" s="28"/>
      <c r="G881" s="28"/>
      <c r="H881" s="28"/>
    </row>
    <row r="882">
      <c r="B882" s="128"/>
      <c r="C882" s="128"/>
      <c r="D882" s="131"/>
      <c r="E882" s="28"/>
      <c r="F882" s="28"/>
      <c r="G882" s="28"/>
      <c r="H882" s="28"/>
    </row>
    <row r="883">
      <c r="B883" s="128"/>
      <c r="C883" s="128"/>
      <c r="D883" s="131"/>
      <c r="E883" s="28"/>
      <c r="F883" s="28"/>
      <c r="G883" s="28"/>
      <c r="H883" s="28"/>
    </row>
    <row r="884">
      <c r="B884" s="128"/>
      <c r="C884" s="128"/>
      <c r="D884" s="131"/>
      <c r="E884" s="28"/>
      <c r="F884" s="28"/>
      <c r="G884" s="28"/>
      <c r="H884" s="28"/>
    </row>
    <row r="885">
      <c r="B885" s="128"/>
      <c r="C885" s="128"/>
      <c r="D885" s="131"/>
      <c r="E885" s="28"/>
      <c r="F885" s="28"/>
      <c r="G885" s="28"/>
      <c r="H885" s="28"/>
    </row>
    <row r="886">
      <c r="B886" s="128"/>
      <c r="C886" s="128"/>
      <c r="D886" s="131"/>
      <c r="E886" s="28"/>
      <c r="F886" s="28"/>
      <c r="G886" s="28"/>
      <c r="H886" s="28"/>
    </row>
    <row r="887">
      <c r="B887" s="128"/>
      <c r="C887" s="128"/>
      <c r="D887" s="131"/>
      <c r="E887" s="28"/>
      <c r="F887" s="28"/>
      <c r="G887" s="28"/>
      <c r="H887" s="28"/>
    </row>
    <row r="888">
      <c r="B888" s="128"/>
      <c r="C888" s="128"/>
      <c r="D888" s="131"/>
      <c r="E888" s="28"/>
      <c r="F888" s="28"/>
      <c r="G888" s="28"/>
      <c r="H888" s="28"/>
    </row>
    <row r="889">
      <c r="B889" s="128"/>
      <c r="C889" s="128"/>
      <c r="D889" s="131"/>
      <c r="E889" s="28"/>
      <c r="F889" s="28"/>
      <c r="G889" s="28"/>
      <c r="H889" s="28"/>
    </row>
    <row r="890">
      <c r="B890" s="128"/>
      <c r="C890" s="128"/>
      <c r="D890" s="131"/>
      <c r="E890" s="28"/>
      <c r="F890" s="28"/>
      <c r="G890" s="28"/>
      <c r="H890" s="28"/>
    </row>
    <row r="891">
      <c r="B891" s="128"/>
      <c r="C891" s="128"/>
      <c r="D891" s="131"/>
      <c r="E891" s="28"/>
      <c r="F891" s="28"/>
      <c r="G891" s="28"/>
      <c r="H891" s="28"/>
    </row>
    <row r="892">
      <c r="B892" s="128"/>
      <c r="C892" s="128"/>
      <c r="D892" s="131"/>
      <c r="E892" s="28"/>
      <c r="F892" s="28"/>
      <c r="G892" s="28"/>
      <c r="H892" s="28"/>
    </row>
    <row r="893">
      <c r="B893" s="128"/>
      <c r="C893" s="128"/>
      <c r="D893" s="131"/>
      <c r="E893" s="28"/>
      <c r="F893" s="28"/>
      <c r="G893" s="28"/>
      <c r="H893" s="28"/>
    </row>
    <row r="894">
      <c r="B894" s="128"/>
      <c r="C894" s="128"/>
      <c r="D894" s="131"/>
      <c r="E894" s="28"/>
      <c r="F894" s="28"/>
      <c r="G894" s="28"/>
      <c r="H894" s="28"/>
    </row>
    <row r="895">
      <c r="B895" s="128"/>
      <c r="C895" s="128"/>
      <c r="D895" s="131"/>
      <c r="E895" s="28"/>
      <c r="F895" s="28"/>
      <c r="G895" s="28"/>
      <c r="H895" s="28"/>
    </row>
    <row r="896">
      <c r="B896" s="128"/>
      <c r="C896" s="128"/>
      <c r="D896" s="131"/>
      <c r="E896" s="28"/>
      <c r="F896" s="28"/>
      <c r="G896" s="28"/>
      <c r="H896" s="28"/>
    </row>
    <row r="897">
      <c r="B897" s="128"/>
      <c r="C897" s="128"/>
      <c r="D897" s="131"/>
      <c r="E897" s="28"/>
      <c r="F897" s="28"/>
      <c r="G897" s="28"/>
      <c r="H897" s="28"/>
    </row>
    <row r="898">
      <c r="B898" s="128"/>
      <c r="C898" s="128"/>
      <c r="D898" s="131"/>
      <c r="E898" s="28"/>
      <c r="F898" s="28"/>
      <c r="G898" s="28"/>
      <c r="H898" s="28"/>
    </row>
    <row r="899">
      <c r="B899" s="128"/>
      <c r="C899" s="128"/>
      <c r="D899" s="131"/>
      <c r="E899" s="28"/>
      <c r="F899" s="28"/>
      <c r="G899" s="28"/>
      <c r="H899" s="28"/>
    </row>
    <row r="900">
      <c r="B900" s="128"/>
      <c r="C900" s="128"/>
      <c r="D900" s="131"/>
      <c r="E900" s="28"/>
      <c r="F900" s="28"/>
      <c r="G900" s="28"/>
      <c r="H900" s="28"/>
    </row>
    <row r="901">
      <c r="B901" s="128"/>
      <c r="C901" s="128"/>
      <c r="D901" s="131"/>
      <c r="E901" s="28"/>
      <c r="F901" s="28"/>
      <c r="G901" s="28"/>
      <c r="H901" s="28"/>
    </row>
    <row r="902">
      <c r="B902" s="128"/>
      <c r="C902" s="128"/>
      <c r="D902" s="131"/>
      <c r="E902" s="28"/>
      <c r="F902" s="28"/>
      <c r="G902" s="28"/>
      <c r="H902" s="28"/>
    </row>
    <row r="903">
      <c r="B903" s="128"/>
      <c r="C903" s="128"/>
      <c r="D903" s="131"/>
      <c r="E903" s="28"/>
      <c r="F903" s="28"/>
      <c r="G903" s="28"/>
      <c r="H903" s="28"/>
    </row>
    <row r="904">
      <c r="B904" s="128"/>
      <c r="C904" s="128"/>
      <c r="D904" s="131"/>
      <c r="E904" s="28"/>
      <c r="F904" s="28"/>
      <c r="G904" s="28"/>
      <c r="H904" s="28"/>
    </row>
    <row r="905">
      <c r="B905" s="128"/>
      <c r="C905" s="128"/>
      <c r="D905" s="131"/>
      <c r="E905" s="28"/>
      <c r="F905" s="28"/>
      <c r="G905" s="28"/>
      <c r="H905" s="28"/>
    </row>
    <row r="906">
      <c r="B906" s="128"/>
      <c r="C906" s="128"/>
      <c r="D906" s="131"/>
      <c r="E906" s="28"/>
      <c r="F906" s="28"/>
      <c r="G906" s="28"/>
      <c r="H906" s="28"/>
    </row>
    <row r="907">
      <c r="B907" s="128"/>
      <c r="C907" s="128"/>
      <c r="D907" s="131"/>
      <c r="E907" s="28"/>
      <c r="F907" s="28"/>
      <c r="G907" s="28"/>
      <c r="H907" s="28"/>
    </row>
    <row r="908">
      <c r="B908" s="128"/>
      <c r="C908" s="128"/>
      <c r="D908" s="131"/>
      <c r="E908" s="28"/>
      <c r="F908" s="28"/>
      <c r="G908" s="28"/>
      <c r="H908" s="28"/>
    </row>
    <row r="909">
      <c r="B909" s="128"/>
      <c r="C909" s="128"/>
      <c r="D909" s="131"/>
      <c r="E909" s="28"/>
      <c r="F909" s="28"/>
      <c r="G909" s="28"/>
      <c r="H909" s="28"/>
    </row>
    <row r="910">
      <c r="B910" s="128"/>
      <c r="C910" s="128"/>
      <c r="D910" s="131"/>
      <c r="E910" s="28"/>
      <c r="F910" s="28"/>
      <c r="G910" s="28"/>
      <c r="H910" s="28"/>
    </row>
    <row r="911">
      <c r="B911" s="128"/>
      <c r="C911" s="128"/>
      <c r="D911" s="131"/>
      <c r="E911" s="28"/>
      <c r="F911" s="28"/>
      <c r="G911" s="28"/>
      <c r="H911" s="28"/>
    </row>
    <row r="912">
      <c r="B912" s="128"/>
      <c r="C912" s="128"/>
      <c r="D912" s="131"/>
      <c r="E912" s="28"/>
      <c r="F912" s="28"/>
      <c r="G912" s="28"/>
      <c r="H912" s="28"/>
    </row>
    <row r="913">
      <c r="B913" s="128"/>
      <c r="C913" s="128"/>
      <c r="D913" s="131"/>
      <c r="E913" s="28"/>
      <c r="F913" s="28"/>
      <c r="G913" s="28"/>
      <c r="H913" s="28"/>
    </row>
    <row r="914">
      <c r="B914" s="128"/>
      <c r="C914" s="128"/>
      <c r="D914" s="131"/>
      <c r="E914" s="28"/>
      <c r="F914" s="28"/>
      <c r="G914" s="28"/>
      <c r="H914" s="28"/>
    </row>
    <row r="915">
      <c r="B915" s="128"/>
      <c r="C915" s="128"/>
      <c r="D915" s="131"/>
      <c r="E915" s="28"/>
      <c r="F915" s="28"/>
      <c r="G915" s="28"/>
      <c r="H915" s="28"/>
    </row>
    <row r="916">
      <c r="B916" s="128"/>
      <c r="C916" s="128"/>
      <c r="D916" s="131"/>
      <c r="E916" s="28"/>
      <c r="F916" s="28"/>
      <c r="G916" s="28"/>
      <c r="H916" s="28"/>
    </row>
    <row r="917">
      <c r="B917" s="128"/>
      <c r="C917" s="128"/>
      <c r="D917" s="131"/>
      <c r="E917" s="28"/>
      <c r="F917" s="28"/>
      <c r="G917" s="28"/>
      <c r="H917" s="28"/>
    </row>
    <row r="918">
      <c r="B918" s="128"/>
      <c r="C918" s="128"/>
      <c r="D918" s="131"/>
      <c r="E918" s="28"/>
      <c r="F918" s="28"/>
      <c r="G918" s="28"/>
      <c r="H918" s="28"/>
    </row>
    <row r="919">
      <c r="B919" s="128"/>
      <c r="C919" s="128"/>
      <c r="D919" s="131"/>
      <c r="E919" s="28"/>
      <c r="F919" s="28"/>
      <c r="G919" s="28"/>
      <c r="H919" s="28"/>
    </row>
    <row r="920">
      <c r="B920" s="128"/>
      <c r="C920" s="128"/>
      <c r="D920" s="131"/>
      <c r="E920" s="28"/>
      <c r="F920" s="28"/>
      <c r="G920" s="28"/>
      <c r="H920" s="28"/>
    </row>
    <row r="921">
      <c r="B921" s="128"/>
      <c r="C921" s="128"/>
      <c r="D921" s="131"/>
      <c r="E921" s="28"/>
      <c r="F921" s="28"/>
      <c r="G921" s="28"/>
      <c r="H921" s="28"/>
    </row>
    <row r="922">
      <c r="B922" s="128"/>
      <c r="C922" s="128"/>
      <c r="D922" s="131"/>
      <c r="E922" s="28"/>
      <c r="F922" s="28"/>
      <c r="G922" s="28"/>
      <c r="H922" s="28"/>
    </row>
    <row r="923">
      <c r="B923" s="128"/>
      <c r="C923" s="128"/>
      <c r="D923" s="131"/>
      <c r="E923" s="28"/>
      <c r="F923" s="28"/>
      <c r="G923" s="28"/>
      <c r="H923" s="28"/>
    </row>
    <row r="924">
      <c r="B924" s="128"/>
      <c r="C924" s="128"/>
      <c r="D924" s="131"/>
      <c r="E924" s="28"/>
      <c r="F924" s="28"/>
      <c r="G924" s="28"/>
      <c r="H924" s="28"/>
    </row>
    <row r="925">
      <c r="B925" s="128"/>
      <c r="C925" s="128"/>
      <c r="D925" s="131"/>
      <c r="E925" s="28"/>
      <c r="F925" s="28"/>
      <c r="G925" s="28"/>
      <c r="H925" s="28"/>
    </row>
    <row r="926">
      <c r="B926" s="128"/>
      <c r="C926" s="128"/>
      <c r="D926" s="131"/>
      <c r="E926" s="28"/>
      <c r="F926" s="28"/>
      <c r="G926" s="28"/>
      <c r="H926" s="28"/>
    </row>
    <row r="927">
      <c r="B927" s="128"/>
      <c r="C927" s="128"/>
      <c r="D927" s="131"/>
      <c r="E927" s="28"/>
      <c r="F927" s="28"/>
      <c r="G927" s="28"/>
      <c r="H927" s="28"/>
    </row>
    <row r="928">
      <c r="B928" s="128"/>
      <c r="C928" s="128"/>
      <c r="D928" s="131"/>
      <c r="E928" s="28"/>
      <c r="F928" s="28"/>
      <c r="G928" s="28"/>
      <c r="H928" s="28"/>
    </row>
    <row r="929">
      <c r="B929" s="128"/>
      <c r="C929" s="128"/>
      <c r="D929" s="131"/>
      <c r="E929" s="28"/>
      <c r="F929" s="28"/>
      <c r="G929" s="28"/>
      <c r="H929" s="28"/>
    </row>
    <row r="930">
      <c r="B930" s="128"/>
      <c r="C930" s="128"/>
      <c r="D930" s="131"/>
      <c r="E930" s="28"/>
      <c r="F930" s="28"/>
      <c r="G930" s="28"/>
      <c r="H930" s="28"/>
    </row>
    <row r="931">
      <c r="B931" s="128"/>
      <c r="C931" s="128"/>
      <c r="D931" s="131"/>
      <c r="E931" s="28"/>
      <c r="F931" s="28"/>
      <c r="G931" s="28"/>
      <c r="H931" s="28"/>
    </row>
    <row r="932">
      <c r="B932" s="128"/>
      <c r="C932" s="128"/>
      <c r="D932" s="131"/>
      <c r="E932" s="28"/>
      <c r="F932" s="28"/>
      <c r="G932" s="28"/>
      <c r="H932" s="28"/>
    </row>
    <row r="933">
      <c r="B933" s="128"/>
      <c r="C933" s="128"/>
      <c r="D933" s="131"/>
      <c r="E933" s="28"/>
      <c r="F933" s="28"/>
      <c r="G933" s="28"/>
      <c r="H933" s="28"/>
    </row>
    <row r="934">
      <c r="B934" s="128"/>
      <c r="C934" s="128"/>
      <c r="D934" s="131"/>
      <c r="E934" s="28"/>
      <c r="F934" s="28"/>
      <c r="G934" s="28"/>
      <c r="H934" s="28"/>
    </row>
    <row r="935">
      <c r="B935" s="128"/>
      <c r="C935" s="128"/>
      <c r="D935" s="131"/>
      <c r="E935" s="28"/>
      <c r="F935" s="28"/>
      <c r="G935" s="28"/>
      <c r="H935" s="28"/>
    </row>
    <row r="936">
      <c r="B936" s="128"/>
      <c r="C936" s="128"/>
      <c r="D936" s="131"/>
      <c r="E936" s="28"/>
      <c r="F936" s="28"/>
      <c r="G936" s="28"/>
      <c r="H936" s="28"/>
    </row>
    <row r="937">
      <c r="B937" s="128"/>
      <c r="C937" s="128"/>
      <c r="D937" s="131"/>
      <c r="E937" s="28"/>
      <c r="F937" s="28"/>
      <c r="G937" s="28"/>
      <c r="H937" s="28"/>
    </row>
    <row r="938">
      <c r="B938" s="128"/>
      <c r="C938" s="128"/>
      <c r="D938" s="131"/>
      <c r="E938" s="28"/>
      <c r="F938" s="28"/>
      <c r="G938" s="28"/>
      <c r="H938" s="28"/>
    </row>
    <row r="939">
      <c r="B939" s="128"/>
      <c r="C939" s="128"/>
      <c r="D939" s="131"/>
      <c r="E939" s="28"/>
      <c r="F939" s="28"/>
      <c r="G939" s="28"/>
      <c r="H939" s="28"/>
    </row>
    <row r="940">
      <c r="B940" s="128"/>
      <c r="C940" s="128"/>
      <c r="D940" s="131"/>
      <c r="E940" s="28"/>
      <c r="F940" s="28"/>
      <c r="G940" s="28"/>
      <c r="H940" s="28"/>
    </row>
    <row r="941">
      <c r="B941" s="128"/>
      <c r="C941" s="128"/>
      <c r="D941" s="131"/>
      <c r="E941" s="28"/>
      <c r="F941" s="28"/>
      <c r="G941" s="28"/>
      <c r="H941" s="28"/>
    </row>
    <row r="942">
      <c r="B942" s="128"/>
      <c r="C942" s="128"/>
      <c r="D942" s="131"/>
      <c r="E942" s="28"/>
      <c r="F942" s="28"/>
      <c r="G942" s="28"/>
      <c r="H942" s="28"/>
    </row>
    <row r="943">
      <c r="B943" s="128"/>
      <c r="C943" s="128"/>
      <c r="D943" s="131"/>
      <c r="E943" s="28"/>
      <c r="F943" s="28"/>
      <c r="G943" s="28"/>
      <c r="H943" s="28"/>
    </row>
    <row r="944">
      <c r="B944" s="128"/>
      <c r="C944" s="128"/>
      <c r="D944" s="131"/>
      <c r="E944" s="28"/>
      <c r="F944" s="28"/>
      <c r="G944" s="28"/>
      <c r="H944" s="28"/>
    </row>
    <row r="945">
      <c r="B945" s="128"/>
      <c r="C945" s="128"/>
      <c r="D945" s="131"/>
      <c r="E945" s="28"/>
      <c r="F945" s="28"/>
      <c r="G945" s="28"/>
      <c r="H945" s="28"/>
    </row>
    <row r="946">
      <c r="B946" s="128"/>
      <c r="C946" s="128"/>
      <c r="D946" s="131"/>
      <c r="E946" s="28"/>
      <c r="F946" s="28"/>
      <c r="G946" s="28"/>
      <c r="H946" s="28"/>
    </row>
    <row r="947">
      <c r="B947" s="128"/>
      <c r="C947" s="128"/>
      <c r="D947" s="131"/>
      <c r="E947" s="28"/>
      <c r="F947" s="28"/>
      <c r="G947" s="28"/>
      <c r="H947" s="28"/>
    </row>
    <row r="948">
      <c r="B948" s="128"/>
      <c r="C948" s="128"/>
      <c r="D948" s="131"/>
      <c r="E948" s="28"/>
      <c r="F948" s="28"/>
      <c r="G948" s="28"/>
      <c r="H948" s="28"/>
    </row>
    <row r="949">
      <c r="B949" s="128"/>
      <c r="C949" s="128"/>
      <c r="D949" s="131"/>
      <c r="E949" s="28"/>
      <c r="F949" s="28"/>
      <c r="G949" s="28"/>
      <c r="H949" s="28"/>
    </row>
    <row r="950">
      <c r="B950" s="128"/>
      <c r="C950" s="128"/>
      <c r="D950" s="131"/>
      <c r="E950" s="28"/>
      <c r="F950" s="28"/>
      <c r="G950" s="28"/>
      <c r="H950" s="28"/>
    </row>
    <row r="951">
      <c r="B951" s="128"/>
      <c r="C951" s="128"/>
      <c r="D951" s="131"/>
      <c r="E951" s="28"/>
      <c r="F951" s="28"/>
      <c r="G951" s="28"/>
      <c r="H951" s="28"/>
    </row>
    <row r="952">
      <c r="B952" s="128"/>
      <c r="C952" s="128"/>
      <c r="D952" s="131"/>
      <c r="E952" s="28"/>
      <c r="F952" s="28"/>
      <c r="G952" s="28"/>
      <c r="H952" s="28"/>
    </row>
    <row r="953">
      <c r="B953" s="128"/>
      <c r="C953" s="128"/>
      <c r="D953" s="131"/>
      <c r="E953" s="28"/>
      <c r="F953" s="28"/>
      <c r="G953" s="28"/>
      <c r="H953" s="28"/>
    </row>
    <row r="954">
      <c r="B954" s="128"/>
      <c r="C954" s="128"/>
      <c r="D954" s="131"/>
      <c r="E954" s="28"/>
      <c r="F954" s="28"/>
      <c r="G954" s="28"/>
      <c r="H954" s="28"/>
    </row>
    <row r="955">
      <c r="B955" s="128"/>
      <c r="C955" s="128"/>
      <c r="D955" s="131"/>
      <c r="E955" s="28"/>
      <c r="F955" s="28"/>
      <c r="G955" s="28"/>
      <c r="H955" s="28"/>
    </row>
    <row r="956">
      <c r="B956" s="128"/>
      <c r="C956" s="128"/>
      <c r="D956" s="131"/>
      <c r="E956" s="28"/>
      <c r="F956" s="28"/>
      <c r="G956" s="28"/>
      <c r="H956" s="28"/>
    </row>
    <row r="957">
      <c r="B957" s="128"/>
      <c r="C957" s="128"/>
      <c r="D957" s="131"/>
      <c r="E957" s="28"/>
      <c r="F957" s="28"/>
      <c r="G957" s="28"/>
      <c r="H957" s="28"/>
    </row>
    <row r="958">
      <c r="B958" s="128"/>
      <c r="C958" s="128"/>
      <c r="D958" s="131"/>
      <c r="E958" s="28"/>
      <c r="F958" s="28"/>
      <c r="G958" s="28"/>
      <c r="H958" s="28"/>
    </row>
    <row r="959">
      <c r="B959" s="128"/>
      <c r="C959" s="128"/>
      <c r="D959" s="131"/>
      <c r="E959" s="28"/>
      <c r="F959" s="28"/>
      <c r="G959" s="28"/>
      <c r="H959" s="28"/>
    </row>
    <row r="960">
      <c r="B960" s="128"/>
      <c r="C960" s="128"/>
      <c r="D960" s="131"/>
      <c r="E960" s="28"/>
      <c r="F960" s="28"/>
      <c r="G960" s="28"/>
      <c r="H960" s="28"/>
    </row>
    <row r="961">
      <c r="B961" s="128"/>
      <c r="C961" s="128"/>
      <c r="D961" s="131"/>
      <c r="E961" s="28"/>
      <c r="F961" s="28"/>
      <c r="G961" s="28"/>
      <c r="H961" s="28"/>
    </row>
    <row r="962">
      <c r="B962" s="128"/>
      <c r="C962" s="128"/>
      <c r="D962" s="131"/>
      <c r="E962" s="28"/>
      <c r="F962" s="28"/>
      <c r="G962" s="28"/>
      <c r="H962" s="28"/>
    </row>
    <row r="963">
      <c r="B963" s="128"/>
      <c r="C963" s="128"/>
      <c r="D963" s="131"/>
      <c r="E963" s="28"/>
      <c r="F963" s="28"/>
      <c r="G963" s="28"/>
      <c r="H963" s="28"/>
    </row>
    <row r="964">
      <c r="B964" s="128"/>
      <c r="C964" s="128"/>
      <c r="D964" s="131"/>
      <c r="E964" s="28"/>
      <c r="F964" s="28"/>
      <c r="G964" s="28"/>
      <c r="H964" s="28"/>
    </row>
    <row r="965">
      <c r="B965" s="128"/>
      <c r="C965" s="128"/>
      <c r="D965" s="131"/>
      <c r="E965" s="28"/>
      <c r="F965" s="28"/>
      <c r="G965" s="28"/>
      <c r="H965" s="28"/>
    </row>
    <row r="966">
      <c r="B966" s="128"/>
      <c r="C966" s="128"/>
      <c r="D966" s="131"/>
      <c r="E966" s="28"/>
      <c r="F966" s="28"/>
      <c r="G966" s="28"/>
      <c r="H966" s="28"/>
    </row>
    <row r="967">
      <c r="B967" s="128"/>
      <c r="C967" s="128"/>
      <c r="D967" s="131"/>
      <c r="E967" s="28"/>
      <c r="F967" s="28"/>
      <c r="G967" s="28"/>
      <c r="H967" s="28"/>
    </row>
    <row r="968">
      <c r="B968" s="128"/>
      <c r="C968" s="128"/>
      <c r="D968" s="131"/>
      <c r="E968" s="28"/>
      <c r="F968" s="28"/>
      <c r="G968" s="28"/>
      <c r="H968" s="28"/>
    </row>
    <row r="969">
      <c r="B969" s="128"/>
      <c r="C969" s="128"/>
      <c r="D969" s="131"/>
      <c r="E969" s="28"/>
      <c r="F969" s="28"/>
      <c r="G969" s="28"/>
      <c r="H969" s="28"/>
    </row>
    <row r="970">
      <c r="B970" s="128"/>
      <c r="C970" s="128"/>
      <c r="D970" s="131"/>
      <c r="E970" s="28"/>
      <c r="F970" s="28"/>
      <c r="G970" s="28"/>
      <c r="H970" s="28"/>
    </row>
    <row r="971">
      <c r="B971" s="128"/>
      <c r="C971" s="128"/>
      <c r="D971" s="131"/>
      <c r="E971" s="28"/>
      <c r="F971" s="28"/>
      <c r="G971" s="28"/>
      <c r="H971" s="28"/>
    </row>
    <row r="972">
      <c r="B972" s="128"/>
      <c r="C972" s="128"/>
      <c r="D972" s="131"/>
      <c r="E972" s="28"/>
      <c r="F972" s="28"/>
      <c r="G972" s="28"/>
      <c r="H972" s="28"/>
    </row>
    <row r="973">
      <c r="B973" s="128"/>
      <c r="C973" s="128"/>
      <c r="D973" s="131"/>
      <c r="E973" s="28"/>
      <c r="F973" s="28"/>
      <c r="G973" s="28"/>
      <c r="H973" s="28"/>
    </row>
    <row r="974">
      <c r="B974" s="128"/>
      <c r="C974" s="128"/>
      <c r="D974" s="131"/>
      <c r="E974" s="28"/>
      <c r="F974" s="28"/>
      <c r="G974" s="28"/>
      <c r="H974" s="28"/>
    </row>
    <row r="975">
      <c r="B975" s="128"/>
      <c r="C975" s="128"/>
      <c r="D975" s="131"/>
      <c r="E975" s="28"/>
      <c r="F975" s="28"/>
      <c r="G975" s="28"/>
      <c r="H975" s="28"/>
    </row>
    <row r="976">
      <c r="B976" s="128"/>
      <c r="C976" s="128"/>
      <c r="D976" s="131"/>
      <c r="E976" s="28"/>
      <c r="F976" s="28"/>
      <c r="G976" s="28"/>
      <c r="H976" s="28"/>
    </row>
    <row r="977">
      <c r="B977" s="128"/>
      <c r="C977" s="128"/>
      <c r="D977" s="131"/>
      <c r="E977" s="28"/>
      <c r="F977" s="28"/>
      <c r="G977" s="28"/>
      <c r="H977" s="28"/>
    </row>
    <row r="978">
      <c r="B978" s="128"/>
      <c r="C978" s="128"/>
      <c r="D978" s="131"/>
      <c r="E978" s="28"/>
      <c r="F978" s="28"/>
      <c r="G978" s="28"/>
      <c r="H978" s="28"/>
    </row>
    <row r="979">
      <c r="B979" s="128"/>
      <c r="C979" s="128"/>
      <c r="D979" s="131"/>
      <c r="E979" s="28"/>
      <c r="F979" s="28"/>
      <c r="G979" s="28"/>
      <c r="H979" s="28"/>
    </row>
    <row r="980">
      <c r="B980" s="128"/>
      <c r="C980" s="128"/>
      <c r="D980" s="131"/>
      <c r="E980" s="28"/>
      <c r="F980" s="28"/>
      <c r="G980" s="28"/>
      <c r="H980" s="28"/>
    </row>
    <row r="981">
      <c r="B981" s="128"/>
      <c r="C981" s="128"/>
      <c r="D981" s="131"/>
      <c r="E981" s="28"/>
      <c r="F981" s="28"/>
      <c r="G981" s="28"/>
      <c r="H981" s="28"/>
    </row>
    <row r="982">
      <c r="B982" s="128"/>
      <c r="C982" s="128"/>
      <c r="D982" s="131"/>
      <c r="E982" s="28"/>
      <c r="F982" s="28"/>
      <c r="G982" s="28"/>
      <c r="H982" s="28"/>
    </row>
    <row r="983">
      <c r="B983" s="128"/>
      <c r="C983" s="128"/>
      <c r="D983" s="131"/>
      <c r="E983" s="28"/>
      <c r="F983" s="28"/>
      <c r="G983" s="28"/>
      <c r="H983" s="28"/>
    </row>
    <row r="984">
      <c r="B984" s="128"/>
      <c r="C984" s="128"/>
      <c r="D984" s="131"/>
      <c r="E984" s="28"/>
      <c r="F984" s="28"/>
      <c r="G984" s="28"/>
      <c r="H984" s="28"/>
    </row>
    <row r="985">
      <c r="B985" s="128"/>
      <c r="C985" s="128"/>
      <c r="D985" s="131"/>
      <c r="E985" s="28"/>
      <c r="F985" s="28"/>
      <c r="G985" s="28"/>
      <c r="H985" s="28"/>
    </row>
    <row r="986">
      <c r="B986" s="128"/>
      <c r="C986" s="128"/>
      <c r="D986" s="131"/>
      <c r="E986" s="28"/>
      <c r="F986" s="28"/>
      <c r="G986" s="28"/>
      <c r="H986" s="28"/>
    </row>
    <row r="987">
      <c r="B987" s="128"/>
      <c r="C987" s="128"/>
      <c r="D987" s="131"/>
      <c r="E987" s="28"/>
      <c r="F987" s="28"/>
      <c r="G987" s="28"/>
      <c r="H987" s="28"/>
    </row>
    <row r="988">
      <c r="B988" s="128"/>
      <c r="C988" s="128"/>
      <c r="D988" s="131"/>
      <c r="E988" s="28"/>
      <c r="F988" s="28"/>
      <c r="G988" s="28"/>
      <c r="H988" s="28"/>
    </row>
    <row r="989">
      <c r="B989" s="128"/>
      <c r="C989" s="128"/>
      <c r="D989" s="131"/>
      <c r="E989" s="28"/>
      <c r="F989" s="28"/>
      <c r="G989" s="28"/>
      <c r="H989" s="28"/>
    </row>
    <row r="990">
      <c r="B990" s="128"/>
      <c r="C990" s="128"/>
      <c r="D990" s="131"/>
      <c r="E990" s="28"/>
      <c r="F990" s="28"/>
      <c r="G990" s="28"/>
      <c r="H990" s="28"/>
    </row>
    <row r="991">
      <c r="B991" s="128"/>
      <c r="C991" s="128"/>
      <c r="D991" s="131"/>
      <c r="E991" s="28"/>
      <c r="F991" s="28"/>
      <c r="G991" s="28"/>
      <c r="H991" s="28"/>
    </row>
    <row r="992">
      <c r="B992" s="128"/>
      <c r="C992" s="128"/>
      <c r="D992" s="131"/>
      <c r="E992" s="28"/>
      <c r="F992" s="28"/>
      <c r="G992" s="28"/>
      <c r="H992" s="28"/>
    </row>
    <row r="993">
      <c r="B993" s="128"/>
      <c r="C993" s="128"/>
      <c r="D993" s="131"/>
      <c r="E993" s="28"/>
      <c r="F993" s="28"/>
      <c r="G993" s="28"/>
      <c r="H993" s="28"/>
    </row>
    <row r="994">
      <c r="B994" s="128"/>
      <c r="C994" s="128"/>
      <c r="D994" s="131"/>
      <c r="E994" s="28"/>
      <c r="F994" s="28"/>
      <c r="G994" s="28"/>
      <c r="H994" s="28"/>
    </row>
    <row r="995">
      <c r="B995" s="128"/>
      <c r="C995" s="128"/>
      <c r="D995" s="131"/>
      <c r="E995" s="28"/>
      <c r="F995" s="28"/>
      <c r="G995" s="28"/>
      <c r="H995" s="28"/>
    </row>
    <row r="996">
      <c r="B996" s="128"/>
      <c r="C996" s="128"/>
      <c r="D996" s="131"/>
      <c r="E996" s="28"/>
      <c r="F996" s="28"/>
      <c r="G996" s="28"/>
      <c r="H996" s="28"/>
    </row>
    <row r="997">
      <c r="B997" s="128"/>
      <c r="C997" s="128"/>
      <c r="D997" s="131"/>
      <c r="E997" s="28"/>
      <c r="F997" s="28"/>
      <c r="G997" s="28"/>
      <c r="H997" s="28"/>
    </row>
    <row r="998">
      <c r="B998" s="128"/>
      <c r="C998" s="128"/>
      <c r="D998" s="131"/>
      <c r="E998" s="28"/>
      <c r="F998" s="28"/>
      <c r="G998" s="28"/>
      <c r="H998" s="28"/>
    </row>
    <row r="999">
      <c r="B999" s="128"/>
      <c r="C999" s="128"/>
      <c r="D999" s="131"/>
      <c r="E999" s="28"/>
      <c r="F999" s="28"/>
      <c r="G999" s="28"/>
      <c r="H999" s="28"/>
    </row>
    <row r="1000">
      <c r="B1000" s="128"/>
      <c r="C1000" s="128"/>
      <c r="D1000" s="131"/>
      <c r="E1000" s="28"/>
      <c r="F1000" s="28"/>
      <c r="G1000" s="28"/>
      <c r="H1000" s="28"/>
    </row>
    <row r="1001">
      <c r="B1001" s="128"/>
      <c r="C1001" s="128"/>
      <c r="D1001" s="131"/>
      <c r="E1001" s="28"/>
      <c r="F1001" s="28"/>
      <c r="G1001" s="28"/>
      <c r="H1001" s="28"/>
    </row>
    <row r="1002">
      <c r="B1002" s="128"/>
      <c r="C1002" s="128"/>
      <c r="D1002" s="131"/>
      <c r="E1002" s="28"/>
      <c r="F1002" s="28"/>
      <c r="G1002" s="28"/>
      <c r="H1002" s="28"/>
    </row>
    <row r="1003">
      <c r="B1003" s="128"/>
      <c r="C1003" s="128"/>
      <c r="D1003" s="131"/>
      <c r="E1003" s="28"/>
      <c r="F1003" s="28"/>
      <c r="G1003" s="28"/>
      <c r="H1003" s="28"/>
    </row>
    <row r="1004">
      <c r="B1004" s="128"/>
      <c r="C1004" s="128"/>
      <c r="D1004" s="131"/>
      <c r="E1004" s="28"/>
      <c r="F1004" s="28"/>
      <c r="G1004" s="28"/>
      <c r="H1004" s="28"/>
    </row>
    <row r="1005">
      <c r="B1005" s="128"/>
      <c r="C1005" s="128"/>
      <c r="D1005" s="131"/>
      <c r="E1005" s="28"/>
      <c r="F1005" s="28"/>
      <c r="G1005" s="28"/>
      <c r="H1005" s="28"/>
    </row>
    <row r="1006">
      <c r="B1006" s="128"/>
      <c r="C1006" s="128"/>
      <c r="D1006" s="131"/>
      <c r="E1006" s="28"/>
      <c r="F1006" s="28"/>
      <c r="G1006" s="28"/>
      <c r="H1006" s="28"/>
    </row>
    <row r="1007">
      <c r="B1007" s="128"/>
      <c r="C1007" s="128"/>
      <c r="D1007" s="131"/>
      <c r="E1007" s="28"/>
      <c r="F1007" s="28"/>
      <c r="G1007" s="28"/>
      <c r="H1007" s="28"/>
    </row>
    <row r="1008">
      <c r="B1008" s="128"/>
      <c r="C1008" s="128"/>
      <c r="D1008" s="131"/>
      <c r="E1008" s="28"/>
      <c r="F1008" s="28"/>
      <c r="G1008" s="28"/>
      <c r="H1008" s="28"/>
    </row>
    <row r="1009">
      <c r="B1009" s="128"/>
      <c r="C1009" s="128"/>
      <c r="D1009" s="131"/>
      <c r="E1009" s="28"/>
      <c r="F1009" s="28"/>
      <c r="G1009" s="28"/>
      <c r="H1009" s="28"/>
    </row>
    <row r="1010">
      <c r="B1010" s="128"/>
      <c r="C1010" s="128"/>
      <c r="D1010" s="131"/>
      <c r="E1010" s="28"/>
      <c r="F1010" s="28"/>
      <c r="G1010" s="28"/>
      <c r="H1010" s="28"/>
    </row>
    <row r="1011">
      <c r="B1011" s="128"/>
      <c r="C1011" s="128"/>
      <c r="D1011" s="131"/>
      <c r="E1011" s="28"/>
      <c r="F1011" s="28"/>
      <c r="G1011" s="28"/>
      <c r="H1011" s="28"/>
    </row>
    <row r="1012">
      <c r="B1012" s="128"/>
      <c r="C1012" s="128"/>
      <c r="D1012" s="131"/>
      <c r="E1012" s="28"/>
      <c r="F1012" s="28"/>
      <c r="G1012" s="28"/>
      <c r="H1012" s="28"/>
    </row>
    <row r="1013">
      <c r="B1013" s="128"/>
      <c r="C1013" s="128"/>
      <c r="D1013" s="131"/>
      <c r="E1013" s="28"/>
      <c r="F1013" s="28"/>
      <c r="G1013" s="28"/>
      <c r="H1013" s="28"/>
    </row>
    <row r="1014">
      <c r="B1014" s="128"/>
      <c r="C1014" s="128"/>
      <c r="D1014" s="131"/>
      <c r="E1014" s="28"/>
      <c r="F1014" s="28"/>
      <c r="G1014" s="28"/>
      <c r="H1014" s="28"/>
    </row>
    <row r="1015">
      <c r="B1015" s="128"/>
      <c r="C1015" s="128"/>
      <c r="D1015" s="131"/>
      <c r="E1015" s="28"/>
      <c r="F1015" s="28"/>
      <c r="G1015" s="28"/>
      <c r="H1015" s="28"/>
    </row>
    <row r="1016">
      <c r="B1016" s="128"/>
      <c r="C1016" s="128"/>
      <c r="D1016" s="131"/>
      <c r="E1016" s="28"/>
      <c r="F1016" s="28"/>
      <c r="G1016" s="28"/>
      <c r="H1016" s="28"/>
    </row>
    <row r="1017">
      <c r="B1017" s="128"/>
      <c r="C1017" s="128"/>
      <c r="D1017" s="131"/>
      <c r="E1017" s="28"/>
      <c r="F1017" s="28"/>
      <c r="G1017" s="28"/>
      <c r="H1017" s="28"/>
    </row>
    <row r="1018">
      <c r="B1018" s="128"/>
      <c r="C1018" s="128"/>
      <c r="D1018" s="131"/>
      <c r="E1018" s="28"/>
      <c r="F1018" s="28"/>
      <c r="G1018" s="28"/>
      <c r="H1018" s="28"/>
    </row>
    <row r="1019">
      <c r="B1019" s="128"/>
      <c r="C1019" s="128"/>
      <c r="D1019" s="131"/>
      <c r="E1019" s="28"/>
      <c r="F1019" s="28"/>
      <c r="G1019" s="28"/>
      <c r="H1019" s="28"/>
    </row>
    <row r="1020">
      <c r="B1020" s="128"/>
      <c r="C1020" s="128"/>
      <c r="D1020" s="131"/>
      <c r="E1020" s="28"/>
      <c r="F1020" s="28"/>
      <c r="G1020" s="28"/>
      <c r="H1020" s="28"/>
    </row>
    <row r="1021">
      <c r="B1021" s="128"/>
      <c r="C1021" s="128"/>
      <c r="D1021" s="131"/>
      <c r="E1021" s="28"/>
      <c r="F1021" s="28"/>
      <c r="G1021" s="28"/>
      <c r="H1021" s="28"/>
    </row>
    <row r="1022">
      <c r="B1022" s="128"/>
      <c r="C1022" s="128"/>
      <c r="D1022" s="131"/>
      <c r="E1022" s="28"/>
      <c r="F1022" s="28"/>
      <c r="G1022" s="28"/>
      <c r="H1022" s="28"/>
    </row>
    <row r="1023">
      <c r="B1023" s="128"/>
      <c r="C1023" s="128"/>
      <c r="D1023" s="131"/>
      <c r="E1023" s="28"/>
      <c r="F1023" s="28"/>
      <c r="G1023" s="28"/>
      <c r="H1023" s="28"/>
    </row>
    <row r="1024">
      <c r="B1024" s="128"/>
      <c r="C1024" s="128"/>
      <c r="D1024" s="131"/>
      <c r="E1024" s="28"/>
      <c r="F1024" s="28"/>
      <c r="G1024" s="28"/>
      <c r="H1024" s="28"/>
    </row>
    <row r="1025">
      <c r="B1025" s="128"/>
      <c r="C1025" s="128"/>
      <c r="D1025" s="131"/>
      <c r="E1025" s="28"/>
      <c r="F1025" s="28"/>
      <c r="G1025" s="28"/>
      <c r="H1025" s="28"/>
    </row>
    <row r="1026">
      <c r="B1026" s="128"/>
      <c r="C1026" s="128"/>
      <c r="D1026" s="131"/>
      <c r="E1026" s="28"/>
      <c r="F1026" s="28"/>
      <c r="G1026" s="28"/>
      <c r="H1026" s="28"/>
    </row>
    <row r="1027">
      <c r="B1027" s="128"/>
      <c r="C1027" s="128"/>
      <c r="D1027" s="131"/>
      <c r="E1027" s="28"/>
      <c r="F1027" s="28"/>
      <c r="G1027" s="28"/>
      <c r="H1027" s="28"/>
    </row>
    <row r="1028">
      <c r="B1028" s="128"/>
      <c r="C1028" s="128"/>
      <c r="D1028" s="131"/>
      <c r="E1028" s="28"/>
      <c r="F1028" s="28"/>
      <c r="G1028" s="28"/>
      <c r="H1028" s="28"/>
    </row>
    <row r="1029">
      <c r="B1029" s="128"/>
      <c r="C1029" s="128"/>
      <c r="D1029" s="131"/>
      <c r="E1029" s="28"/>
      <c r="F1029" s="28"/>
      <c r="G1029" s="28"/>
      <c r="H1029" s="28"/>
    </row>
    <row r="1030">
      <c r="B1030" s="128"/>
      <c r="C1030" s="128"/>
      <c r="D1030" s="131"/>
      <c r="E1030" s="28"/>
      <c r="F1030" s="28"/>
      <c r="G1030" s="28"/>
      <c r="H1030" s="28"/>
    </row>
    <row r="1031">
      <c r="B1031" s="128"/>
      <c r="C1031" s="128"/>
      <c r="D1031" s="131"/>
      <c r="E1031" s="28"/>
      <c r="F1031" s="28"/>
      <c r="G1031" s="28"/>
      <c r="H1031" s="28"/>
    </row>
    <row r="1032">
      <c r="B1032" s="128"/>
      <c r="C1032" s="128"/>
      <c r="D1032" s="131"/>
      <c r="E1032" s="28"/>
      <c r="F1032" s="28"/>
      <c r="G1032" s="28"/>
      <c r="H1032" s="28"/>
    </row>
    <row r="1033">
      <c r="B1033" s="128"/>
      <c r="C1033" s="128"/>
      <c r="D1033" s="131"/>
      <c r="E1033" s="28"/>
      <c r="F1033" s="28"/>
      <c r="G1033" s="28"/>
      <c r="H1033" s="28"/>
    </row>
    <row r="1034">
      <c r="B1034" s="128"/>
      <c r="C1034" s="128"/>
      <c r="D1034" s="131"/>
      <c r="E1034" s="28"/>
      <c r="F1034" s="28"/>
      <c r="G1034" s="28"/>
      <c r="H1034" s="28"/>
    </row>
    <row r="1035">
      <c r="B1035" s="128"/>
      <c r="C1035" s="128"/>
      <c r="D1035" s="131"/>
      <c r="E1035" s="28"/>
      <c r="F1035" s="28"/>
      <c r="G1035" s="28"/>
      <c r="H1035" s="28"/>
    </row>
    <row r="1036">
      <c r="B1036" s="128"/>
      <c r="C1036" s="128"/>
      <c r="D1036" s="131"/>
      <c r="E1036" s="28"/>
      <c r="F1036" s="28"/>
      <c r="G1036" s="28"/>
      <c r="H1036" s="28"/>
    </row>
    <row r="1037">
      <c r="B1037" s="128"/>
      <c r="C1037" s="128"/>
      <c r="D1037" s="131"/>
      <c r="E1037" s="28"/>
      <c r="F1037" s="28"/>
      <c r="G1037" s="28"/>
      <c r="H1037" s="28"/>
    </row>
    <row r="1038">
      <c r="B1038" s="128"/>
      <c r="C1038" s="128"/>
      <c r="D1038" s="131"/>
      <c r="E1038" s="28"/>
      <c r="F1038" s="28"/>
      <c r="G1038" s="28"/>
      <c r="H1038" s="28"/>
    </row>
    <row r="1039">
      <c r="B1039" s="128"/>
      <c r="C1039" s="128"/>
      <c r="D1039" s="131"/>
      <c r="E1039" s="28"/>
      <c r="F1039" s="28"/>
      <c r="G1039" s="28"/>
      <c r="H1039" s="28"/>
    </row>
    <row r="1040">
      <c r="B1040" s="128"/>
      <c r="C1040" s="128"/>
      <c r="D1040" s="131"/>
      <c r="E1040" s="28"/>
      <c r="F1040" s="28"/>
      <c r="G1040" s="28"/>
      <c r="H1040" s="28"/>
    </row>
    <row r="1041">
      <c r="B1041" s="128"/>
      <c r="C1041" s="128"/>
      <c r="D1041" s="131"/>
      <c r="E1041" s="28"/>
      <c r="F1041" s="28"/>
      <c r="G1041" s="28"/>
      <c r="H1041" s="28"/>
    </row>
    <row r="1042">
      <c r="B1042" s="128"/>
      <c r="C1042" s="128"/>
      <c r="D1042" s="131"/>
      <c r="E1042" s="28"/>
      <c r="F1042" s="28"/>
      <c r="G1042" s="28"/>
      <c r="H1042" s="28"/>
    </row>
    <row r="1043">
      <c r="B1043" s="128"/>
      <c r="C1043" s="128"/>
      <c r="D1043" s="131"/>
      <c r="E1043" s="28"/>
      <c r="F1043" s="28"/>
      <c r="G1043" s="28"/>
      <c r="H1043" s="28"/>
    </row>
    <row r="1044">
      <c r="B1044" s="128"/>
      <c r="C1044" s="128"/>
      <c r="D1044" s="131"/>
      <c r="E1044" s="28"/>
      <c r="F1044" s="28"/>
      <c r="G1044" s="28"/>
      <c r="H1044" s="28"/>
    </row>
    <row r="1045">
      <c r="B1045" s="128"/>
      <c r="C1045" s="128"/>
      <c r="D1045" s="131"/>
      <c r="E1045" s="28"/>
      <c r="F1045" s="28"/>
      <c r="G1045" s="28"/>
      <c r="H1045" s="28"/>
    </row>
    <row r="1046">
      <c r="B1046" s="128"/>
      <c r="C1046" s="128"/>
      <c r="D1046" s="131"/>
      <c r="E1046" s="28"/>
      <c r="F1046" s="28"/>
      <c r="G1046" s="28"/>
      <c r="H1046" s="28"/>
    </row>
    <row r="1047">
      <c r="B1047" s="128"/>
      <c r="C1047" s="128"/>
      <c r="D1047" s="131"/>
      <c r="E1047" s="28"/>
      <c r="F1047" s="28"/>
      <c r="G1047" s="28"/>
      <c r="H1047" s="28"/>
    </row>
    <row r="1048">
      <c r="B1048" s="128"/>
      <c r="C1048" s="128"/>
      <c r="D1048" s="131"/>
      <c r="E1048" s="28"/>
      <c r="F1048" s="28"/>
      <c r="G1048" s="28"/>
      <c r="H1048" s="28"/>
    </row>
    <row r="1049">
      <c r="B1049" s="128"/>
      <c r="C1049" s="128"/>
      <c r="D1049" s="131"/>
      <c r="E1049" s="28"/>
      <c r="F1049" s="28"/>
      <c r="G1049" s="28"/>
      <c r="H1049" s="28"/>
    </row>
    <row r="1050">
      <c r="B1050" s="128"/>
      <c r="C1050" s="128"/>
      <c r="D1050" s="131"/>
      <c r="E1050" s="28"/>
      <c r="F1050" s="28"/>
      <c r="G1050" s="28"/>
      <c r="H1050" s="28"/>
    </row>
    <row r="1051">
      <c r="B1051" s="128"/>
      <c r="C1051" s="128"/>
      <c r="D1051" s="131"/>
      <c r="E1051" s="28"/>
      <c r="F1051" s="28"/>
      <c r="G1051" s="28"/>
      <c r="H1051" s="28"/>
    </row>
    <row r="1052">
      <c r="B1052" s="128"/>
      <c r="C1052" s="128"/>
      <c r="D1052" s="131"/>
      <c r="E1052" s="28"/>
      <c r="F1052" s="28"/>
      <c r="G1052" s="28"/>
      <c r="H1052" s="28"/>
    </row>
  </sheetData>
  <drawing r:id="rId1"/>
</worksheet>
</file>